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Proyecto\MSM-postgres\DIMS_FACTS_V2\KPI Cobertura Predictiva\"/>
    </mc:Choice>
  </mc:AlternateContent>
  <xr:revisionPtr revIDLastSave="0" documentId="13_ncr:1_{94360BF4-539C-42E8-B328-D3BFE42FAC99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Parametros" sheetId="1" r:id="rId1"/>
    <sheet name="Dashboard GD" sheetId="2" r:id="rId2"/>
    <sheet name="Motor_Formulas" sheetId="3" r:id="rId3"/>
    <sheet name="Target_Medicos" sheetId="4" r:id="rId4"/>
    <sheet name="Fact_Visitas" sheetId="5" r:id="rId5"/>
    <sheet name="Diccionario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2" i="4" l="1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2" i="4"/>
  <c r="J4" i="3"/>
  <c r="J5" i="3"/>
  <c r="J6" i="3"/>
  <c r="M6" i="3"/>
  <c r="M5" i="3"/>
  <c r="M4" i="3"/>
  <c r="L188" i="5"/>
  <c r="H6" i="3"/>
  <c r="G6" i="3"/>
  <c r="O6" i="3" s="1"/>
  <c r="F6" i="3"/>
  <c r="E6" i="3"/>
  <c r="H5" i="3"/>
  <c r="F8" i="2" s="1"/>
  <c r="G5" i="3"/>
  <c r="O5" i="3" s="1"/>
  <c r="F5" i="3"/>
  <c r="E5" i="3"/>
  <c r="H4" i="3"/>
  <c r="F7" i="2" s="1"/>
  <c r="G4" i="3"/>
  <c r="O4" i="3" s="1"/>
  <c r="F4" i="3"/>
  <c r="E4" i="3"/>
  <c r="F9" i="2"/>
  <c r="C9" i="2"/>
  <c r="A9" i="2"/>
  <c r="C8" i="2"/>
  <c r="A8" i="2"/>
  <c r="C7" i="2"/>
  <c r="A7" i="2"/>
  <c r="J3" i="2"/>
  <c r="H3" i="2"/>
  <c r="F3" i="2"/>
  <c r="B3" i="2"/>
  <c r="B9" i="1"/>
  <c r="N6" i="3" s="1"/>
  <c r="P6" i="3" s="1"/>
  <c r="I5" i="3" l="1"/>
  <c r="K4" i="3"/>
  <c r="B9" i="2"/>
  <c r="H7" i="2"/>
  <c r="AA5" i="3"/>
  <c r="AA6" i="3"/>
  <c r="N4" i="3"/>
  <c r="P4" i="3" s="1"/>
  <c r="Z4" i="3"/>
  <c r="D7" i="2" s="1"/>
  <c r="K6" i="3"/>
  <c r="Q6" i="3" s="1"/>
  <c r="R6" i="3" s="1"/>
  <c r="S6" i="3" s="1"/>
  <c r="K9" i="2" s="1"/>
  <c r="B8" i="2"/>
  <c r="N5" i="3"/>
  <c r="P5" i="3" s="1"/>
  <c r="Z5" i="3"/>
  <c r="D8" i="2" s="1"/>
  <c r="I6" i="3"/>
  <c r="V6" i="3" s="1"/>
  <c r="B7" i="2"/>
  <c r="Z6" i="3"/>
  <c r="D9" i="2" s="1"/>
  <c r="I4" i="3"/>
  <c r="V4" i="3" s="1"/>
  <c r="K5" i="3"/>
  <c r="Q5" i="3" s="1"/>
  <c r="R5" i="3" s="1"/>
  <c r="S5" i="3" s="1"/>
  <c r="K8" i="2" s="1"/>
  <c r="W4" i="3" l="1"/>
  <c r="X4" i="3" s="1"/>
  <c r="I7" i="2" s="1"/>
  <c r="G7" i="2"/>
  <c r="E9" i="2"/>
  <c r="AB6" i="3"/>
  <c r="AC5" i="3"/>
  <c r="H8" i="2"/>
  <c r="AC4" i="3"/>
  <c r="T6" i="3"/>
  <c r="M9" i="2" s="1"/>
  <c r="G9" i="2"/>
  <c r="W6" i="3"/>
  <c r="X6" i="3" s="1"/>
  <c r="E8" i="2"/>
  <c r="AB5" i="3"/>
  <c r="T5" i="3"/>
  <c r="M8" i="2" s="1"/>
  <c r="V5" i="3"/>
  <c r="AC6" i="3"/>
  <c r="H9" i="2"/>
  <c r="AA4" i="3"/>
  <c r="Q4" i="3"/>
  <c r="R4" i="3" s="1"/>
  <c r="S4" i="3" s="1"/>
  <c r="K7" i="2" s="1"/>
  <c r="Y4" i="3" l="1"/>
  <c r="AB4" i="3"/>
  <c r="E7" i="2"/>
  <c r="T4" i="3"/>
  <c r="M7" i="2" s="1"/>
  <c r="U5" i="3"/>
  <c r="L8" i="2" s="1"/>
  <c r="I9" i="2"/>
  <c r="Y6" i="3"/>
  <c r="G8" i="2"/>
  <c r="W5" i="3"/>
  <c r="X5" i="3" s="1"/>
  <c r="I8" i="2" s="1"/>
  <c r="U6" i="3"/>
  <c r="L9" i="2" s="1"/>
  <c r="U4" i="3" l="1"/>
  <c r="L7" i="2" s="1"/>
  <c r="J7" i="2"/>
  <c r="AD6" i="3"/>
  <c r="N9" i="2" s="1"/>
  <c r="J9" i="2"/>
  <c r="AD4" i="3"/>
  <c r="N7" i="2" s="1"/>
  <c r="Y5" i="3"/>
  <c r="AD5" i="3" l="1"/>
  <c r="N8" i="2" s="1"/>
  <c r="J8" i="2"/>
</calcChain>
</file>

<file path=xl/sharedStrings.xml><?xml version="1.0" encoding="utf-8"?>
<sst xmlns="http://schemas.openxmlformats.org/spreadsheetml/2006/main" count="33959" uniqueCount="5798">
  <si>
    <t>Módulo de Cobertura Predictiva y Ritmo de Ejecución</t>
  </si>
  <si>
    <t>Parámetro</t>
  </si>
  <si>
    <t>Valor</t>
  </si>
  <si>
    <t>Descripción</t>
  </si>
  <si>
    <t>Meta cobertura</t>
  </si>
  <si>
    <t>Meta mínima de médicos únicos cubiertos por ciclo</t>
  </si>
  <si>
    <t>Ciclo</t>
  </si>
  <si>
    <t>2026-06</t>
  </si>
  <si>
    <t>Identificador del ciclo promocional</t>
  </si>
  <si>
    <t>Fecha inicio ciclo</t>
  </si>
  <si>
    <t>Inicio del ciclo promocional</t>
  </si>
  <si>
    <t>Fecha fin ciclo</t>
  </si>
  <si>
    <t>Fin del ciclo. Configurado para 19 días hábiles.</t>
  </si>
  <si>
    <t>Fecha de corte</t>
  </si>
  <si>
    <t>Fecha editable para recalcular avance, atrasos y requerimientos diarios</t>
  </si>
  <si>
    <t>Días hábiles del ciclo</t>
  </si>
  <si>
    <t>Debe dar 19. Se calcula con NETWORKDAYS.</t>
  </si>
  <si>
    <t>Ciclos por año</t>
  </si>
  <si>
    <t>Cantidad de ciclos promocionales en el año</t>
  </si>
  <si>
    <t>Regla de cálculo clave</t>
  </si>
  <si>
    <t>Contactos diarios requeridos</t>
  </si>
  <si>
    <t>Objetivo diario base + recuperación diaria de contactos dejados de hacer</t>
  </si>
  <si>
    <t>Los contactos no realizados al corte se reparten en los días hábiles restantes.</t>
  </si>
  <si>
    <t>Aceleración requerida</t>
  </si>
  <si>
    <t>Médicos dejados de ver / días hábiles restantes</t>
  </si>
  <si>
    <t>Indica cuántos médicos adicionales diarios debe ver el VM para llegar a cobertura.</t>
  </si>
  <si>
    <t>Feriados / días no hábiles</t>
  </si>
  <si>
    <t>Fecha</t>
  </si>
  <si>
    <t>Nota</t>
  </si>
  <si>
    <t>Nota para Moisés</t>
  </si>
  <si>
    <t>1</t>
  </si>
  <si>
    <t>El ciclo está configurado a 19 días hábiles.</t>
  </si>
  <si>
    <t>Cambiar fechas o feriados modifica automáticamente los días del ciclo.</t>
  </si>
  <si>
    <t>2</t>
  </si>
  <si>
    <t>La cobertura usa médicos únicos.</t>
  </si>
  <si>
    <t>Las visitas repetidas al mismo médico no incrementan cobertura.</t>
  </si>
  <si>
    <t>3</t>
  </si>
  <si>
    <t>El PSP/contactos usa conteo total.</t>
  </si>
  <si>
    <t>Las visitas repetidas sí cuentan como contactos.</t>
  </si>
  <si>
    <t>4</t>
  </si>
  <si>
    <t>La columna N del dashboard contiene la lectura accionable.</t>
  </si>
  <si>
    <t>Explica el nuevo número diario como objetivo + recuperación de contactos dejados de hacer.</t>
  </si>
  <si>
    <t>Dashboard GD - Cobertura Predictiva con Recuperación de Atrasos</t>
  </si>
  <si>
    <t>Cambiar en Parametros!B8</t>
  </si>
  <si>
    <t>Días hábiles ciclo</t>
  </si>
  <si>
    <t>Regla clave</t>
  </si>
  <si>
    <t>Contactos diarios requeridos = objetivo diario base + contactos dejados de hacer repartidos en días restantes</t>
  </si>
  <si>
    <t>VM</t>
  </si>
  <si>
    <t>Médicos Prog.</t>
  </si>
  <si>
    <t>Visitados únicos</t>
  </si>
  <si>
    <t>Cobertura actual</t>
  </si>
  <si>
    <t>Proyección cierre</t>
  </si>
  <si>
    <t>Meta</t>
  </si>
  <si>
    <t>Obj. contactos diarios</t>
  </si>
  <si>
    <t>Contactos realizados</t>
  </si>
  <si>
    <t>Contactos dejados de hacer</t>
  </si>
  <si>
    <t>Médicos dejados de ver</t>
  </si>
  <si>
    <t>Médicos diarios requeridos</t>
  </si>
  <si>
    <t>Mensaje / lectura accionable</t>
  </si>
  <si>
    <t>Cómo leer la aceleración</t>
  </si>
  <si>
    <t>Meta de contactos del ciclo dividida entre 19 días hábiles.</t>
  </si>
  <si>
    <t>Diferencia entre lo que debería llevar al corte y lo que realmente hizo.</t>
  </si>
  <si>
    <t>Nuevo número diario: objetivo diario base + recuperación de contactos dejados de hacer.</t>
  </si>
  <si>
    <t>Cuántos médicos adicionales por día debe ver para recuperar los médicos dejados de ver y llegar al 90%.</t>
  </si>
  <si>
    <t>Motor técnico de cálculo - Ciclo de 19 días hábiles</t>
  </si>
  <si>
    <t>VM ID</t>
  </si>
  <si>
    <t>Nombre VM</t>
  </si>
  <si>
    <t>Línea</t>
  </si>
  <si>
    <t>Fecha inicio</t>
  </si>
  <si>
    <t>Fecha fin</t>
  </si>
  <si>
    <t>Fecha corte</t>
  </si>
  <si>
    <t>Meta contactos ciclo</t>
  </si>
  <si>
    <t>Médicos programados</t>
  </si>
  <si>
    <t>Médicos requeridos meta</t>
  </si>
  <si>
    <t>Médicos únicos visitados</t>
  </si>
  <si>
    <t>Días hábiles transcurridos</t>
  </si>
  <si>
    <t>Días hábiles restantes</t>
  </si>
  <si>
    <t>Objetivo médicos diarios</t>
  </si>
  <si>
    <t>Médicos esperados al corte</t>
  </si>
  <si>
    <t>Objetivo contactos diarios</t>
  </si>
  <si>
    <t>Contactos esperados al corte</t>
  </si>
  <si>
    <t>Cobertura proyectada</t>
  </si>
  <si>
    <t>Estado cobertura</t>
  </si>
  <si>
    <t>Estado PSP</t>
  </si>
  <si>
    <t>Lectura GD</t>
  </si>
  <si>
    <t>VM01</t>
  </si>
  <si>
    <t>Ana Martínez</t>
  </si>
  <si>
    <t>Cardio Metabólica</t>
  </si>
  <si>
    <t>VM02</t>
  </si>
  <si>
    <t>Carlos Pérez</t>
  </si>
  <si>
    <t>VM03</t>
  </si>
  <si>
    <t>Laura Gómez</t>
  </si>
  <si>
    <t>medico_id</t>
  </si>
  <si>
    <t>potencial</t>
  </si>
  <si>
    <t>programado_flag</t>
  </si>
  <si>
    <t>A</t>
  </si>
  <si>
    <t>B</t>
  </si>
  <si>
    <t>C</t>
  </si>
  <si>
    <t>visita_id</t>
  </si>
  <si>
    <t>fecha_visita</t>
  </si>
  <si>
    <t>tipo_contacto</t>
  </si>
  <si>
    <t>estado_visita</t>
  </si>
  <si>
    <t>producto_foco</t>
  </si>
  <si>
    <t>VIS_0001</t>
  </si>
  <si>
    <t>Presencial</t>
  </si>
  <si>
    <t>Realizada</t>
  </si>
  <si>
    <t>Producto foco</t>
  </si>
  <si>
    <t>VIS_0002</t>
  </si>
  <si>
    <t>VIS_0003</t>
  </si>
  <si>
    <t>VIS_0004</t>
  </si>
  <si>
    <t>VIS_0005</t>
  </si>
  <si>
    <t>VIS_0006</t>
  </si>
  <si>
    <t>VIS_0007</t>
  </si>
  <si>
    <t>VIS_0008</t>
  </si>
  <si>
    <t>VIS_0009</t>
  </si>
  <si>
    <t>VIS_0010</t>
  </si>
  <si>
    <t>VIS_0011</t>
  </si>
  <si>
    <t>VIS_0012</t>
  </si>
  <si>
    <t>VIS_0013</t>
  </si>
  <si>
    <t>VIS_0014</t>
  </si>
  <si>
    <t>VIS_0015</t>
  </si>
  <si>
    <t>VIS_0016</t>
  </si>
  <si>
    <t>VIS_0017</t>
  </si>
  <si>
    <t>VIS_0018</t>
  </si>
  <si>
    <t>VIS_0019</t>
  </si>
  <si>
    <t>VIS_0020</t>
  </si>
  <si>
    <t>VIS_0021</t>
  </si>
  <si>
    <t>VIS_0022</t>
  </si>
  <si>
    <t>VIS_0023</t>
  </si>
  <si>
    <t>VIS_0024</t>
  </si>
  <si>
    <t>VIS_0025</t>
  </si>
  <si>
    <t>VIS_0026</t>
  </si>
  <si>
    <t>VIS_0027</t>
  </si>
  <si>
    <t>VIS_0028</t>
  </si>
  <si>
    <t>VIS_0029</t>
  </si>
  <si>
    <t>VIS_0030</t>
  </si>
  <si>
    <t>VIS_0031</t>
  </si>
  <si>
    <t>VIS_0032</t>
  </si>
  <si>
    <t>VIS_0033</t>
  </si>
  <si>
    <t>VIS_0034</t>
  </si>
  <si>
    <t>VIS_0035</t>
  </si>
  <si>
    <t>VIS_0036</t>
  </si>
  <si>
    <t>VIS_0037</t>
  </si>
  <si>
    <t>VIS_0038</t>
  </si>
  <si>
    <t>VIS_0039</t>
  </si>
  <si>
    <t>VIS_0040</t>
  </si>
  <si>
    <t>VIS_0041</t>
  </si>
  <si>
    <t>VIS_0042</t>
  </si>
  <si>
    <t>VIS_0043</t>
  </si>
  <si>
    <t>VIS_0044</t>
  </si>
  <si>
    <t>VIS_0045</t>
  </si>
  <si>
    <t>VIS_0046</t>
  </si>
  <si>
    <t>VIS_0047</t>
  </si>
  <si>
    <t>VIS_0048</t>
  </si>
  <si>
    <t>VIS_0049</t>
  </si>
  <si>
    <t>VIS_0050</t>
  </si>
  <si>
    <t>VIS_0051</t>
  </si>
  <si>
    <t>VIS_0052</t>
  </si>
  <si>
    <t>VIS_0053</t>
  </si>
  <si>
    <t>VIS_0054</t>
  </si>
  <si>
    <t>VIS_0055</t>
  </si>
  <si>
    <t>VIS_0056</t>
  </si>
  <si>
    <t>VIS_0057</t>
  </si>
  <si>
    <t>VIS_0058</t>
  </si>
  <si>
    <t>VIS_0059</t>
  </si>
  <si>
    <t>VIS_0060</t>
  </si>
  <si>
    <t>VIS_0061</t>
  </si>
  <si>
    <t>VIS_0062</t>
  </si>
  <si>
    <t>VIS_0063</t>
  </si>
  <si>
    <t>VIS_0064</t>
  </si>
  <si>
    <t>VIS_0065</t>
  </si>
  <si>
    <t>VIS_0066</t>
  </si>
  <si>
    <t>VIS_0067</t>
  </si>
  <si>
    <t>VIS_0068</t>
  </si>
  <si>
    <t>VIS_0069</t>
  </si>
  <si>
    <t>VIS_0070</t>
  </si>
  <si>
    <t>VIS_0071</t>
  </si>
  <si>
    <t>VIS_0072</t>
  </si>
  <si>
    <t>VIS_0073</t>
  </si>
  <si>
    <t>VIS_0074</t>
  </si>
  <si>
    <t>VIS_0075</t>
  </si>
  <si>
    <t>VIS_0076</t>
  </si>
  <si>
    <t>VIS_0077</t>
  </si>
  <si>
    <t>VIS_0078</t>
  </si>
  <si>
    <t>VIS_0079</t>
  </si>
  <si>
    <t>VIS_0080</t>
  </si>
  <si>
    <t>VIS_1001</t>
  </si>
  <si>
    <t>VIS_1002</t>
  </si>
  <si>
    <t>VIS_1003</t>
  </si>
  <si>
    <t>VIS_1004</t>
  </si>
  <si>
    <t>VIS_1005</t>
  </si>
  <si>
    <t>VIS_1006</t>
  </si>
  <si>
    <t>VIS_1007</t>
  </si>
  <si>
    <t>VIS_1008</t>
  </si>
  <si>
    <t>VIS_1009</t>
  </si>
  <si>
    <t>VIS_1010</t>
  </si>
  <si>
    <t>VIS_1011</t>
  </si>
  <si>
    <t>VIS_1012</t>
  </si>
  <si>
    <t>VIS_1013</t>
  </si>
  <si>
    <t>VIS_1014</t>
  </si>
  <si>
    <t>VIS_1015</t>
  </si>
  <si>
    <t>VIS_1016</t>
  </si>
  <si>
    <t>VIS_1017</t>
  </si>
  <si>
    <t>VIS_1018</t>
  </si>
  <si>
    <t>VIS_1019</t>
  </si>
  <si>
    <t>VIS_1020</t>
  </si>
  <si>
    <t>VIS_1021</t>
  </si>
  <si>
    <t>VIS_1022</t>
  </si>
  <si>
    <t>VIS_1023</t>
  </si>
  <si>
    <t>VIS_1024</t>
  </si>
  <si>
    <t>VIS_1025</t>
  </si>
  <si>
    <t>VIS_1026</t>
  </si>
  <si>
    <t>VIS_1027</t>
  </si>
  <si>
    <t>VIS_1028</t>
  </si>
  <si>
    <t>VIS_1029</t>
  </si>
  <si>
    <t>VIS_1030</t>
  </si>
  <si>
    <t>VIS_1031</t>
  </si>
  <si>
    <t>VIS_1032</t>
  </si>
  <si>
    <t>VIS_1033</t>
  </si>
  <si>
    <t>VIS_1034</t>
  </si>
  <si>
    <t>VIS_1035</t>
  </si>
  <si>
    <t>VIS_1036</t>
  </si>
  <si>
    <t>VIS_1037</t>
  </si>
  <si>
    <t>VIS_1038</t>
  </si>
  <si>
    <t>VIS_1039</t>
  </si>
  <si>
    <t>VIS_1040</t>
  </si>
  <si>
    <t>VIS_1041</t>
  </si>
  <si>
    <t>VIS_1042</t>
  </si>
  <si>
    <t>VIS_1043</t>
  </si>
  <si>
    <t>VIS_1044</t>
  </si>
  <si>
    <t>VIS_1045</t>
  </si>
  <si>
    <t>VIS_1046</t>
  </si>
  <si>
    <t>VIS_1047</t>
  </si>
  <si>
    <t>VIS_1048</t>
  </si>
  <si>
    <t>VIS_1049</t>
  </si>
  <si>
    <t>VIS_1050</t>
  </si>
  <si>
    <t>VIS_1051</t>
  </si>
  <si>
    <t>VIS_1052</t>
  </si>
  <si>
    <t>VIS_1053</t>
  </si>
  <si>
    <t>VIS_1054</t>
  </si>
  <si>
    <t>VIS_1055</t>
  </si>
  <si>
    <t>VIS_1056</t>
  </si>
  <si>
    <t>VIS_1057</t>
  </si>
  <si>
    <t>VIS_1058</t>
  </si>
  <si>
    <t>VIS_1059</t>
  </si>
  <si>
    <t>VIS_1060</t>
  </si>
  <si>
    <t>VIS_1061</t>
  </si>
  <si>
    <t>VIS_1062</t>
  </si>
  <si>
    <t>VIS_1063</t>
  </si>
  <si>
    <t>VIS_1064</t>
  </si>
  <si>
    <t>VIS_1065</t>
  </si>
  <si>
    <t>VIS_1066</t>
  </si>
  <si>
    <t>VIS_1067</t>
  </si>
  <si>
    <t>VIS_1068</t>
  </si>
  <si>
    <t>VIS_1069</t>
  </si>
  <si>
    <t>VIS_1070</t>
  </si>
  <si>
    <t>VIS_1071</t>
  </si>
  <si>
    <t>VIS_1072</t>
  </si>
  <si>
    <t>VIS_1073</t>
  </si>
  <si>
    <t>VIS_1074</t>
  </si>
  <si>
    <t>VIS_1075</t>
  </si>
  <si>
    <t>VIS_1076</t>
  </si>
  <si>
    <t>VIS_1077</t>
  </si>
  <si>
    <t>VIS_1078</t>
  </si>
  <si>
    <t>VIS_1079</t>
  </si>
  <si>
    <t>VIS_1080</t>
  </si>
  <si>
    <t>VIS_1081</t>
  </si>
  <si>
    <t>VIS_1082</t>
  </si>
  <si>
    <t>VIS_1083</t>
  </si>
  <si>
    <t>VIS_1084</t>
  </si>
  <si>
    <t>VIS_1085</t>
  </si>
  <si>
    <t>VIS_1086</t>
  </si>
  <si>
    <t>VIS_1087</t>
  </si>
  <si>
    <t>VIS_1088</t>
  </si>
  <si>
    <t>VIS_1089</t>
  </si>
  <si>
    <t>VIS_1090</t>
  </si>
  <si>
    <t>VIS_1091</t>
  </si>
  <si>
    <t>VIS_1092</t>
  </si>
  <si>
    <t>VIS_1093</t>
  </si>
  <si>
    <t>VIS_1094</t>
  </si>
  <si>
    <t>VIS_1095</t>
  </si>
  <si>
    <t>VIS_1096</t>
  </si>
  <si>
    <t>VIS_1097</t>
  </si>
  <si>
    <t>VIS_1098</t>
  </si>
  <si>
    <t>VIS_1099</t>
  </si>
  <si>
    <t>VIS_1100</t>
  </si>
  <si>
    <t>VIS_2001</t>
  </si>
  <si>
    <t>VIS_2002</t>
  </si>
  <si>
    <t>VIS_2003</t>
  </si>
  <si>
    <t>VIS_2004</t>
  </si>
  <si>
    <t>VIS_2005</t>
  </si>
  <si>
    <t>VIS_2006</t>
  </si>
  <si>
    <t>VIS_2007</t>
  </si>
  <si>
    <t>VIS_2008</t>
  </si>
  <si>
    <t>VIS_2009</t>
  </si>
  <si>
    <t>VIS_2010</t>
  </si>
  <si>
    <t>VIS_2011</t>
  </si>
  <si>
    <t>VIS_2012</t>
  </si>
  <si>
    <t>VIS_2013</t>
  </si>
  <si>
    <t>VIS_2014</t>
  </si>
  <si>
    <t>VIS_2015</t>
  </si>
  <si>
    <t>VIS_2016</t>
  </si>
  <si>
    <t>VIS_2017</t>
  </si>
  <si>
    <t>VIS_2018</t>
  </si>
  <si>
    <t>VIS_2019</t>
  </si>
  <si>
    <t>VIS_2020</t>
  </si>
  <si>
    <t>VIS_2021</t>
  </si>
  <si>
    <t>VIS_2022</t>
  </si>
  <si>
    <t>VIS_2023</t>
  </si>
  <si>
    <t>VIS_2024</t>
  </si>
  <si>
    <t>VIS_2025</t>
  </si>
  <si>
    <t>VIS_2026</t>
  </si>
  <si>
    <t>VIS_2027</t>
  </si>
  <si>
    <t>VIS_2028</t>
  </si>
  <si>
    <t>VIS_2029</t>
  </si>
  <si>
    <t>VIS_2030</t>
  </si>
  <si>
    <t>VIS_2031</t>
  </si>
  <si>
    <t>VIS_2032</t>
  </si>
  <si>
    <t>VIS_2033</t>
  </si>
  <si>
    <t>VIS_2034</t>
  </si>
  <si>
    <t>VIS_2035</t>
  </si>
  <si>
    <t>VIS_2036</t>
  </si>
  <si>
    <t>VIS_2037</t>
  </si>
  <si>
    <t>VIS_2038</t>
  </si>
  <si>
    <t>VIS_2039</t>
  </si>
  <si>
    <t>VIS_2040</t>
  </si>
  <si>
    <t>VIS_2041</t>
  </si>
  <si>
    <t>VIS_2042</t>
  </si>
  <si>
    <t>VIS_2043</t>
  </si>
  <si>
    <t>VIS_2044</t>
  </si>
  <si>
    <t>VIS_2045</t>
  </si>
  <si>
    <t>VIS_2046</t>
  </si>
  <si>
    <t>VIS_2047</t>
  </si>
  <si>
    <t>VIS_2048</t>
  </si>
  <si>
    <t>VIS_2049</t>
  </si>
  <si>
    <t>VIS_2050</t>
  </si>
  <si>
    <t>VIS_2051</t>
  </si>
  <si>
    <t>VIS_2052</t>
  </si>
  <si>
    <t>VIS_2053</t>
  </si>
  <si>
    <t>VIS_2054</t>
  </si>
  <si>
    <t>VIS_2055</t>
  </si>
  <si>
    <t>VIS_2056</t>
  </si>
  <si>
    <t>VIS_2057</t>
  </si>
  <si>
    <t>VIS_2058</t>
  </si>
  <si>
    <t>VIS_2059</t>
  </si>
  <si>
    <t>VIS_2060</t>
  </si>
  <si>
    <t>VIS_2061</t>
  </si>
  <si>
    <t>VIS_2062</t>
  </si>
  <si>
    <t>VIS_2063</t>
  </si>
  <si>
    <t>VIS_2064</t>
  </si>
  <si>
    <t>VIS_2065</t>
  </si>
  <si>
    <t>VIS_2066</t>
  </si>
  <si>
    <t>VIS_2067</t>
  </si>
  <si>
    <t>VIS_2068</t>
  </si>
  <si>
    <t>VIS_2069</t>
  </si>
  <si>
    <t>VIS_2070</t>
  </si>
  <si>
    <t>VIS_2071</t>
  </si>
  <si>
    <t>VIS_2072</t>
  </si>
  <si>
    <t>VIS_2073</t>
  </si>
  <si>
    <t>VIS_2074</t>
  </si>
  <si>
    <t>VIS_2075</t>
  </si>
  <si>
    <t>VIS_2076</t>
  </si>
  <si>
    <t>VIS_2077</t>
  </si>
  <si>
    <t>VIS_2078</t>
  </si>
  <si>
    <t>VIS_2079</t>
  </si>
  <si>
    <t>VIS_2080</t>
  </si>
  <si>
    <t>VIS_2081</t>
  </si>
  <si>
    <t>VIS_2082</t>
  </si>
  <si>
    <t>VIS_2083</t>
  </si>
  <si>
    <t>VIS_2084</t>
  </si>
  <si>
    <t>VIS_2085</t>
  </si>
  <si>
    <t>VIS_2086</t>
  </si>
  <si>
    <t>VIS_2087</t>
  </si>
  <si>
    <t>VIS_2088</t>
  </si>
  <si>
    <t>VIS_2089</t>
  </si>
  <si>
    <t>VIS_2090</t>
  </si>
  <si>
    <t>Campo</t>
  </si>
  <si>
    <t>Hoja</t>
  </si>
  <si>
    <t>Fórmula / lógica</t>
  </si>
  <si>
    <t>Uso GD</t>
  </si>
  <si>
    <t>Nota Moisés</t>
  </si>
  <si>
    <t>Parametros</t>
  </si>
  <si>
    <t>Duración del ciclo configurada a 19 días hábiles</t>
  </si>
  <si>
    <t>NETWORKDAYS(fecha_inicio, fecha_fin, feriados)</t>
  </si>
  <si>
    <t>Define el tiempo real disponible para cumplir cobertura</t>
  </si>
  <si>
    <t>Debe quedar parametrizable por línea/ciclo</t>
  </si>
  <si>
    <t>Dashboard GD</t>
  </si>
  <si>
    <t>Meta de contactos del ciclo dividida entre 19 días hábiles</t>
  </si>
  <si>
    <t>Meta contactos ciclo / días hábiles ciclo</t>
  </si>
  <si>
    <t>Ritmo base que el VM debería sostener</t>
  </si>
  <si>
    <t>No incluye atrasos</t>
  </si>
  <si>
    <t>Contactos que debieron hacerse al corte y no se hicieron</t>
  </si>
  <si>
    <t>MAX(0, contactos esperados al corte - contactos realizados)</t>
  </si>
  <si>
    <t>Muestra atraso acumulado</t>
  </si>
  <si>
    <t>Es el atraso que se suma a los próximos días</t>
  </si>
  <si>
    <t>Nuevo número diario para cumplir el ciclo</t>
  </si>
  <si>
    <t>CEILING(objetivo diario + contactos dejados/días restantes, 1)</t>
  </si>
  <si>
    <t>Acción diaria concreta para el VM</t>
  </si>
  <si>
    <t>Esta es la columna crítica de recuperación</t>
  </si>
  <si>
    <t>Médicos únicos que debieron estar cubiertos al corte y no lo están</t>
  </si>
  <si>
    <t>MAX(0, médicos esperados al corte - médicos únicos visitados)</t>
  </si>
  <si>
    <t>Muestra atraso real de cobertura</t>
  </si>
  <si>
    <t>Usa médicos únicos, no contactos totales</t>
  </si>
  <si>
    <t>Médicos adicionales por día necesarios para recuperar el atraso</t>
  </si>
  <si>
    <t>CEILING(médicos dejados de ver / días restantes, 1)</t>
  </si>
  <si>
    <t>Indica cuántos médicos más debe ver diariamente</t>
  </si>
  <si>
    <t>No es la meta total diaria; es el extra sobre el ritmo base</t>
  </si>
  <si>
    <t>Número total de médicos únicos diarios que debe cubrir desde el corte</t>
  </si>
  <si>
    <t>CEILING(objetivo médicos diarios + aceleración, 1)</t>
  </si>
  <si>
    <t>Indica plan diario de cobertura</t>
  </si>
  <si>
    <t>Incluye base + recuperación</t>
  </si>
  <si>
    <t>Lectura accionable</t>
  </si>
  <si>
    <t>Dashboard GD columna N</t>
  </si>
  <si>
    <t>Mensaje ejecutivo para el GD</t>
  </si>
  <si>
    <t>Texto concatenado con fórmulas</t>
  </si>
  <si>
    <t>Convierte el KPI en conversación de seguimiento</t>
  </si>
  <si>
    <t>Debe mantenerse en español claro</t>
  </si>
  <si>
    <t>MED_001</t>
  </si>
  <si>
    <t>MED_002</t>
  </si>
  <si>
    <t>MED_003</t>
  </si>
  <si>
    <t>MED_004</t>
  </si>
  <si>
    <t>MED_005</t>
  </si>
  <si>
    <t>MED_006</t>
  </si>
  <si>
    <t>MED_007</t>
  </si>
  <si>
    <t>MED_008</t>
  </si>
  <si>
    <t>MED_009</t>
  </si>
  <si>
    <t>MED_010</t>
  </si>
  <si>
    <t>MED_011</t>
  </si>
  <si>
    <t>MED_012</t>
  </si>
  <si>
    <t>MED_013</t>
  </si>
  <si>
    <t>MED_014</t>
  </si>
  <si>
    <t>MED_015</t>
  </si>
  <si>
    <t>MED_016</t>
  </si>
  <si>
    <t>MED_017</t>
  </si>
  <si>
    <t>MED_018</t>
  </si>
  <si>
    <t>MED_019</t>
  </si>
  <si>
    <t>MED_020</t>
  </si>
  <si>
    <t>MED_021</t>
  </si>
  <si>
    <t>MED_022</t>
  </si>
  <si>
    <t>MED_023</t>
  </si>
  <si>
    <t>MED_024</t>
  </si>
  <si>
    <t>MED_025</t>
  </si>
  <si>
    <t>MED_026</t>
  </si>
  <si>
    <t>MED_027</t>
  </si>
  <si>
    <t>MED_028</t>
  </si>
  <si>
    <t>MED_029</t>
  </si>
  <si>
    <t>MED_030</t>
  </si>
  <si>
    <t>MED_031</t>
  </si>
  <si>
    <t>MED_032</t>
  </si>
  <si>
    <t>MED_033</t>
  </si>
  <si>
    <t>MED_034</t>
  </si>
  <si>
    <t>MED_035</t>
  </si>
  <si>
    <t>MED_036</t>
  </si>
  <si>
    <t>MED_037</t>
  </si>
  <si>
    <t>MED_038</t>
  </si>
  <si>
    <t>MED_039</t>
  </si>
  <si>
    <t>MED_040</t>
  </si>
  <si>
    <t>MED_041</t>
  </si>
  <si>
    <t>MED_042</t>
  </si>
  <si>
    <t>MED_043</t>
  </si>
  <si>
    <t>MED_044</t>
  </si>
  <si>
    <t>MED_045</t>
  </si>
  <si>
    <t>MED_046</t>
  </si>
  <si>
    <t>MED_047</t>
  </si>
  <si>
    <t>MED_048</t>
  </si>
  <si>
    <t>MED_049</t>
  </si>
  <si>
    <t>MED_050</t>
  </si>
  <si>
    <t>MED_051</t>
  </si>
  <si>
    <t>MED_052</t>
  </si>
  <si>
    <t>MED_053</t>
  </si>
  <si>
    <t>MED_054</t>
  </si>
  <si>
    <t>MED_055</t>
  </si>
  <si>
    <t>MED_056</t>
  </si>
  <si>
    <t>MED_057</t>
  </si>
  <si>
    <t>MED_058</t>
  </si>
  <si>
    <t>MED_059</t>
  </si>
  <si>
    <t>MED_060</t>
  </si>
  <si>
    <t>MED_061</t>
  </si>
  <si>
    <t>MED_062</t>
  </si>
  <si>
    <t>MED_063</t>
  </si>
  <si>
    <t>MED_064</t>
  </si>
  <si>
    <t>MED_065</t>
  </si>
  <si>
    <t>MED_066</t>
  </si>
  <si>
    <t>MED_067</t>
  </si>
  <si>
    <t>MED_068</t>
  </si>
  <si>
    <t>MED_069</t>
  </si>
  <si>
    <t>MED_070</t>
  </si>
  <si>
    <t>MED_071</t>
  </si>
  <si>
    <t>MED_072</t>
  </si>
  <si>
    <t>MED_073</t>
  </si>
  <si>
    <t>MED_074</t>
  </si>
  <si>
    <t>MED_075</t>
  </si>
  <si>
    <t>MED_076</t>
  </si>
  <si>
    <t>MED_077</t>
  </si>
  <si>
    <t>MED_078</t>
  </si>
  <si>
    <t>MED_079</t>
  </si>
  <si>
    <t>MED_080</t>
  </si>
  <si>
    <t>MED_081</t>
  </si>
  <si>
    <t>MED_082</t>
  </si>
  <si>
    <t>MED_083</t>
  </si>
  <si>
    <t>MED_084</t>
  </si>
  <si>
    <t>MED_085</t>
  </si>
  <si>
    <t>MED_086</t>
  </si>
  <si>
    <t>MED_087</t>
  </si>
  <si>
    <t>MED_088</t>
  </si>
  <si>
    <t>MED_089</t>
  </si>
  <si>
    <t>MED_090</t>
  </si>
  <si>
    <t>MED_091</t>
  </si>
  <si>
    <t>MED_092</t>
  </si>
  <si>
    <t>MED_093</t>
  </si>
  <si>
    <t>MED_094</t>
  </si>
  <si>
    <t>MED_095</t>
  </si>
  <si>
    <t>MED_096</t>
  </si>
  <si>
    <t>MED_097</t>
  </si>
  <si>
    <t>MED_098</t>
  </si>
  <si>
    <t>MED_099</t>
  </si>
  <si>
    <t>MED_100</t>
  </si>
  <si>
    <t>MED_101</t>
  </si>
  <si>
    <t>MED_102</t>
  </si>
  <si>
    <t>MED_103</t>
  </si>
  <si>
    <t>MED_104</t>
  </si>
  <si>
    <t>MED_105</t>
  </si>
  <si>
    <t>MED_106</t>
  </si>
  <si>
    <t>MED_107</t>
  </si>
  <si>
    <t>MED_108</t>
  </si>
  <si>
    <t>MED_109</t>
  </si>
  <si>
    <t>MED_110</t>
  </si>
  <si>
    <t>MED_111</t>
  </si>
  <si>
    <t>MED_112</t>
  </si>
  <si>
    <t>MED_113</t>
  </si>
  <si>
    <t>MED_114</t>
  </si>
  <si>
    <t>MED_115</t>
  </si>
  <si>
    <t>MED_116</t>
  </si>
  <si>
    <t>MED_117</t>
  </si>
  <si>
    <t>MED_118</t>
  </si>
  <si>
    <t>MED_119</t>
  </si>
  <si>
    <t>MED_120</t>
  </si>
  <si>
    <t>MED_121</t>
  </si>
  <si>
    <t>MED_122</t>
  </si>
  <si>
    <t>MED_123</t>
  </si>
  <si>
    <t>MED_124</t>
  </si>
  <si>
    <t>MED_125</t>
  </si>
  <si>
    <t>MED_126</t>
  </si>
  <si>
    <t>MED_127</t>
  </si>
  <si>
    <t>MED_128</t>
  </si>
  <si>
    <t>MED_129</t>
  </si>
  <si>
    <t>MED_130</t>
  </si>
  <si>
    <t>MED_131</t>
  </si>
  <si>
    <t>MED_132</t>
  </si>
  <si>
    <t>MED_133</t>
  </si>
  <si>
    <t>MED_134</t>
  </si>
  <si>
    <t>MED_135</t>
  </si>
  <si>
    <t>MED_136</t>
  </si>
  <si>
    <t>MED_137</t>
  </si>
  <si>
    <t>MED_138</t>
  </si>
  <si>
    <t>MED_139</t>
  </si>
  <si>
    <t>MED_140</t>
  </si>
  <si>
    <t>MED_141</t>
  </si>
  <si>
    <t>MED_142</t>
  </si>
  <si>
    <t>MED_143</t>
  </si>
  <si>
    <t>MED_144</t>
  </si>
  <si>
    <t>MED_145</t>
  </si>
  <si>
    <t>MED_146</t>
  </si>
  <si>
    <t>MED_147</t>
  </si>
  <si>
    <t>MED_148</t>
  </si>
  <si>
    <t>MED_149</t>
  </si>
  <si>
    <t>MED_150</t>
  </si>
  <si>
    <t>MED_151</t>
  </si>
  <si>
    <t>MED_152</t>
  </si>
  <si>
    <t>MED_153</t>
  </si>
  <si>
    <t>MED_154</t>
  </si>
  <si>
    <t>MED_155</t>
  </si>
  <si>
    <t>MED_156</t>
  </si>
  <si>
    <t>MED_157</t>
  </si>
  <si>
    <t>MED_158</t>
  </si>
  <si>
    <t>MED_159</t>
  </si>
  <si>
    <t>MED_160</t>
  </si>
  <si>
    <t>MED_161</t>
  </si>
  <si>
    <t>MED_162</t>
  </si>
  <si>
    <t>MED_163</t>
  </si>
  <si>
    <t>MED_164</t>
  </si>
  <si>
    <t>MED_165</t>
  </si>
  <si>
    <t>MED_166</t>
  </si>
  <si>
    <t>MED_167</t>
  </si>
  <si>
    <t>MED_168</t>
  </si>
  <si>
    <t>MED_169</t>
  </si>
  <si>
    <t>MED_170</t>
  </si>
  <si>
    <t>MED_171</t>
  </si>
  <si>
    <t>MED_172</t>
  </si>
  <si>
    <t>MED_173</t>
  </si>
  <si>
    <t>MED_174</t>
  </si>
  <si>
    <t>MED_175</t>
  </si>
  <si>
    <t>MED_176</t>
  </si>
  <si>
    <t>MED_177</t>
  </si>
  <si>
    <t>MED_178</t>
  </si>
  <si>
    <t>MED_179</t>
  </si>
  <si>
    <t>MED_180</t>
  </si>
  <si>
    <t>MED_181</t>
  </si>
  <si>
    <t>MED_182</t>
  </si>
  <si>
    <t>MED_183</t>
  </si>
  <si>
    <t>MED_184</t>
  </si>
  <si>
    <t>MED_185</t>
  </si>
  <si>
    <t>MED_186</t>
  </si>
  <si>
    <t>MED_187</t>
  </si>
  <si>
    <t>MED_188</t>
  </si>
  <si>
    <t>MED_189</t>
  </si>
  <si>
    <t>MED_190</t>
  </si>
  <si>
    <t>MED_191</t>
  </si>
  <si>
    <t>MED_192</t>
  </si>
  <si>
    <t>MED_193</t>
  </si>
  <si>
    <t>MED_194</t>
  </si>
  <si>
    <t>MED_195</t>
  </si>
  <si>
    <t>MED_196</t>
  </si>
  <si>
    <t>MED_197</t>
  </si>
  <si>
    <t>MED_198</t>
  </si>
  <si>
    <t>MED_199</t>
  </si>
  <si>
    <t>MED_200</t>
  </si>
  <si>
    <t>MED_201</t>
  </si>
  <si>
    <t>MED_202</t>
  </si>
  <si>
    <t>MED_203</t>
  </si>
  <si>
    <t>MED_204</t>
  </si>
  <si>
    <t>MED_205</t>
  </si>
  <si>
    <t>MED_206</t>
  </si>
  <si>
    <t>MED_207</t>
  </si>
  <si>
    <t>MED_208</t>
  </si>
  <si>
    <t>MED_209</t>
  </si>
  <si>
    <t>MED_210</t>
  </si>
  <si>
    <t>MED_211</t>
  </si>
  <si>
    <t>MED_212</t>
  </si>
  <si>
    <t>MED_213</t>
  </si>
  <si>
    <t>MED_214</t>
  </si>
  <si>
    <t>MED_215</t>
  </si>
  <si>
    <t>MED_216</t>
  </si>
  <si>
    <t>MED_217</t>
  </si>
  <si>
    <t>MED_218</t>
  </si>
  <si>
    <t>MED_219</t>
  </si>
  <si>
    <t>MED_220</t>
  </si>
  <si>
    <t>MED_221</t>
  </si>
  <si>
    <t>MED_222</t>
  </si>
  <si>
    <t>MED_223</t>
  </si>
  <si>
    <t>MED_224</t>
  </si>
  <si>
    <t>MED_225</t>
  </si>
  <si>
    <t>MED_226</t>
  </si>
  <si>
    <t>MED_227</t>
  </si>
  <si>
    <t>MED_228</t>
  </si>
  <si>
    <t>MED_229</t>
  </si>
  <si>
    <t>MED_230</t>
  </si>
  <si>
    <t>MED_231</t>
  </si>
  <si>
    <t>MED_232</t>
  </si>
  <si>
    <t>MED_233</t>
  </si>
  <si>
    <t>MED_234</t>
  </si>
  <si>
    <t>MED_235</t>
  </si>
  <si>
    <t>MED_236</t>
  </si>
  <si>
    <t>MED_237</t>
  </si>
  <si>
    <t>MED_238</t>
  </si>
  <si>
    <t>MED_239</t>
  </si>
  <si>
    <t>MED_240</t>
  </si>
  <si>
    <t>MED_241</t>
  </si>
  <si>
    <t>MED_242</t>
  </si>
  <si>
    <t>MED_243</t>
  </si>
  <si>
    <t>MED_244</t>
  </si>
  <si>
    <t>MED_245</t>
  </si>
  <si>
    <t>MED_246</t>
  </si>
  <si>
    <t>MED_247</t>
  </si>
  <si>
    <t>MED_248</t>
  </si>
  <si>
    <t>MED_249</t>
  </si>
  <si>
    <t>MED_250</t>
  </si>
  <si>
    <t>MED_251</t>
  </si>
  <si>
    <t>MED_252</t>
  </si>
  <si>
    <t>MED_253</t>
  </si>
  <si>
    <t>MED_254</t>
  </si>
  <si>
    <t>MED_255</t>
  </si>
  <si>
    <t>MED_256</t>
  </si>
  <si>
    <t>MED_257</t>
  </si>
  <si>
    <t>MED_258</t>
  </si>
  <si>
    <t>MED_259</t>
  </si>
  <si>
    <t>MED_260</t>
  </si>
  <si>
    <t>MED_261</t>
  </si>
  <si>
    <t>MED_262</t>
  </si>
  <si>
    <t>MED_263</t>
  </si>
  <si>
    <t>MED_264</t>
  </si>
  <si>
    <t>MED_265</t>
  </si>
  <si>
    <t>MED_266</t>
  </si>
  <si>
    <t>MED_267</t>
  </si>
  <si>
    <t>MED_268</t>
  </si>
  <si>
    <t>MED_269</t>
  </si>
  <si>
    <t>MED_270</t>
  </si>
  <si>
    <t>MED_271</t>
  </si>
  <si>
    <t>MED_272</t>
  </si>
  <si>
    <t>MED_273</t>
  </si>
  <si>
    <t>MED_274</t>
  </si>
  <si>
    <t>MED_275</t>
  </si>
  <si>
    <t>MED_276</t>
  </si>
  <si>
    <t>MED_277</t>
  </si>
  <si>
    <t>MED_278</t>
  </si>
  <si>
    <t>MED_279</t>
  </si>
  <si>
    <t>MED_280</t>
  </si>
  <si>
    <t>MED_281</t>
  </si>
  <si>
    <t>MED_282</t>
  </si>
  <si>
    <t>MED_283</t>
  </si>
  <si>
    <t>MED_284</t>
  </si>
  <si>
    <t>MED_285</t>
  </si>
  <si>
    <t>MED_286</t>
  </si>
  <si>
    <t>MED_287</t>
  </si>
  <si>
    <t>MED_288</t>
  </si>
  <si>
    <t>MED_289</t>
  </si>
  <si>
    <t>MED_290</t>
  </si>
  <si>
    <t>MED_291</t>
  </si>
  <si>
    <t>MED_292</t>
  </si>
  <si>
    <t>MED_293</t>
  </si>
  <si>
    <t>MED_294</t>
  </si>
  <si>
    <t>MED_295</t>
  </si>
  <si>
    <t>MED_296</t>
  </si>
  <si>
    <t>MED_297</t>
  </si>
  <si>
    <t>MED_298</t>
  </si>
  <si>
    <t>MED_299</t>
  </si>
  <si>
    <t>MED_300</t>
  </si>
  <si>
    <t>MED_301</t>
  </si>
  <si>
    <t>MED_302</t>
  </si>
  <si>
    <t>MED_303</t>
  </si>
  <si>
    <t>MED_304</t>
  </si>
  <si>
    <t>MED_305</t>
  </si>
  <si>
    <t>MED_306</t>
  </si>
  <si>
    <t>MED_307</t>
  </si>
  <si>
    <t>MED_308</t>
  </si>
  <si>
    <t>MED_309</t>
  </si>
  <si>
    <t>MED_310</t>
  </si>
  <si>
    <t>MED_311</t>
  </si>
  <si>
    <t>MED_312</t>
  </si>
  <si>
    <t>MED_313</t>
  </si>
  <si>
    <t>MED_314</t>
  </si>
  <si>
    <t>MED_315</t>
  </si>
  <si>
    <t>MED_316</t>
  </si>
  <si>
    <t>MED_317</t>
  </si>
  <si>
    <t>MED_318</t>
  </si>
  <si>
    <t>MED_319</t>
  </si>
  <si>
    <t>MED_320</t>
  </si>
  <si>
    <t>MED_321</t>
  </si>
  <si>
    <t>MED_322</t>
  </si>
  <si>
    <t>MED_323</t>
  </si>
  <si>
    <t>MED_324</t>
  </si>
  <si>
    <t>MED_325</t>
  </si>
  <si>
    <t>MED_326</t>
  </si>
  <si>
    <t>MED_327</t>
  </si>
  <si>
    <t>MED_328</t>
  </si>
  <si>
    <t>MED_329</t>
  </si>
  <si>
    <t>MED_330</t>
  </si>
  <si>
    <t>MED_331</t>
  </si>
  <si>
    <t>MED_332</t>
  </si>
  <si>
    <t>MED_333</t>
  </si>
  <si>
    <t>MED_334</t>
  </si>
  <si>
    <t>MED_335</t>
  </si>
  <si>
    <t>MED_336</t>
  </si>
  <si>
    <t>MED_337</t>
  </si>
  <si>
    <t>MED_338</t>
  </si>
  <si>
    <t>MED_339</t>
  </si>
  <si>
    <t>MED_340</t>
  </si>
  <si>
    <t>MED_341</t>
  </si>
  <si>
    <t>MED_342</t>
  </si>
  <si>
    <t>MED_343</t>
  </si>
  <si>
    <t>MED_344</t>
  </si>
  <si>
    <t>MED_345</t>
  </si>
  <si>
    <t>MED_346</t>
  </si>
  <si>
    <t>MED_347</t>
  </si>
  <si>
    <t>MED_348</t>
  </si>
  <si>
    <t>MED_349</t>
  </si>
  <si>
    <t>MED_350</t>
  </si>
  <si>
    <t>MED_351</t>
  </si>
  <si>
    <t>MED_352</t>
  </si>
  <si>
    <t>MED_353</t>
  </si>
  <si>
    <t>MED_354</t>
  </si>
  <si>
    <t>MED_355</t>
  </si>
  <si>
    <t>MED_356</t>
  </si>
  <si>
    <t>MED_357</t>
  </si>
  <si>
    <t>MED_358</t>
  </si>
  <si>
    <t>MED_359</t>
  </si>
  <si>
    <t>MED_360</t>
  </si>
  <si>
    <t>MED_361</t>
  </si>
  <si>
    <t>MED_362</t>
  </si>
  <si>
    <t>MED_363</t>
  </si>
  <si>
    <t>MED_364</t>
  </si>
  <si>
    <t>MED_365</t>
  </si>
  <si>
    <t>MED_366</t>
  </si>
  <si>
    <t>MED_367</t>
  </si>
  <si>
    <t>MED_368</t>
  </si>
  <si>
    <t>MED_369</t>
  </si>
  <si>
    <t>MED_370</t>
  </si>
  <si>
    <t>MED_371</t>
  </si>
  <si>
    <t>MED_372</t>
  </si>
  <si>
    <t>MED_373</t>
  </si>
  <si>
    <t>MED_374</t>
  </si>
  <si>
    <t>MED_375</t>
  </si>
  <si>
    <t>MED_376</t>
  </si>
  <si>
    <t>MED_377</t>
  </si>
  <si>
    <t>MED_378</t>
  </si>
  <si>
    <t>MED_379</t>
  </si>
  <si>
    <t>MED_380</t>
  </si>
  <si>
    <t>MED_381</t>
  </si>
  <si>
    <t>MED_382</t>
  </si>
  <si>
    <t>MED_383</t>
  </si>
  <si>
    <t>MED_384</t>
  </si>
  <si>
    <t>MED_385</t>
  </si>
  <si>
    <t>MED_386</t>
  </si>
  <si>
    <t>MED_387</t>
  </si>
  <si>
    <t>MED_388</t>
  </si>
  <si>
    <t>MED_389</t>
  </si>
  <si>
    <t>MED_390</t>
  </si>
  <si>
    <t>MED_391</t>
  </si>
  <si>
    <t>MED_392</t>
  </si>
  <si>
    <t>MED_393</t>
  </si>
  <si>
    <t>MED_394</t>
  </si>
  <si>
    <t>MED_395</t>
  </si>
  <si>
    <t>MED_396</t>
  </si>
  <si>
    <t>MED_397</t>
  </si>
  <si>
    <t>MED_398</t>
  </si>
  <si>
    <t>MED_399</t>
  </si>
  <si>
    <t>MED_400</t>
  </si>
  <si>
    <t>MED_401</t>
  </si>
  <si>
    <t>MED_402</t>
  </si>
  <si>
    <t>MED_403</t>
  </si>
  <si>
    <t>MED_404</t>
  </si>
  <si>
    <t>MED_405</t>
  </si>
  <si>
    <t>MED_406</t>
  </si>
  <si>
    <t>MED_407</t>
  </si>
  <si>
    <t>MED_408</t>
  </si>
  <si>
    <t>MED_409</t>
  </si>
  <si>
    <t>MED_410</t>
  </si>
  <si>
    <t>MED_411</t>
  </si>
  <si>
    <t>MED_412</t>
  </si>
  <si>
    <t>MED_413</t>
  </si>
  <si>
    <t>MED_414</t>
  </si>
  <si>
    <t>MED_415</t>
  </si>
  <si>
    <t>MED_416</t>
  </si>
  <si>
    <t>MED_417</t>
  </si>
  <si>
    <t>MED_418</t>
  </si>
  <si>
    <t>MED_419</t>
  </si>
  <si>
    <t>MED_420</t>
  </si>
  <si>
    <t>MED_421</t>
  </si>
  <si>
    <t>MED_422</t>
  </si>
  <si>
    <t>MED_423</t>
  </si>
  <si>
    <t>MED_424</t>
  </si>
  <si>
    <t>MED_425</t>
  </si>
  <si>
    <t>MED_426</t>
  </si>
  <si>
    <t>MED_427</t>
  </si>
  <si>
    <t>MED_428</t>
  </si>
  <si>
    <t>MED_429</t>
  </si>
  <si>
    <t>MED_430</t>
  </si>
  <si>
    <t>MED_431</t>
  </si>
  <si>
    <t>MED_432</t>
  </si>
  <si>
    <t>MED_433</t>
  </si>
  <si>
    <t>MED_434</t>
  </si>
  <si>
    <t>MED_435</t>
  </si>
  <si>
    <t>MED_436</t>
  </si>
  <si>
    <t>MED_437</t>
  </si>
  <si>
    <t>MED_438</t>
  </si>
  <si>
    <t>MED_439</t>
  </si>
  <si>
    <t>MED_440</t>
  </si>
  <si>
    <t>MED_441</t>
  </si>
  <si>
    <t>MED_442</t>
  </si>
  <si>
    <t>MED_443</t>
  </si>
  <si>
    <t>MED_444</t>
  </si>
  <si>
    <t>MED_445</t>
  </si>
  <si>
    <t>MED_446</t>
  </si>
  <si>
    <t>MED_447</t>
  </si>
  <si>
    <t>MED_448</t>
  </si>
  <si>
    <t>MED_449</t>
  </si>
  <si>
    <t>MED_450</t>
  </si>
  <si>
    <t>MED_451</t>
  </si>
  <si>
    <t>MED_452</t>
  </si>
  <si>
    <t>MED_453</t>
  </si>
  <si>
    <t>MED_454</t>
  </si>
  <si>
    <t>MED_455</t>
  </si>
  <si>
    <t>MED_456</t>
  </si>
  <si>
    <t>MED_457</t>
  </si>
  <si>
    <t>MED_458</t>
  </si>
  <si>
    <t>MED_459</t>
  </si>
  <si>
    <t>MED_460</t>
  </si>
  <si>
    <t>MED_461</t>
  </si>
  <si>
    <t>MED_462</t>
  </si>
  <si>
    <t>MED_463</t>
  </si>
  <si>
    <t>MED_464</t>
  </si>
  <si>
    <t>MED_465</t>
  </si>
  <si>
    <t>MED_466</t>
  </si>
  <si>
    <t>MED_467</t>
  </si>
  <si>
    <t>MED_468</t>
  </si>
  <si>
    <t>MED_469</t>
  </si>
  <si>
    <t>MED_470</t>
  </si>
  <si>
    <t>MED_471</t>
  </si>
  <si>
    <t>MED_472</t>
  </si>
  <si>
    <t>MED_473</t>
  </si>
  <si>
    <t>MED_474</t>
  </si>
  <si>
    <t>MED_475</t>
  </si>
  <si>
    <t>MED_476</t>
  </si>
  <si>
    <t>MED_477</t>
  </si>
  <si>
    <t>MED_478</t>
  </si>
  <si>
    <t>MED_479</t>
  </si>
  <si>
    <t>MED_480</t>
  </si>
  <si>
    <t>MED_481</t>
  </si>
  <si>
    <t>MED_482</t>
  </si>
  <si>
    <t>MED_483</t>
  </si>
  <si>
    <t>MED_484</t>
  </si>
  <si>
    <t>MED_485</t>
  </si>
  <si>
    <t>MED_486</t>
  </si>
  <si>
    <t>MED_487</t>
  </si>
  <si>
    <t>MED_488</t>
  </si>
  <si>
    <t>MED_489</t>
  </si>
  <si>
    <t>MED_490</t>
  </si>
  <si>
    <t>MED_491</t>
  </si>
  <si>
    <t>MED_492</t>
  </si>
  <si>
    <t>MED_493</t>
  </si>
  <si>
    <t>MED_494</t>
  </si>
  <si>
    <t>MED_495</t>
  </si>
  <si>
    <t>MED_496</t>
  </si>
  <si>
    <t>MED_497</t>
  </si>
  <si>
    <t>MED_498</t>
  </si>
  <si>
    <t>MED_499</t>
  </si>
  <si>
    <t>MED_500</t>
  </si>
  <si>
    <t>MED_501</t>
  </si>
  <si>
    <t>MED_502</t>
  </si>
  <si>
    <t>MED_503</t>
  </si>
  <si>
    <t>MED_504</t>
  </si>
  <si>
    <t>MED_505</t>
  </si>
  <si>
    <t>MED_506</t>
  </si>
  <si>
    <t>MED_507</t>
  </si>
  <si>
    <t>MED_508</t>
  </si>
  <si>
    <t>MED_509</t>
  </si>
  <si>
    <t>MED_510</t>
  </si>
  <si>
    <t>MED_511</t>
  </si>
  <si>
    <t>MED_512</t>
  </si>
  <si>
    <t>MED_513</t>
  </si>
  <si>
    <t>MED_514</t>
  </si>
  <si>
    <t>MED_515</t>
  </si>
  <si>
    <t>MED_516</t>
  </si>
  <si>
    <t>MED_517</t>
  </si>
  <si>
    <t>MED_518</t>
  </si>
  <si>
    <t>MED_519</t>
  </si>
  <si>
    <t>MED_520</t>
  </si>
  <si>
    <t>MED_521</t>
  </si>
  <si>
    <t>MED_522</t>
  </si>
  <si>
    <t>MED_523</t>
  </si>
  <si>
    <t>MED_524</t>
  </si>
  <si>
    <t>MED_525</t>
  </si>
  <si>
    <t>MED_526</t>
  </si>
  <si>
    <t>MED_527</t>
  </si>
  <si>
    <t>MED_528</t>
  </si>
  <si>
    <t>MED_529</t>
  </si>
  <si>
    <t>MED_530</t>
  </si>
  <si>
    <t>MED_531</t>
  </si>
  <si>
    <t>MED_532</t>
  </si>
  <si>
    <t>MED_533</t>
  </si>
  <si>
    <t>MED_534</t>
  </si>
  <si>
    <t>MED_535</t>
  </si>
  <si>
    <t>MED_536</t>
  </si>
  <si>
    <t>MED_537</t>
  </si>
  <si>
    <t>MED_538</t>
  </si>
  <si>
    <t>MED_539</t>
  </si>
  <si>
    <t>MED_540</t>
  </si>
  <si>
    <t>MED_541</t>
  </si>
  <si>
    <t>MED_542</t>
  </si>
  <si>
    <t>MED_543</t>
  </si>
  <si>
    <t>MED_544</t>
  </si>
  <si>
    <t>MED_545</t>
  </si>
  <si>
    <t>MED_546</t>
  </si>
  <si>
    <t>MED_547</t>
  </si>
  <si>
    <t>MED_548</t>
  </si>
  <si>
    <t>MED_549</t>
  </si>
  <si>
    <t>MED_550</t>
  </si>
  <si>
    <t>MED_551</t>
  </si>
  <si>
    <t>MED_552</t>
  </si>
  <si>
    <t>MED_553</t>
  </si>
  <si>
    <t>MED_554</t>
  </si>
  <si>
    <t>MED_555</t>
  </si>
  <si>
    <t>MED_556</t>
  </si>
  <si>
    <t>MED_557</t>
  </si>
  <si>
    <t>MED_558</t>
  </si>
  <si>
    <t>MED_559</t>
  </si>
  <si>
    <t>MED_560</t>
  </si>
  <si>
    <t>MED_561</t>
  </si>
  <si>
    <t>MED_562</t>
  </si>
  <si>
    <t>MED_563</t>
  </si>
  <si>
    <t>MED_564</t>
  </si>
  <si>
    <t>MED_565</t>
  </si>
  <si>
    <t>MED_566</t>
  </si>
  <si>
    <t>MED_567</t>
  </si>
  <si>
    <t>MED_568</t>
  </si>
  <si>
    <t>MED_569</t>
  </si>
  <si>
    <t>MED_570</t>
  </si>
  <si>
    <t>MED_571</t>
  </si>
  <si>
    <t>MED_572</t>
  </si>
  <si>
    <t>MED_573</t>
  </si>
  <si>
    <t>MED_574</t>
  </si>
  <si>
    <t>MED_575</t>
  </si>
  <si>
    <t>MED_576</t>
  </si>
  <si>
    <t>MED_577</t>
  </si>
  <si>
    <t>MED_578</t>
  </si>
  <si>
    <t>MED_579</t>
  </si>
  <si>
    <t>MED_580</t>
  </si>
  <si>
    <t>MED_581</t>
  </si>
  <si>
    <t>MED_582</t>
  </si>
  <si>
    <t>MED_583</t>
  </si>
  <si>
    <t>MED_584</t>
  </si>
  <si>
    <t>MED_585</t>
  </si>
  <si>
    <t>MED_586</t>
  </si>
  <si>
    <t>MED_587</t>
  </si>
  <si>
    <t>MED_588</t>
  </si>
  <si>
    <t>MED_589</t>
  </si>
  <si>
    <t>MED_590</t>
  </si>
  <si>
    <t>MED_591</t>
  </si>
  <si>
    <t>MED_592</t>
  </si>
  <si>
    <t>MED_593</t>
  </si>
  <si>
    <t>MED_594</t>
  </si>
  <si>
    <t>MED_595</t>
  </si>
  <si>
    <t>MED_596</t>
  </si>
  <si>
    <t>MED_597</t>
  </si>
  <si>
    <t>MED_598</t>
  </si>
  <si>
    <t>MED_599</t>
  </si>
  <si>
    <t>MED_600</t>
  </si>
  <si>
    <t>MED_601</t>
  </si>
  <si>
    <t>MED_602</t>
  </si>
  <si>
    <t>MED_603</t>
  </si>
  <si>
    <t>MED_604</t>
  </si>
  <si>
    <t>MED_605</t>
  </si>
  <si>
    <t>MED_606</t>
  </si>
  <si>
    <t>MED_607</t>
  </si>
  <si>
    <t>MED_608</t>
  </si>
  <si>
    <t>MED_609</t>
  </si>
  <si>
    <t>MED_610</t>
  </si>
  <si>
    <t>MED_611</t>
  </si>
  <si>
    <t>MED_612</t>
  </si>
  <si>
    <t>MED_613</t>
  </si>
  <si>
    <t>MED_614</t>
  </si>
  <si>
    <t>MED_615</t>
  </si>
  <si>
    <t>MED_616</t>
  </si>
  <si>
    <t>MED_617</t>
  </si>
  <si>
    <t>MED_618</t>
  </si>
  <si>
    <t>MED_619</t>
  </si>
  <si>
    <t>MED_620</t>
  </si>
  <si>
    <t>MED_621</t>
  </si>
  <si>
    <t>MED_622</t>
  </si>
  <si>
    <t>MED_623</t>
  </si>
  <si>
    <t>MED_624</t>
  </si>
  <si>
    <t>MED_625</t>
  </si>
  <si>
    <t>MED_626</t>
  </si>
  <si>
    <t>MED_627</t>
  </si>
  <si>
    <t>MED_628</t>
  </si>
  <si>
    <t>MED_629</t>
  </si>
  <si>
    <t>MED_630</t>
  </si>
  <si>
    <t>MED_631</t>
  </si>
  <si>
    <t>MED_632</t>
  </si>
  <si>
    <t>MED_633</t>
  </si>
  <si>
    <t>MED_634</t>
  </si>
  <si>
    <t>MED_635</t>
  </si>
  <si>
    <t>MED_636</t>
  </si>
  <si>
    <t>MED_637</t>
  </si>
  <si>
    <t>MED_638</t>
  </si>
  <si>
    <t>MED_639</t>
  </si>
  <si>
    <t>MED_640</t>
  </si>
  <si>
    <t>MED_641</t>
  </si>
  <si>
    <t>MED_642</t>
  </si>
  <si>
    <t>MED_643</t>
  </si>
  <si>
    <t>MED_644</t>
  </si>
  <si>
    <t>MED_645</t>
  </si>
  <si>
    <t>MED_646</t>
  </si>
  <si>
    <t>MED_647</t>
  </si>
  <si>
    <t>MED_648</t>
  </si>
  <si>
    <t>MED_649</t>
  </si>
  <si>
    <t>MED_650</t>
  </si>
  <si>
    <t>MED_651</t>
  </si>
  <si>
    <t>MED_652</t>
  </si>
  <si>
    <t>MED_653</t>
  </si>
  <si>
    <t>MED_654</t>
  </si>
  <si>
    <t>MED_655</t>
  </si>
  <si>
    <t>MED_656</t>
  </si>
  <si>
    <t>MED_657</t>
  </si>
  <si>
    <t>MED_658</t>
  </si>
  <si>
    <t>MED_659</t>
  </si>
  <si>
    <t>MED_660</t>
  </si>
  <si>
    <t>MED_661</t>
  </si>
  <si>
    <t>MED_662</t>
  </si>
  <si>
    <t>MED_663</t>
  </si>
  <si>
    <t>MED_664</t>
  </si>
  <si>
    <t>MED_665</t>
  </si>
  <si>
    <t>MED_666</t>
  </si>
  <si>
    <t>MED_667</t>
  </si>
  <si>
    <t>MED_668</t>
  </si>
  <si>
    <t>MED_669</t>
  </si>
  <si>
    <t>MED_670</t>
  </si>
  <si>
    <t>MED_671</t>
  </si>
  <si>
    <t>MED_672</t>
  </si>
  <si>
    <t>MED_673</t>
  </si>
  <si>
    <t>MED_674</t>
  </si>
  <si>
    <t>MED_675</t>
  </si>
  <si>
    <t>MED_676</t>
  </si>
  <si>
    <t>MED_677</t>
  </si>
  <si>
    <t>MED_678</t>
  </si>
  <si>
    <t>MED_679</t>
  </si>
  <si>
    <t>MED_680</t>
  </si>
  <si>
    <t>MED_681</t>
  </si>
  <si>
    <t>MED_682</t>
  </si>
  <si>
    <t>MED_683</t>
  </si>
  <si>
    <t>MED_684</t>
  </si>
  <si>
    <t>MED_685</t>
  </si>
  <si>
    <t>MED_686</t>
  </si>
  <si>
    <t>MED_687</t>
  </si>
  <si>
    <t>MED_688</t>
  </si>
  <si>
    <t>MED_689</t>
  </si>
  <si>
    <t>MED_690</t>
  </si>
  <si>
    <t>MED_691</t>
  </si>
  <si>
    <t>MED_692</t>
  </si>
  <si>
    <t>MED_693</t>
  </si>
  <si>
    <t>MED_694</t>
  </si>
  <si>
    <t>MED_695</t>
  </si>
  <si>
    <t>MED_696</t>
  </si>
  <si>
    <t>MED_697</t>
  </si>
  <si>
    <t>MED_698</t>
  </si>
  <si>
    <t>MED_699</t>
  </si>
  <si>
    <t>MED_700</t>
  </si>
  <si>
    <t>MED_701</t>
  </si>
  <si>
    <t>MED_702</t>
  </si>
  <si>
    <t>MED_703</t>
  </si>
  <si>
    <t>MED_704</t>
  </si>
  <si>
    <t>MED_705</t>
  </si>
  <si>
    <t>MED_706</t>
  </si>
  <si>
    <t>MED_707</t>
  </si>
  <si>
    <t>MED_708</t>
  </si>
  <si>
    <t>MED_709</t>
  </si>
  <si>
    <t>MED_710</t>
  </si>
  <si>
    <t>MED_711</t>
  </si>
  <si>
    <t>MED_712</t>
  </si>
  <si>
    <t>MED_713</t>
  </si>
  <si>
    <t>MED_714</t>
  </si>
  <si>
    <t>MED_715</t>
  </si>
  <si>
    <t>MED_716</t>
  </si>
  <si>
    <t>MED_717</t>
  </si>
  <si>
    <t>MED_718</t>
  </si>
  <si>
    <t>MED_719</t>
  </si>
  <si>
    <t>MED_720</t>
  </si>
  <si>
    <t>MED_721</t>
  </si>
  <si>
    <t>MED_722</t>
  </si>
  <si>
    <t>MED_723</t>
  </si>
  <si>
    <t>MED_724</t>
  </si>
  <si>
    <t>MED_725</t>
  </si>
  <si>
    <t>MED_726</t>
  </si>
  <si>
    <t>MED_727</t>
  </si>
  <si>
    <t>MED_728</t>
  </si>
  <si>
    <t>MED_729</t>
  </si>
  <si>
    <t>MED_730</t>
  </si>
  <si>
    <t>MED_731</t>
  </si>
  <si>
    <t>MED_732</t>
  </si>
  <si>
    <t>MED_733</t>
  </si>
  <si>
    <t>MED_734</t>
  </si>
  <si>
    <t>MED_735</t>
  </si>
  <si>
    <t>MED_736</t>
  </si>
  <si>
    <t>MED_737</t>
  </si>
  <si>
    <t>MED_738</t>
  </si>
  <si>
    <t>MED_739</t>
  </si>
  <si>
    <t>MED_740</t>
  </si>
  <si>
    <t>MED_741</t>
  </si>
  <si>
    <t>MED_742</t>
  </si>
  <si>
    <t>MED_743</t>
  </si>
  <si>
    <t>MED_744</t>
  </si>
  <si>
    <t>MED_745</t>
  </si>
  <si>
    <t>MED_746</t>
  </si>
  <si>
    <t>MED_747</t>
  </si>
  <si>
    <t>MED_748</t>
  </si>
  <si>
    <t>MED_749</t>
  </si>
  <si>
    <t>MED_750</t>
  </si>
  <si>
    <t>MED_751</t>
  </si>
  <si>
    <t>MED_752</t>
  </si>
  <si>
    <t>MED_753</t>
  </si>
  <si>
    <t>MED_754</t>
  </si>
  <si>
    <t>MED_755</t>
  </si>
  <si>
    <t>MED_756</t>
  </si>
  <si>
    <t>MED_757</t>
  </si>
  <si>
    <t>MED_758</t>
  </si>
  <si>
    <t>MED_759</t>
  </si>
  <si>
    <t>MED_760</t>
  </si>
  <si>
    <t>MED_761</t>
  </si>
  <si>
    <t>MED_762</t>
  </si>
  <si>
    <t>MED_763</t>
  </si>
  <si>
    <t>MED_764</t>
  </si>
  <si>
    <t>MED_765</t>
  </si>
  <si>
    <t>MED_766</t>
  </si>
  <si>
    <t>MED_767</t>
  </si>
  <si>
    <t>MED_768</t>
  </si>
  <si>
    <t>MED_769</t>
  </si>
  <si>
    <t>MED_770</t>
  </si>
  <si>
    <t>MED_771</t>
  </si>
  <si>
    <t>MED_772</t>
  </si>
  <si>
    <t>MED_773</t>
  </si>
  <si>
    <t>MED_774</t>
  </si>
  <si>
    <t>MED_775</t>
  </si>
  <si>
    <t>MED_776</t>
  </si>
  <si>
    <t>MED_777</t>
  </si>
  <si>
    <t>MED_778</t>
  </si>
  <si>
    <t>MED_779</t>
  </si>
  <si>
    <t>MED_780</t>
  </si>
  <si>
    <t>MED_781</t>
  </si>
  <si>
    <t>MED_782</t>
  </si>
  <si>
    <t>MED_783</t>
  </si>
  <si>
    <t>MED_784</t>
  </si>
  <si>
    <t>MED_785</t>
  </si>
  <si>
    <t>MED_786</t>
  </si>
  <si>
    <t>MED_787</t>
  </si>
  <si>
    <t>MED_788</t>
  </si>
  <si>
    <t>MED_789</t>
  </si>
  <si>
    <t>MED_790</t>
  </si>
  <si>
    <t>MED_791</t>
  </si>
  <si>
    <t>MED_792</t>
  </si>
  <si>
    <t>MED_793</t>
  </si>
  <si>
    <t>MED_794</t>
  </si>
  <si>
    <t>MED_795</t>
  </si>
  <si>
    <t>MED_796</t>
  </si>
  <si>
    <t>MED_797</t>
  </si>
  <si>
    <t>MED_798</t>
  </si>
  <si>
    <t>MED_799</t>
  </si>
  <si>
    <t>MED_800</t>
  </si>
  <si>
    <t>MED_801</t>
  </si>
  <si>
    <t>MED_802</t>
  </si>
  <si>
    <t>MED_803</t>
  </si>
  <si>
    <t>MED_804</t>
  </si>
  <si>
    <t>MED_805</t>
  </si>
  <si>
    <t>MED_806</t>
  </si>
  <si>
    <t>MED_807</t>
  </si>
  <si>
    <t>MED_808</t>
  </si>
  <si>
    <t>MED_809</t>
  </si>
  <si>
    <t>MED_810</t>
  </si>
  <si>
    <t>MED_811</t>
  </si>
  <si>
    <t>MED_812</t>
  </si>
  <si>
    <t>MED_813</t>
  </si>
  <si>
    <t>MED_814</t>
  </si>
  <si>
    <t>MED_815</t>
  </si>
  <si>
    <t>MED_816</t>
  </si>
  <si>
    <t>MED_817</t>
  </si>
  <si>
    <t>MED_818</t>
  </si>
  <si>
    <t>MED_819</t>
  </si>
  <si>
    <t>MED_820</t>
  </si>
  <si>
    <t>MED_821</t>
  </si>
  <si>
    <t>MED_822</t>
  </si>
  <si>
    <t>MED_823</t>
  </si>
  <si>
    <t>MED_824</t>
  </si>
  <si>
    <t>MED_825</t>
  </si>
  <si>
    <t>MED_826</t>
  </si>
  <si>
    <t>MED_827</t>
  </si>
  <si>
    <t>MED_828</t>
  </si>
  <si>
    <t>MED_829</t>
  </si>
  <si>
    <t>MED_830</t>
  </si>
  <si>
    <t>MED_831</t>
  </si>
  <si>
    <t>MED_832</t>
  </si>
  <si>
    <t>MED_833</t>
  </si>
  <si>
    <t>MED_834</t>
  </si>
  <si>
    <t>MED_835</t>
  </si>
  <si>
    <t>MED_836</t>
  </si>
  <si>
    <t>MED_837</t>
  </si>
  <si>
    <t>MED_838</t>
  </si>
  <si>
    <t>MED_839</t>
  </si>
  <si>
    <t>MED_840</t>
  </si>
  <si>
    <t>MED_841</t>
  </si>
  <si>
    <t>MED_842</t>
  </si>
  <si>
    <t>MED_843</t>
  </si>
  <si>
    <t>MED_844</t>
  </si>
  <si>
    <t>MED_845</t>
  </si>
  <si>
    <t>MED_846</t>
  </si>
  <si>
    <t>MED_847</t>
  </si>
  <si>
    <t>MED_848</t>
  </si>
  <si>
    <t>MED_849</t>
  </si>
  <si>
    <t>MED_850</t>
  </si>
  <si>
    <t>MED_851</t>
  </si>
  <si>
    <t>MED_852</t>
  </si>
  <si>
    <t>MED_853</t>
  </si>
  <si>
    <t>MED_854</t>
  </si>
  <si>
    <t>MED_855</t>
  </si>
  <si>
    <t>MED_856</t>
  </si>
  <si>
    <t>MED_857</t>
  </si>
  <si>
    <t>MED_858</t>
  </si>
  <si>
    <t>MED_859</t>
  </si>
  <si>
    <t>MED_860</t>
  </si>
  <si>
    <t>MED_861</t>
  </si>
  <si>
    <t>MED_862</t>
  </si>
  <si>
    <t>MED_863</t>
  </si>
  <si>
    <t>MED_864</t>
  </si>
  <si>
    <t>MED_865</t>
  </si>
  <si>
    <t>MED_866</t>
  </si>
  <si>
    <t>MED_867</t>
  </si>
  <si>
    <t>MED_868</t>
  </si>
  <si>
    <t>MED_869</t>
  </si>
  <si>
    <t>MED_870</t>
  </si>
  <si>
    <t>MED_871</t>
  </si>
  <si>
    <t>MED_872</t>
  </si>
  <si>
    <t>MED_873</t>
  </si>
  <si>
    <t>MED_874</t>
  </si>
  <si>
    <t>MED_875</t>
  </si>
  <si>
    <t>MED_876</t>
  </si>
  <si>
    <t>MED_877</t>
  </si>
  <si>
    <t>MED_878</t>
  </si>
  <si>
    <t>MED_879</t>
  </si>
  <si>
    <t>MED_880</t>
  </si>
  <si>
    <t>MED_881</t>
  </si>
  <si>
    <t>MED_882</t>
  </si>
  <si>
    <t>MED_883</t>
  </si>
  <si>
    <t>MED_884</t>
  </si>
  <si>
    <t>MED_885</t>
  </si>
  <si>
    <t>MED_886</t>
  </si>
  <si>
    <t>MED_887</t>
  </si>
  <si>
    <t>MED_888</t>
  </si>
  <si>
    <t>MED_889</t>
  </si>
  <si>
    <t>MED_890</t>
  </si>
  <si>
    <t>MED_891</t>
  </si>
  <si>
    <t>MED_892</t>
  </si>
  <si>
    <t>MED_893</t>
  </si>
  <si>
    <t>MED_894</t>
  </si>
  <si>
    <t>MED_895</t>
  </si>
  <si>
    <t>MED_896</t>
  </si>
  <si>
    <t>MED_897</t>
  </si>
  <si>
    <t>MED_898</t>
  </si>
  <si>
    <t>MED_899</t>
  </si>
  <si>
    <t>MED_900</t>
  </si>
  <si>
    <t>MED_901</t>
  </si>
  <si>
    <t>MED_902</t>
  </si>
  <si>
    <t>MED_903</t>
  </si>
  <si>
    <t>MED_904</t>
  </si>
  <si>
    <t>MED_905</t>
  </si>
  <si>
    <t>MED_906</t>
  </si>
  <si>
    <t>MED_907</t>
  </si>
  <si>
    <t>MED_908</t>
  </si>
  <si>
    <t>MED_909</t>
  </si>
  <si>
    <t>MED_910</t>
  </si>
  <si>
    <t>MED_911</t>
  </si>
  <si>
    <t>MED_912</t>
  </si>
  <si>
    <t>MED_913</t>
  </si>
  <si>
    <t>MED_914</t>
  </si>
  <si>
    <t>MED_915</t>
  </si>
  <si>
    <t>MED_916</t>
  </si>
  <si>
    <t>MED_917</t>
  </si>
  <si>
    <t>MED_918</t>
  </si>
  <si>
    <t>MED_919</t>
  </si>
  <si>
    <t>MED_920</t>
  </si>
  <si>
    <t>MED_921</t>
  </si>
  <si>
    <t>MED_922</t>
  </si>
  <si>
    <t>MED_923</t>
  </si>
  <si>
    <t>MED_924</t>
  </si>
  <si>
    <t>MED_925</t>
  </si>
  <si>
    <t>MED_926</t>
  </si>
  <si>
    <t>MED_927</t>
  </si>
  <si>
    <t>MED_928</t>
  </si>
  <si>
    <t>MED_929</t>
  </si>
  <si>
    <t>MED_930</t>
  </si>
  <si>
    <t>MED_931</t>
  </si>
  <si>
    <t>MED_932</t>
  </si>
  <si>
    <t>MED_933</t>
  </si>
  <si>
    <t>MED_934</t>
  </si>
  <si>
    <t>MED_935</t>
  </si>
  <si>
    <t>MED_936</t>
  </si>
  <si>
    <t>MED_937</t>
  </si>
  <si>
    <t>MED_938</t>
  </si>
  <si>
    <t>MED_939</t>
  </si>
  <si>
    <t>MED_940</t>
  </si>
  <si>
    <t>MED_941</t>
  </si>
  <si>
    <t>MED_942</t>
  </si>
  <si>
    <t>MED_943</t>
  </si>
  <si>
    <t>MED_944</t>
  </si>
  <si>
    <t>MED_945</t>
  </si>
  <si>
    <t>MED_946</t>
  </si>
  <si>
    <t>MED_947</t>
  </si>
  <si>
    <t>MED_948</t>
  </si>
  <si>
    <t>MED_949</t>
  </si>
  <si>
    <t>MED_950</t>
  </si>
  <si>
    <t>MED_951</t>
  </si>
  <si>
    <t>MED_952</t>
  </si>
  <si>
    <t>MED_953</t>
  </si>
  <si>
    <t>MED_954</t>
  </si>
  <si>
    <t>MED_955</t>
  </si>
  <si>
    <t>MED_956</t>
  </si>
  <si>
    <t>MED_957</t>
  </si>
  <si>
    <t>MED_958</t>
  </si>
  <si>
    <t>MED_959</t>
  </si>
  <si>
    <t>MED_960</t>
  </si>
  <si>
    <t>MED_961</t>
  </si>
  <si>
    <t>MED_962</t>
  </si>
  <si>
    <t>MED_963</t>
  </si>
  <si>
    <t>MED_964</t>
  </si>
  <si>
    <t>MED_965</t>
  </si>
  <si>
    <t>MED_966</t>
  </si>
  <si>
    <t>MED_967</t>
  </si>
  <si>
    <t>MED_968</t>
  </si>
  <si>
    <t>MED_969</t>
  </si>
  <si>
    <t>MED_970</t>
  </si>
  <si>
    <t>MED_971</t>
  </si>
  <si>
    <t>MED_972</t>
  </si>
  <si>
    <t>MED_973</t>
  </si>
  <si>
    <t>MED_974</t>
  </si>
  <si>
    <t>MED_975</t>
  </si>
  <si>
    <t>MED_976</t>
  </si>
  <si>
    <t>MED_977</t>
  </si>
  <si>
    <t>MED_978</t>
  </si>
  <si>
    <t>MED_979</t>
  </si>
  <si>
    <t>MED_980</t>
  </si>
  <si>
    <t>MED_981</t>
  </si>
  <si>
    <t>MED_982</t>
  </si>
  <si>
    <t>MED_983</t>
  </si>
  <si>
    <t>MED_984</t>
  </si>
  <si>
    <t>MED_985</t>
  </si>
  <si>
    <t>MED_986</t>
  </si>
  <si>
    <t>MED_987</t>
  </si>
  <si>
    <t>MED_988</t>
  </si>
  <si>
    <t>MED_989</t>
  </si>
  <si>
    <t>MED_990</t>
  </si>
  <si>
    <t>MED_991</t>
  </si>
  <si>
    <t>MED_992</t>
  </si>
  <si>
    <t>MED_993</t>
  </si>
  <si>
    <t>MED_994</t>
  </si>
  <si>
    <t>MED_995</t>
  </si>
  <si>
    <t>MED_996</t>
  </si>
  <si>
    <t>MED_997</t>
  </si>
  <si>
    <t>MED_998</t>
  </si>
  <si>
    <t>MED_999</t>
  </si>
  <si>
    <t>MED_1000</t>
  </si>
  <si>
    <t>MED_1001</t>
  </si>
  <si>
    <t>MED_1002</t>
  </si>
  <si>
    <t>MED_1003</t>
  </si>
  <si>
    <t>MED_1004</t>
  </si>
  <si>
    <t>MED_1005</t>
  </si>
  <si>
    <t>MED_1006</t>
  </si>
  <si>
    <t>MED_1007</t>
  </si>
  <si>
    <t>MED_1008</t>
  </si>
  <si>
    <t>MED_1009</t>
  </si>
  <si>
    <t>MED_1010</t>
  </si>
  <si>
    <t>MED_1011</t>
  </si>
  <si>
    <t>MED_1012</t>
  </si>
  <si>
    <t>MED_1013</t>
  </si>
  <si>
    <t>MED_1014</t>
  </si>
  <si>
    <t>MED_1015</t>
  </si>
  <si>
    <t>MED_1016</t>
  </si>
  <si>
    <t>MED_1017</t>
  </si>
  <si>
    <t>MED_1018</t>
  </si>
  <si>
    <t>MED_1019</t>
  </si>
  <si>
    <t>MED_1020</t>
  </si>
  <si>
    <t>MED_1021</t>
  </si>
  <si>
    <t>MED_1022</t>
  </si>
  <si>
    <t>MED_1023</t>
  </si>
  <si>
    <t>MED_1024</t>
  </si>
  <si>
    <t>MED_1025</t>
  </si>
  <si>
    <t>MED_1026</t>
  </si>
  <si>
    <t>MED_1027</t>
  </si>
  <si>
    <t>MED_1028</t>
  </si>
  <si>
    <t>MED_1029</t>
  </si>
  <si>
    <t>MED_1030</t>
  </si>
  <si>
    <t>MED_1031</t>
  </si>
  <si>
    <t>MED_1032</t>
  </si>
  <si>
    <t>MED_1033</t>
  </si>
  <si>
    <t>MED_1034</t>
  </si>
  <si>
    <t>MED_1035</t>
  </si>
  <si>
    <t>MED_1036</t>
  </si>
  <si>
    <t>MED_1037</t>
  </si>
  <si>
    <t>MED_1038</t>
  </si>
  <si>
    <t>MED_1039</t>
  </si>
  <si>
    <t>MED_1040</t>
  </si>
  <si>
    <t>MED_1041</t>
  </si>
  <si>
    <t>MED_1042</t>
  </si>
  <si>
    <t>MED_1043</t>
  </si>
  <si>
    <t>MED_1044</t>
  </si>
  <si>
    <t>MED_1045</t>
  </si>
  <si>
    <t>MED_1046</t>
  </si>
  <si>
    <t>MED_1047</t>
  </si>
  <si>
    <t>MED_1048</t>
  </si>
  <si>
    <t>MED_1049</t>
  </si>
  <si>
    <t>MED_1050</t>
  </si>
  <si>
    <t>MED_1051</t>
  </si>
  <si>
    <t>MED_1052</t>
  </si>
  <si>
    <t>MED_1053</t>
  </si>
  <si>
    <t>MED_1054</t>
  </si>
  <si>
    <t>MED_1055</t>
  </si>
  <si>
    <t>MED_1056</t>
  </si>
  <si>
    <t>MED_1057</t>
  </si>
  <si>
    <t>MED_1058</t>
  </si>
  <si>
    <t>MED_1059</t>
  </si>
  <si>
    <t>MED_1060</t>
  </si>
  <si>
    <t>MED_1061</t>
  </si>
  <si>
    <t>MED_1062</t>
  </si>
  <si>
    <t>MED_1063</t>
  </si>
  <si>
    <t>MED_1064</t>
  </si>
  <si>
    <t>MED_1065</t>
  </si>
  <si>
    <t>MED_1066</t>
  </si>
  <si>
    <t>MED_1067</t>
  </si>
  <si>
    <t>MED_1068</t>
  </si>
  <si>
    <t>MED_1069</t>
  </si>
  <si>
    <t>MED_1070</t>
  </si>
  <si>
    <t>MED_1071</t>
  </si>
  <si>
    <t>MED_1072</t>
  </si>
  <si>
    <t>MED_1073</t>
  </si>
  <si>
    <t>MED_1074</t>
  </si>
  <si>
    <t>MED_1075</t>
  </si>
  <si>
    <t>MED_1076</t>
  </si>
  <si>
    <t>MED_1077</t>
  </si>
  <si>
    <t>MED_1078</t>
  </si>
  <si>
    <t>MED_1079</t>
  </si>
  <si>
    <t>MED_1080</t>
  </si>
  <si>
    <t>MED_1081</t>
  </si>
  <si>
    <t>MED_1082</t>
  </si>
  <si>
    <t>MED_1083</t>
  </si>
  <si>
    <t>MED_1084</t>
  </si>
  <si>
    <t>MED_1085</t>
  </si>
  <si>
    <t>MED_1086</t>
  </si>
  <si>
    <t>MED_1087</t>
  </si>
  <si>
    <t>MED_1088</t>
  </si>
  <si>
    <t>MED_1089</t>
  </si>
  <si>
    <t>MED_1090</t>
  </si>
  <si>
    <t>MED_1091</t>
  </si>
  <si>
    <t>MED_1092</t>
  </si>
  <si>
    <t>MED_1093</t>
  </si>
  <si>
    <t>MED_1094</t>
  </si>
  <si>
    <t>MED_1095</t>
  </si>
  <si>
    <t>MED_1096</t>
  </si>
  <si>
    <t>MED_1097</t>
  </si>
  <si>
    <t>MED_1098</t>
  </si>
  <si>
    <t>MED_1099</t>
  </si>
  <si>
    <t>MED_1100</t>
  </si>
  <si>
    <t>MED_1101</t>
  </si>
  <si>
    <t>MED_1102</t>
  </si>
  <si>
    <t>MED_1103</t>
  </si>
  <si>
    <t>MED_1104</t>
  </si>
  <si>
    <t>MED_1105</t>
  </si>
  <si>
    <t>MED_1106</t>
  </si>
  <si>
    <t>MED_1107</t>
  </si>
  <si>
    <t>MED_1108</t>
  </si>
  <si>
    <t>MED_1109</t>
  </si>
  <si>
    <t>MED_1110</t>
  </si>
  <si>
    <t>MED_1111</t>
  </si>
  <si>
    <t>MED_1112</t>
  </si>
  <si>
    <t>MED_1113</t>
  </si>
  <si>
    <t>MED_1114</t>
  </si>
  <si>
    <t>MED_1115</t>
  </si>
  <si>
    <t>MED_1116</t>
  </si>
  <si>
    <t>MED_1117</t>
  </si>
  <si>
    <t>MED_1118</t>
  </si>
  <si>
    <t>MED_1119</t>
  </si>
  <si>
    <t>MED_1120</t>
  </si>
  <si>
    <t>MED_1121</t>
  </si>
  <si>
    <t>MED_1122</t>
  </si>
  <si>
    <t>MED_1123</t>
  </si>
  <si>
    <t>MED_1124</t>
  </si>
  <si>
    <t>MED_1125</t>
  </si>
  <si>
    <t>MED_1126</t>
  </si>
  <si>
    <t>MED_1127</t>
  </si>
  <si>
    <t>MED_1128</t>
  </si>
  <si>
    <t>MED_1129</t>
  </si>
  <si>
    <t>MED_1130</t>
  </si>
  <si>
    <t>MED_1131</t>
  </si>
  <si>
    <t>MED_1132</t>
  </si>
  <si>
    <t>MED_1133</t>
  </si>
  <si>
    <t>MED_1134</t>
  </si>
  <si>
    <t>MED_1135</t>
  </si>
  <si>
    <t>MED_1136</t>
  </si>
  <si>
    <t>MED_1137</t>
  </si>
  <si>
    <t>MED_1138</t>
  </si>
  <si>
    <t>MED_1139</t>
  </si>
  <si>
    <t>MED_1140</t>
  </si>
  <si>
    <t>MED_1141</t>
  </si>
  <si>
    <t>MED_1142</t>
  </si>
  <si>
    <t>MED_1143</t>
  </si>
  <si>
    <t>MED_1144</t>
  </si>
  <si>
    <t>MED_1145</t>
  </si>
  <si>
    <t>MED_1146</t>
  </si>
  <si>
    <t>MED_1147</t>
  </si>
  <si>
    <t>MED_1148</t>
  </si>
  <si>
    <t>MED_1149</t>
  </si>
  <si>
    <t>MED_1150</t>
  </si>
  <si>
    <t>MED_1151</t>
  </si>
  <si>
    <t>MED_1152</t>
  </si>
  <si>
    <t>MED_1153</t>
  </si>
  <si>
    <t>MED_1154</t>
  </si>
  <si>
    <t>MED_1155</t>
  </si>
  <si>
    <t>MED_1156</t>
  </si>
  <si>
    <t>MED_1157</t>
  </si>
  <si>
    <t>MED_1158</t>
  </si>
  <si>
    <t>MED_1159</t>
  </si>
  <si>
    <t>MED_1160</t>
  </si>
  <si>
    <t>MED_1161</t>
  </si>
  <si>
    <t>MED_1162</t>
  </si>
  <si>
    <t>MED_1163</t>
  </si>
  <si>
    <t>MED_1164</t>
  </si>
  <si>
    <t>MED_1165</t>
  </si>
  <si>
    <t>MED_1166</t>
  </si>
  <si>
    <t>MED_1167</t>
  </si>
  <si>
    <t>MED_1168</t>
  </si>
  <si>
    <t>MED_1169</t>
  </si>
  <si>
    <t>MED_1170</t>
  </si>
  <si>
    <t>MED_1171</t>
  </si>
  <si>
    <t>MED_1172</t>
  </si>
  <si>
    <t>MED_1173</t>
  </si>
  <si>
    <t>MED_1174</t>
  </si>
  <si>
    <t>MED_1175</t>
  </si>
  <si>
    <t>MED_1176</t>
  </si>
  <si>
    <t>MED_1177</t>
  </si>
  <si>
    <t>MED_1178</t>
  </si>
  <si>
    <t>MED_1179</t>
  </si>
  <si>
    <t>MED_1180</t>
  </si>
  <si>
    <t>MED_1181</t>
  </si>
  <si>
    <t>MED_1182</t>
  </si>
  <si>
    <t>MED_1183</t>
  </si>
  <si>
    <t>MED_1184</t>
  </si>
  <si>
    <t>MED_1185</t>
  </si>
  <si>
    <t>MED_1186</t>
  </si>
  <si>
    <t>MED_1187</t>
  </si>
  <si>
    <t>MED_1188</t>
  </si>
  <si>
    <t>MED_1189</t>
  </si>
  <si>
    <t>MED_1190</t>
  </si>
  <si>
    <t>MED_1191</t>
  </si>
  <si>
    <t>MED_1192</t>
  </si>
  <si>
    <t>MED_1193</t>
  </si>
  <si>
    <t>MED_1194</t>
  </si>
  <si>
    <t>MED_1195</t>
  </si>
  <si>
    <t>MED_1196</t>
  </si>
  <si>
    <t>MED_1197</t>
  </si>
  <si>
    <t>MED_1198</t>
  </si>
  <si>
    <t>MED_1199</t>
  </si>
  <si>
    <t>MED_1200</t>
  </si>
  <si>
    <t>MED_1201</t>
  </si>
  <si>
    <t>MED_1202</t>
  </si>
  <si>
    <t>MED_1203</t>
  </si>
  <si>
    <t>MED_1204</t>
  </si>
  <si>
    <t>MED_1205</t>
  </si>
  <si>
    <t>MED_1206</t>
  </si>
  <si>
    <t>MED_1207</t>
  </si>
  <si>
    <t>MED_1208</t>
  </si>
  <si>
    <t>MED_1209</t>
  </si>
  <si>
    <t>MED_1210</t>
  </si>
  <si>
    <t>MED_1211</t>
  </si>
  <si>
    <t>MED_1212</t>
  </si>
  <si>
    <t>MED_1213</t>
  </si>
  <si>
    <t>MED_1214</t>
  </si>
  <si>
    <t>MED_1215</t>
  </si>
  <si>
    <t>MED_1216</t>
  </si>
  <si>
    <t>MED_1217</t>
  </si>
  <si>
    <t>MED_1218</t>
  </si>
  <si>
    <t>MED_1219</t>
  </si>
  <si>
    <t>MED_1220</t>
  </si>
  <si>
    <t>MED_1221</t>
  </si>
  <si>
    <t>MED_1222</t>
  </si>
  <si>
    <t>MED_1223</t>
  </si>
  <si>
    <t>MED_1224</t>
  </si>
  <si>
    <t>MED_1225</t>
  </si>
  <si>
    <t>MED_1226</t>
  </si>
  <si>
    <t>MED_1227</t>
  </si>
  <si>
    <t>MED_1228</t>
  </si>
  <si>
    <t>MED_1229</t>
  </si>
  <si>
    <t>MED_1230</t>
  </si>
  <si>
    <t>MED_1231</t>
  </si>
  <si>
    <t>MED_1232</t>
  </si>
  <si>
    <t>MED_1233</t>
  </si>
  <si>
    <t>MED_1234</t>
  </si>
  <si>
    <t>MED_1235</t>
  </si>
  <si>
    <t>MED_1236</t>
  </si>
  <si>
    <t>MED_1237</t>
  </si>
  <si>
    <t>MED_1238</t>
  </si>
  <si>
    <t>MED_1239</t>
  </si>
  <si>
    <t>MED_1240</t>
  </si>
  <si>
    <t>MED_1241</t>
  </si>
  <si>
    <t>MED_1242</t>
  </si>
  <si>
    <t>MED_1243</t>
  </si>
  <si>
    <t>MED_1244</t>
  </si>
  <si>
    <t>MED_1245</t>
  </si>
  <si>
    <t>MED_1246</t>
  </si>
  <si>
    <t>MED_1247</t>
  </si>
  <si>
    <t>MED_1248</t>
  </si>
  <si>
    <t>MED_1249</t>
  </si>
  <si>
    <t>MED_1250</t>
  </si>
  <si>
    <t>MED_1251</t>
  </si>
  <si>
    <t>MED_1252</t>
  </si>
  <si>
    <t>MED_1253</t>
  </si>
  <si>
    <t>MED_1254</t>
  </si>
  <si>
    <t>MED_1255</t>
  </si>
  <si>
    <t>MED_1256</t>
  </si>
  <si>
    <t>MED_1257</t>
  </si>
  <si>
    <t>MED_1258</t>
  </si>
  <si>
    <t>MED_1259</t>
  </si>
  <si>
    <t>MED_1260</t>
  </si>
  <si>
    <t>MED_1261</t>
  </si>
  <si>
    <t>MED_1262</t>
  </si>
  <si>
    <t>MED_1263</t>
  </si>
  <si>
    <t>MED_1264</t>
  </si>
  <si>
    <t>MED_1265</t>
  </si>
  <si>
    <t>MED_1266</t>
  </si>
  <si>
    <t>MED_1267</t>
  </si>
  <si>
    <t>MED_1268</t>
  </si>
  <si>
    <t>MED_1269</t>
  </si>
  <si>
    <t>MED_1270</t>
  </si>
  <si>
    <t>MED_1271</t>
  </si>
  <si>
    <t>MED_1272</t>
  </si>
  <si>
    <t>MED_1273</t>
  </si>
  <si>
    <t>MED_1274</t>
  </si>
  <si>
    <t>MED_1275</t>
  </si>
  <si>
    <t>MED_1276</t>
  </si>
  <si>
    <t>MED_1277</t>
  </si>
  <si>
    <t>MED_1278</t>
  </si>
  <si>
    <t>MED_1279</t>
  </si>
  <si>
    <t>MED_1280</t>
  </si>
  <si>
    <t>MED_1281</t>
  </si>
  <si>
    <t>MED_1282</t>
  </si>
  <si>
    <t>MED_1283</t>
  </si>
  <si>
    <t>MED_1284</t>
  </si>
  <si>
    <t>MED_1285</t>
  </si>
  <si>
    <t>MED_1286</t>
  </si>
  <si>
    <t>MED_1287</t>
  </si>
  <si>
    <t>MED_1288</t>
  </si>
  <si>
    <t>MED_1289</t>
  </si>
  <si>
    <t>MED_1290</t>
  </si>
  <si>
    <t>MED_1291</t>
  </si>
  <si>
    <t>MED_1292</t>
  </si>
  <si>
    <t>MED_1293</t>
  </si>
  <si>
    <t>MED_1294</t>
  </si>
  <si>
    <t>MED_1295</t>
  </si>
  <si>
    <t>MED_1296</t>
  </si>
  <si>
    <t>MED_1297</t>
  </si>
  <si>
    <t>MED_1298</t>
  </si>
  <si>
    <t>MED_1299</t>
  </si>
  <si>
    <t>MED_1300</t>
  </si>
  <si>
    <t>MED_1301</t>
  </si>
  <si>
    <t>MED_1302</t>
  </si>
  <si>
    <t>MED_1303</t>
  </si>
  <si>
    <t>MED_1304</t>
  </si>
  <si>
    <t>MED_1305</t>
  </si>
  <si>
    <t>MED_1306</t>
  </si>
  <si>
    <t>MED_1307</t>
  </si>
  <si>
    <t>MED_1308</t>
  </si>
  <si>
    <t>MED_1309</t>
  </si>
  <si>
    <t>MED_1310</t>
  </si>
  <si>
    <t>MED_1311</t>
  </si>
  <si>
    <t>MED_1312</t>
  </si>
  <si>
    <t>MED_1313</t>
  </si>
  <si>
    <t>MED_1314</t>
  </si>
  <si>
    <t>MED_1315</t>
  </si>
  <si>
    <t>MED_1316</t>
  </si>
  <si>
    <t>MED_1317</t>
  </si>
  <si>
    <t>MED_1318</t>
  </si>
  <si>
    <t>MED_1319</t>
  </si>
  <si>
    <t>MED_1320</t>
  </si>
  <si>
    <t>MED_1321</t>
  </si>
  <si>
    <t>MED_1322</t>
  </si>
  <si>
    <t>MED_1323</t>
  </si>
  <si>
    <t>MED_1324</t>
  </si>
  <si>
    <t>MED_1325</t>
  </si>
  <si>
    <t>MED_1326</t>
  </si>
  <si>
    <t>MED_1327</t>
  </si>
  <si>
    <t>MED_1328</t>
  </si>
  <si>
    <t>MED_1329</t>
  </si>
  <si>
    <t>MED_1330</t>
  </si>
  <si>
    <t>MED_1331</t>
  </si>
  <si>
    <t>MED_1332</t>
  </si>
  <si>
    <t>MED_1333</t>
  </si>
  <si>
    <t>MED_1334</t>
  </si>
  <si>
    <t>MED_1335</t>
  </si>
  <si>
    <t>MED_1336</t>
  </si>
  <si>
    <t>MED_1337</t>
  </si>
  <si>
    <t>MED_1338</t>
  </si>
  <si>
    <t>MED_1339</t>
  </si>
  <si>
    <t>MED_1340</t>
  </si>
  <si>
    <t>MED_1341</t>
  </si>
  <si>
    <t>MED_1342</t>
  </si>
  <si>
    <t>MED_1343</t>
  </si>
  <si>
    <t>MED_1344</t>
  </si>
  <si>
    <t>MED_1345</t>
  </si>
  <si>
    <t>MED_1346</t>
  </si>
  <si>
    <t>MED_1347</t>
  </si>
  <si>
    <t>MED_1348</t>
  </si>
  <si>
    <t>MED_1349</t>
  </si>
  <si>
    <t>MED_1350</t>
  </si>
  <si>
    <t>MED_1351</t>
  </si>
  <si>
    <t>MED_1352</t>
  </si>
  <si>
    <t>MED_1353</t>
  </si>
  <si>
    <t>MED_1354</t>
  </si>
  <si>
    <t>MED_1355</t>
  </si>
  <si>
    <t>MED_1356</t>
  </si>
  <si>
    <t>MED_1357</t>
  </si>
  <si>
    <t>MED_1358</t>
  </si>
  <si>
    <t>MED_1359</t>
  </si>
  <si>
    <t>MED_1360</t>
  </si>
  <si>
    <t>MED_1361</t>
  </si>
  <si>
    <t>MED_1362</t>
  </si>
  <si>
    <t>MED_1363</t>
  </si>
  <si>
    <t>MED_1364</t>
  </si>
  <si>
    <t>MED_1365</t>
  </si>
  <si>
    <t>MED_1366</t>
  </si>
  <si>
    <t>MED_1367</t>
  </si>
  <si>
    <t>MED_1368</t>
  </si>
  <si>
    <t>MED_1369</t>
  </si>
  <si>
    <t>MED_1370</t>
  </si>
  <si>
    <t>MED_1371</t>
  </si>
  <si>
    <t>MED_1372</t>
  </si>
  <si>
    <t>MED_1373</t>
  </si>
  <si>
    <t>MED_1374</t>
  </si>
  <si>
    <t>MED_1375</t>
  </si>
  <si>
    <t>MED_1376</t>
  </si>
  <si>
    <t>MED_1377</t>
  </si>
  <si>
    <t>MED_1378</t>
  </si>
  <si>
    <t>MED_1379</t>
  </si>
  <si>
    <t>MED_1380</t>
  </si>
  <si>
    <t>MED_1381</t>
  </si>
  <si>
    <t>MED_1382</t>
  </si>
  <si>
    <t>MED_1383</t>
  </si>
  <si>
    <t>MED_1384</t>
  </si>
  <si>
    <t>MED_1385</t>
  </si>
  <si>
    <t>MED_1386</t>
  </si>
  <si>
    <t>MED_1387</t>
  </si>
  <si>
    <t>MED_1388</t>
  </si>
  <si>
    <t>MED_1389</t>
  </si>
  <si>
    <t>MED_1390</t>
  </si>
  <si>
    <t>MED_1391</t>
  </si>
  <si>
    <t>MED_1392</t>
  </si>
  <si>
    <t>MED_1393</t>
  </si>
  <si>
    <t>MED_1394</t>
  </si>
  <si>
    <t>MED_1395</t>
  </si>
  <si>
    <t>MED_1396</t>
  </si>
  <si>
    <t>MED_1397</t>
  </si>
  <si>
    <t>MED_1398</t>
  </si>
  <si>
    <t>MED_1399</t>
  </si>
  <si>
    <t>MED_1400</t>
  </si>
  <si>
    <t>MED_1401</t>
  </si>
  <si>
    <t>MED_1402</t>
  </si>
  <si>
    <t>MED_1403</t>
  </si>
  <si>
    <t>MED_1404</t>
  </si>
  <si>
    <t>MED_1405</t>
  </si>
  <si>
    <t>MED_1406</t>
  </si>
  <si>
    <t>MED_1407</t>
  </si>
  <si>
    <t>MED_1408</t>
  </si>
  <si>
    <t>MED_1409</t>
  </si>
  <si>
    <t>MED_1410</t>
  </si>
  <si>
    <t>MED_1411</t>
  </si>
  <si>
    <t>MED_1412</t>
  </si>
  <si>
    <t>MED_1413</t>
  </si>
  <si>
    <t>MED_1414</t>
  </si>
  <si>
    <t>MED_1415</t>
  </si>
  <si>
    <t>MED_1416</t>
  </si>
  <si>
    <t>MED_1417</t>
  </si>
  <si>
    <t>MED_1418</t>
  </si>
  <si>
    <t>MED_1419</t>
  </si>
  <si>
    <t>MED_1420</t>
  </si>
  <si>
    <t>MED_1421</t>
  </si>
  <si>
    <t>MED_1422</t>
  </si>
  <si>
    <t>MED_1423</t>
  </si>
  <si>
    <t>MED_1424</t>
  </si>
  <si>
    <t>MED_1425</t>
  </si>
  <si>
    <t>MED_1426</t>
  </si>
  <si>
    <t>MED_1427</t>
  </si>
  <si>
    <t>MED_1428</t>
  </si>
  <si>
    <t>MED_1429</t>
  </si>
  <si>
    <t>MED_1430</t>
  </si>
  <si>
    <t>MED_1431</t>
  </si>
  <si>
    <t>MED_1432</t>
  </si>
  <si>
    <t>MED_1433</t>
  </si>
  <si>
    <t>MED_1434</t>
  </si>
  <si>
    <t>MED_1435</t>
  </si>
  <si>
    <t>MED_1436</t>
  </si>
  <si>
    <t>MED_1437</t>
  </si>
  <si>
    <t>MED_1438</t>
  </si>
  <si>
    <t>MED_1439</t>
  </si>
  <si>
    <t>MED_1440</t>
  </si>
  <si>
    <t>MED_1441</t>
  </si>
  <si>
    <t>MED_1442</t>
  </si>
  <si>
    <t>MED_1443</t>
  </si>
  <si>
    <t>MED_1444</t>
  </si>
  <si>
    <t>MED_1445</t>
  </si>
  <si>
    <t>MED_1446</t>
  </si>
  <si>
    <t>MED_1447</t>
  </si>
  <si>
    <t>MED_1448</t>
  </si>
  <si>
    <t>MED_1449</t>
  </si>
  <si>
    <t>MED_1450</t>
  </si>
  <si>
    <t>MED_1451</t>
  </si>
  <si>
    <t>MED_1452</t>
  </si>
  <si>
    <t>MED_1453</t>
  </si>
  <si>
    <t>MED_1454</t>
  </si>
  <si>
    <t>MED_1455</t>
  </si>
  <si>
    <t>MED_1456</t>
  </si>
  <si>
    <t>MED_1457</t>
  </si>
  <si>
    <t>MED_1458</t>
  </si>
  <si>
    <t>MED_1459</t>
  </si>
  <si>
    <t>MED_1460</t>
  </si>
  <si>
    <t>MED_1461</t>
  </si>
  <si>
    <t>MED_1462</t>
  </si>
  <si>
    <t>MED_1463</t>
  </si>
  <si>
    <t>MED_1464</t>
  </si>
  <si>
    <t>MED_1465</t>
  </si>
  <si>
    <t>MED_1466</t>
  </si>
  <si>
    <t>MED_1467</t>
  </si>
  <si>
    <t>MED_1468</t>
  </si>
  <si>
    <t>MED_1469</t>
  </si>
  <si>
    <t>MED_1470</t>
  </si>
  <si>
    <t>MED_1471</t>
  </si>
  <si>
    <t>MED_1472</t>
  </si>
  <si>
    <t>MED_1473</t>
  </si>
  <si>
    <t>MED_1474</t>
  </si>
  <si>
    <t>MED_1475</t>
  </si>
  <si>
    <t>MED_1476</t>
  </si>
  <si>
    <t>MED_1477</t>
  </si>
  <si>
    <t>MED_1478</t>
  </si>
  <si>
    <t>MED_1479</t>
  </si>
  <si>
    <t>MED_1480</t>
  </si>
  <si>
    <t>MED_1481</t>
  </si>
  <si>
    <t>MED_1482</t>
  </si>
  <si>
    <t>MED_1483</t>
  </si>
  <si>
    <t>MED_1484</t>
  </si>
  <si>
    <t>MED_1485</t>
  </si>
  <si>
    <t>MED_1486</t>
  </si>
  <si>
    <t>MED_1487</t>
  </si>
  <si>
    <t>MED_1488</t>
  </si>
  <si>
    <t>MED_1489</t>
  </si>
  <si>
    <t>MED_1490</t>
  </si>
  <si>
    <t>MED_1491</t>
  </si>
  <si>
    <t>MED_1492</t>
  </si>
  <si>
    <t>MED_1493</t>
  </si>
  <si>
    <t>MED_1494</t>
  </si>
  <si>
    <t>MED_1495</t>
  </si>
  <si>
    <t>MED_1496</t>
  </si>
  <si>
    <t>MED_1497</t>
  </si>
  <si>
    <t>MED_1498</t>
  </si>
  <si>
    <t>MED_1499</t>
  </si>
  <si>
    <t>MED_1500</t>
  </si>
  <si>
    <t>MED_1501</t>
  </si>
  <si>
    <t>MED_1502</t>
  </si>
  <si>
    <t>MED_1503</t>
  </si>
  <si>
    <t>MED_1504</t>
  </si>
  <si>
    <t>MED_1505</t>
  </si>
  <si>
    <t>MED_1506</t>
  </si>
  <si>
    <t>MED_1507</t>
  </si>
  <si>
    <t>MED_1508</t>
  </si>
  <si>
    <t>MED_1509</t>
  </si>
  <si>
    <t>MED_1510</t>
  </si>
  <si>
    <t>MED_1511</t>
  </si>
  <si>
    <t>MED_1512</t>
  </si>
  <si>
    <t>MED_1513</t>
  </si>
  <si>
    <t>MED_1514</t>
  </si>
  <si>
    <t>MED_1515</t>
  </si>
  <si>
    <t>MED_1516</t>
  </si>
  <si>
    <t>MED_1517</t>
  </si>
  <si>
    <t>MED_1518</t>
  </si>
  <si>
    <t>MED_1519</t>
  </si>
  <si>
    <t>MED_1520</t>
  </si>
  <si>
    <t>MED_1521</t>
  </si>
  <si>
    <t>MED_1522</t>
  </si>
  <si>
    <t>MED_1523</t>
  </si>
  <si>
    <t>MED_1524</t>
  </si>
  <si>
    <t>MED_1525</t>
  </si>
  <si>
    <t>MED_1526</t>
  </si>
  <si>
    <t>MED_1527</t>
  </si>
  <si>
    <t>MED_1528</t>
  </si>
  <si>
    <t>MED_1529</t>
  </si>
  <si>
    <t>MED_1530</t>
  </si>
  <si>
    <t>MED_1531</t>
  </si>
  <si>
    <t>MED_1532</t>
  </si>
  <si>
    <t>MED_1533</t>
  </si>
  <si>
    <t>MED_1534</t>
  </si>
  <si>
    <t>MED_1535</t>
  </si>
  <si>
    <t>MED_1536</t>
  </si>
  <si>
    <t>MED_1537</t>
  </si>
  <si>
    <t>MED_1538</t>
  </si>
  <si>
    <t>MED_1539</t>
  </si>
  <si>
    <t>MED_1540</t>
  </si>
  <si>
    <t>MED_1541</t>
  </si>
  <si>
    <t>MED_1542</t>
  </si>
  <si>
    <t>MED_1543</t>
  </si>
  <si>
    <t>MED_1544</t>
  </si>
  <si>
    <t>MED_1545</t>
  </si>
  <si>
    <t>MED_1546</t>
  </si>
  <si>
    <t>MED_1547</t>
  </si>
  <si>
    <t>MED_1548</t>
  </si>
  <si>
    <t>MED_1549</t>
  </si>
  <si>
    <t>MED_1550</t>
  </si>
  <si>
    <t>MED_1551</t>
  </si>
  <si>
    <t>MED_1552</t>
  </si>
  <si>
    <t>MED_1553</t>
  </si>
  <si>
    <t>MED_1554</t>
  </si>
  <si>
    <t>MED_1555</t>
  </si>
  <si>
    <t>MED_1556</t>
  </si>
  <si>
    <t>MED_1557</t>
  </si>
  <si>
    <t>MED_1558</t>
  </si>
  <si>
    <t>MED_1559</t>
  </si>
  <si>
    <t>MED_1560</t>
  </si>
  <si>
    <t>MED_1561</t>
  </si>
  <si>
    <t>MED_1562</t>
  </si>
  <si>
    <t>MED_1563</t>
  </si>
  <si>
    <t>MED_1564</t>
  </si>
  <si>
    <t>MED_1565</t>
  </si>
  <si>
    <t>MED_1566</t>
  </si>
  <si>
    <t>MED_1567</t>
  </si>
  <si>
    <t>MED_1568</t>
  </si>
  <si>
    <t>MED_1569</t>
  </si>
  <si>
    <t>MED_1570</t>
  </si>
  <si>
    <t>MED_1571</t>
  </si>
  <si>
    <t>MED_1572</t>
  </si>
  <si>
    <t>MED_1573</t>
  </si>
  <si>
    <t>MED_1574</t>
  </si>
  <si>
    <t>MED_1575</t>
  </si>
  <si>
    <t>MED_1576</t>
  </si>
  <si>
    <t>MED_1577</t>
  </si>
  <si>
    <t>MED_1578</t>
  </si>
  <si>
    <t>MED_1579</t>
  </si>
  <si>
    <t>MED_1580</t>
  </si>
  <si>
    <t>MED_1581</t>
  </si>
  <si>
    <t>MED_1582</t>
  </si>
  <si>
    <t>MED_1583</t>
  </si>
  <si>
    <t>MED_1584</t>
  </si>
  <si>
    <t>MED_1585</t>
  </si>
  <si>
    <t>MED_1586</t>
  </si>
  <si>
    <t>MED_1587</t>
  </si>
  <si>
    <t>MED_1588</t>
  </si>
  <si>
    <t>MED_1589</t>
  </si>
  <si>
    <t>MED_1590</t>
  </si>
  <si>
    <t>MED_1591</t>
  </si>
  <si>
    <t>MED_1592</t>
  </si>
  <si>
    <t>MED_1593</t>
  </si>
  <si>
    <t>MED_1594</t>
  </si>
  <si>
    <t>MED_1595</t>
  </si>
  <si>
    <t>MED_1596</t>
  </si>
  <si>
    <t>MED_1597</t>
  </si>
  <si>
    <t>MED_1598</t>
  </si>
  <si>
    <t>MED_1599</t>
  </si>
  <si>
    <t>MED_1600</t>
  </si>
  <si>
    <t>MED_1601</t>
  </si>
  <si>
    <t>MED_1602</t>
  </si>
  <si>
    <t>MED_1603</t>
  </si>
  <si>
    <t>MED_1604</t>
  </si>
  <si>
    <t>MED_1605</t>
  </si>
  <si>
    <t>MED_1606</t>
  </si>
  <si>
    <t>MED_1607</t>
  </si>
  <si>
    <t>MED_1608</t>
  </si>
  <si>
    <t>MED_1609</t>
  </si>
  <si>
    <t>MED_1610</t>
  </si>
  <si>
    <t>MED_1611</t>
  </si>
  <si>
    <t>MED_1612</t>
  </si>
  <si>
    <t>MED_1613</t>
  </si>
  <si>
    <t>MED_1614</t>
  </si>
  <si>
    <t>MED_1615</t>
  </si>
  <si>
    <t>MED_1616</t>
  </si>
  <si>
    <t>MED_1617</t>
  </si>
  <si>
    <t>MED_1618</t>
  </si>
  <si>
    <t>MED_1619</t>
  </si>
  <si>
    <t>MED_1620</t>
  </si>
  <si>
    <t>MED_1621</t>
  </si>
  <si>
    <t>MED_1622</t>
  </si>
  <si>
    <t>MED_1623</t>
  </si>
  <si>
    <t>MED_1624</t>
  </si>
  <si>
    <t>MED_1625</t>
  </si>
  <si>
    <t>MED_1626</t>
  </si>
  <si>
    <t>MED_1627</t>
  </si>
  <si>
    <t>MED_1628</t>
  </si>
  <si>
    <t>MED_1629</t>
  </si>
  <si>
    <t>MED_1630</t>
  </si>
  <si>
    <t>MED_1631</t>
  </si>
  <si>
    <t>MED_1632</t>
  </si>
  <si>
    <t>MED_1633</t>
  </si>
  <si>
    <t>MED_1634</t>
  </si>
  <si>
    <t>MED_1635</t>
  </si>
  <si>
    <t>MED_1636</t>
  </si>
  <si>
    <t>MED_1637</t>
  </si>
  <si>
    <t>MED_1638</t>
  </si>
  <si>
    <t>MED_1639</t>
  </si>
  <si>
    <t>MED_1640</t>
  </si>
  <si>
    <t>MED_1641</t>
  </si>
  <si>
    <t>MED_1642</t>
  </si>
  <si>
    <t>MED_1643</t>
  </si>
  <si>
    <t>MED_1644</t>
  </si>
  <si>
    <t>MED_1645</t>
  </si>
  <si>
    <t>MED_1646</t>
  </si>
  <si>
    <t>MED_1647</t>
  </si>
  <si>
    <t>MED_1648</t>
  </si>
  <si>
    <t>MED_1649</t>
  </si>
  <si>
    <t>MED_1650</t>
  </si>
  <si>
    <t>MED_1651</t>
  </si>
  <si>
    <t>MED_1652</t>
  </si>
  <si>
    <t>MED_1653</t>
  </si>
  <si>
    <t>MED_1654</t>
  </si>
  <si>
    <t>MED_1655</t>
  </si>
  <si>
    <t>MED_1656</t>
  </si>
  <si>
    <t>MED_1657</t>
  </si>
  <si>
    <t>MED_1658</t>
  </si>
  <si>
    <t>MED_1659</t>
  </si>
  <si>
    <t>MED_1660</t>
  </si>
  <si>
    <t>MED_1661</t>
  </si>
  <si>
    <t>MED_1662</t>
  </si>
  <si>
    <t>MED_1663</t>
  </si>
  <si>
    <t>MED_1664</t>
  </si>
  <si>
    <t>MED_1665</t>
  </si>
  <si>
    <t>MED_1666</t>
  </si>
  <si>
    <t>MED_1667</t>
  </si>
  <si>
    <t>MED_1668</t>
  </si>
  <si>
    <t>MED_1669</t>
  </si>
  <si>
    <t>MED_1670</t>
  </si>
  <si>
    <t>MED_1671</t>
  </si>
  <si>
    <t>MED_1672</t>
  </si>
  <si>
    <t>MED_1673</t>
  </si>
  <si>
    <t>MED_1674</t>
  </si>
  <si>
    <t>MED_1675</t>
  </si>
  <si>
    <t>MED_1676</t>
  </si>
  <si>
    <t>MED_1677</t>
  </si>
  <si>
    <t>MED_1678</t>
  </si>
  <si>
    <t>MED_1679</t>
  </si>
  <si>
    <t>MED_1680</t>
  </si>
  <si>
    <t>MED_1681</t>
  </si>
  <si>
    <t>MED_1682</t>
  </si>
  <si>
    <t>MED_1683</t>
  </si>
  <si>
    <t>MED_1684</t>
  </si>
  <si>
    <t>MED_1685</t>
  </si>
  <si>
    <t>MED_1686</t>
  </si>
  <si>
    <t>MED_1687</t>
  </si>
  <si>
    <t>MED_1688</t>
  </si>
  <si>
    <t>MED_1689</t>
  </si>
  <si>
    <t>MED_1690</t>
  </si>
  <si>
    <t>MED_1691</t>
  </si>
  <si>
    <t>MED_1692</t>
  </si>
  <si>
    <t>MED_1693</t>
  </si>
  <si>
    <t>MED_1694</t>
  </si>
  <si>
    <t>MED_1695</t>
  </si>
  <si>
    <t>MED_1696</t>
  </si>
  <si>
    <t>MED_1697</t>
  </si>
  <si>
    <t>MED_1698</t>
  </si>
  <si>
    <t>MED_1699</t>
  </si>
  <si>
    <t>MED_1700</t>
  </si>
  <si>
    <t>MED_1701</t>
  </si>
  <si>
    <t>MED_1702</t>
  </si>
  <si>
    <t>MED_1703</t>
  </si>
  <si>
    <t>MED_1704</t>
  </si>
  <si>
    <t>MED_1705</t>
  </si>
  <si>
    <t>MED_1706</t>
  </si>
  <si>
    <t>MED_1707</t>
  </si>
  <si>
    <t>MED_1708</t>
  </si>
  <si>
    <t>MED_1709</t>
  </si>
  <si>
    <t>MED_1710</t>
  </si>
  <si>
    <t>MED_1711</t>
  </si>
  <si>
    <t>MED_1712</t>
  </si>
  <si>
    <t>MED_1713</t>
  </si>
  <si>
    <t>MED_1714</t>
  </si>
  <si>
    <t>MED_1715</t>
  </si>
  <si>
    <t>MED_1716</t>
  </si>
  <si>
    <t>MED_1717</t>
  </si>
  <si>
    <t>MED_1718</t>
  </si>
  <si>
    <t>MED_1719</t>
  </si>
  <si>
    <t>MED_1720</t>
  </si>
  <si>
    <t>MED_1721</t>
  </si>
  <si>
    <t>MED_1722</t>
  </si>
  <si>
    <t>MED_1723</t>
  </si>
  <si>
    <t>MED_1724</t>
  </si>
  <si>
    <t>MED_1725</t>
  </si>
  <si>
    <t>MED_1726</t>
  </si>
  <si>
    <t>MED_1727</t>
  </si>
  <si>
    <t>MED_1728</t>
  </si>
  <si>
    <t>MED_1729</t>
  </si>
  <si>
    <t>MED_1730</t>
  </si>
  <si>
    <t>MED_1731</t>
  </si>
  <si>
    <t>MED_1732</t>
  </si>
  <si>
    <t>MED_1733</t>
  </si>
  <si>
    <t>MED_1734</t>
  </si>
  <si>
    <t>MED_1735</t>
  </si>
  <si>
    <t>MED_1736</t>
  </si>
  <si>
    <t>MED_1737</t>
  </si>
  <si>
    <t>MED_1738</t>
  </si>
  <si>
    <t>MED_1739</t>
  </si>
  <si>
    <t>MED_1740</t>
  </si>
  <si>
    <t>MED_1741</t>
  </si>
  <si>
    <t>MED_1742</t>
  </si>
  <si>
    <t>MED_1743</t>
  </si>
  <si>
    <t>MED_1744</t>
  </si>
  <si>
    <t>MED_1745</t>
  </si>
  <si>
    <t>MED_1746</t>
  </si>
  <si>
    <t>MED_1747</t>
  </si>
  <si>
    <t>MED_1748</t>
  </si>
  <si>
    <t>MED_1749</t>
  </si>
  <si>
    <t>MED_1750</t>
  </si>
  <si>
    <t>MED_1751</t>
  </si>
  <si>
    <t>MED_1752</t>
  </si>
  <si>
    <t>MED_1753</t>
  </si>
  <si>
    <t>MED_1754</t>
  </si>
  <si>
    <t>MED_1755</t>
  </si>
  <si>
    <t>MED_1756</t>
  </si>
  <si>
    <t>MED_1757</t>
  </si>
  <si>
    <t>MED_1758</t>
  </si>
  <si>
    <t>MED_1759</t>
  </si>
  <si>
    <t>MED_1760</t>
  </si>
  <si>
    <t>MED_1761</t>
  </si>
  <si>
    <t>MED_1762</t>
  </si>
  <si>
    <t>MED_1763</t>
  </si>
  <si>
    <t>MED_1764</t>
  </si>
  <si>
    <t>MED_1765</t>
  </si>
  <si>
    <t>MED_1766</t>
  </si>
  <si>
    <t>MED_1767</t>
  </si>
  <si>
    <t>MED_1768</t>
  </si>
  <si>
    <t>MED_1769</t>
  </si>
  <si>
    <t>MED_1770</t>
  </si>
  <si>
    <t>MED_1771</t>
  </si>
  <si>
    <t>MED_1772</t>
  </si>
  <si>
    <t>MED_1773</t>
  </si>
  <si>
    <t>MED_1774</t>
  </si>
  <si>
    <t>MED_1775</t>
  </si>
  <si>
    <t>MED_1776</t>
  </si>
  <si>
    <t>MED_1777</t>
  </si>
  <si>
    <t>MED_1778</t>
  </si>
  <si>
    <t>MED_1779</t>
  </si>
  <si>
    <t>MED_1780</t>
  </si>
  <si>
    <t>MED_1781</t>
  </si>
  <si>
    <t>MED_1782</t>
  </si>
  <si>
    <t>MED_1783</t>
  </si>
  <si>
    <t>MED_1784</t>
  </si>
  <si>
    <t>MED_1785</t>
  </si>
  <si>
    <t>MED_1786</t>
  </si>
  <si>
    <t>MED_1787</t>
  </si>
  <si>
    <t>MED_1788</t>
  </si>
  <si>
    <t>MED_1789</t>
  </si>
  <si>
    <t>MED_1790</t>
  </si>
  <si>
    <t>MED_1791</t>
  </si>
  <si>
    <t>MED_1792</t>
  </si>
  <si>
    <t>MED_1793</t>
  </si>
  <si>
    <t>MED_1794</t>
  </si>
  <si>
    <t>MED_1795</t>
  </si>
  <si>
    <t>MED_1796</t>
  </si>
  <si>
    <t>MED_1797</t>
  </si>
  <si>
    <t>MED_1798</t>
  </si>
  <si>
    <t>MED_1799</t>
  </si>
  <si>
    <t>MED_1800</t>
  </si>
  <si>
    <t>MED_1801</t>
  </si>
  <si>
    <t>MED_1802</t>
  </si>
  <si>
    <t>MED_1803</t>
  </si>
  <si>
    <t>MED_1804</t>
  </si>
  <si>
    <t>MED_1805</t>
  </si>
  <si>
    <t>MED_1806</t>
  </si>
  <si>
    <t>MED_1807</t>
  </si>
  <si>
    <t>MED_1808</t>
  </si>
  <si>
    <t>MED_1809</t>
  </si>
  <si>
    <t>MED_1810</t>
  </si>
  <si>
    <t>MED_1811</t>
  </si>
  <si>
    <t>MED_1812</t>
  </si>
  <si>
    <t>MED_1813</t>
  </si>
  <si>
    <t>MED_1814</t>
  </si>
  <si>
    <t>MED_1815</t>
  </si>
  <si>
    <t>MED_1816</t>
  </si>
  <si>
    <t>MED_1817</t>
  </si>
  <si>
    <t>MED_1818</t>
  </si>
  <si>
    <t>MED_1819</t>
  </si>
  <si>
    <t>MED_1820</t>
  </si>
  <si>
    <t>MED_1821</t>
  </si>
  <si>
    <t>MED_1822</t>
  </si>
  <si>
    <t>MED_1823</t>
  </si>
  <si>
    <t>MED_1824</t>
  </si>
  <si>
    <t>MED_1825</t>
  </si>
  <si>
    <t>MED_1826</t>
  </si>
  <si>
    <t>MED_1827</t>
  </si>
  <si>
    <t>MED_1828</t>
  </si>
  <si>
    <t>MED_1829</t>
  </si>
  <si>
    <t>MED_1830</t>
  </si>
  <si>
    <t>MED_1831</t>
  </si>
  <si>
    <t>MED_1832</t>
  </si>
  <si>
    <t>MED_1833</t>
  </si>
  <si>
    <t>MED_1834</t>
  </si>
  <si>
    <t>MED_1835</t>
  </si>
  <si>
    <t>MED_1836</t>
  </si>
  <si>
    <t>MED_1837</t>
  </si>
  <si>
    <t>MED_1838</t>
  </si>
  <si>
    <t>MED_1839</t>
  </si>
  <si>
    <t>MED_1840</t>
  </si>
  <si>
    <t>MED_1841</t>
  </si>
  <si>
    <t>MED_1842</t>
  </si>
  <si>
    <t>MED_1843</t>
  </si>
  <si>
    <t>MED_1844</t>
  </si>
  <si>
    <t>MED_1845</t>
  </si>
  <si>
    <t>MED_1846</t>
  </si>
  <si>
    <t>MED_1847</t>
  </si>
  <si>
    <t>MED_1848</t>
  </si>
  <si>
    <t>MED_1849</t>
  </si>
  <si>
    <t>MED_1850</t>
  </si>
  <si>
    <t>MED_1851</t>
  </si>
  <si>
    <t>MED_1852</t>
  </si>
  <si>
    <t>MED_1853</t>
  </si>
  <si>
    <t>MED_1854</t>
  </si>
  <si>
    <t>MED_1855</t>
  </si>
  <si>
    <t>MED_1856</t>
  </si>
  <si>
    <t>MED_1857</t>
  </si>
  <si>
    <t>MED_1858</t>
  </si>
  <si>
    <t>MED_1859</t>
  </si>
  <si>
    <t>MED_1860</t>
  </si>
  <si>
    <t>MED_1861</t>
  </si>
  <si>
    <t>MED_1862</t>
  </si>
  <si>
    <t>MED_1863</t>
  </si>
  <si>
    <t>MED_1864</t>
  </si>
  <si>
    <t>MED_1865</t>
  </si>
  <si>
    <t>MED_1866</t>
  </si>
  <si>
    <t>MED_1867</t>
  </si>
  <si>
    <t>MED_1868</t>
  </si>
  <si>
    <t>MED_1869</t>
  </si>
  <si>
    <t>MED_1870</t>
  </si>
  <si>
    <t>MED_1871</t>
  </si>
  <si>
    <t>MED_1872</t>
  </si>
  <si>
    <t>MED_1873</t>
  </si>
  <si>
    <t>MED_1874</t>
  </si>
  <si>
    <t>MED_1875</t>
  </si>
  <si>
    <t>MED_1876</t>
  </si>
  <si>
    <t>MED_1877</t>
  </si>
  <si>
    <t>MED_1878</t>
  </si>
  <si>
    <t>MED_1879</t>
  </si>
  <si>
    <t>MED_1880</t>
  </si>
  <si>
    <t>MED_1881</t>
  </si>
  <si>
    <t>MED_1882</t>
  </si>
  <si>
    <t>MED_1883</t>
  </si>
  <si>
    <t>MED_1884</t>
  </si>
  <si>
    <t>MED_1885</t>
  </si>
  <si>
    <t>MED_1886</t>
  </si>
  <si>
    <t>MED_1887</t>
  </si>
  <si>
    <t>MED_1888</t>
  </si>
  <si>
    <t>MED_1889</t>
  </si>
  <si>
    <t>MED_1890</t>
  </si>
  <si>
    <t>MED_1891</t>
  </si>
  <si>
    <t>MED_1892</t>
  </si>
  <si>
    <t>MED_1893</t>
  </si>
  <si>
    <t>MED_1894</t>
  </si>
  <si>
    <t>MED_1895</t>
  </si>
  <si>
    <t>MED_1896</t>
  </si>
  <si>
    <t>MED_1897</t>
  </si>
  <si>
    <t>MED_1898</t>
  </si>
  <si>
    <t>MED_1899</t>
  </si>
  <si>
    <t>MED_1900</t>
  </si>
  <si>
    <t>MED_1901</t>
  </si>
  <si>
    <t>MED_1902</t>
  </si>
  <si>
    <t>MED_1903</t>
  </si>
  <si>
    <t>MED_1904</t>
  </si>
  <si>
    <t>MED_1905</t>
  </si>
  <si>
    <t>MED_1906</t>
  </si>
  <si>
    <t>MED_1907</t>
  </si>
  <si>
    <t>MED_1908</t>
  </si>
  <si>
    <t>MED_1909</t>
  </si>
  <si>
    <t>MED_1910</t>
  </si>
  <si>
    <t>MED_1911</t>
  </si>
  <si>
    <t>MED_1912</t>
  </si>
  <si>
    <t>MED_1913</t>
  </si>
  <si>
    <t>MED_1914</t>
  </si>
  <si>
    <t>MED_1915</t>
  </si>
  <si>
    <t>MED_1916</t>
  </si>
  <si>
    <t>MED_1917</t>
  </si>
  <si>
    <t>MED_1918</t>
  </si>
  <si>
    <t>MED_1919</t>
  </si>
  <si>
    <t>MED_1920</t>
  </si>
  <si>
    <t>MED_1921</t>
  </si>
  <si>
    <t>MED_1922</t>
  </si>
  <si>
    <t>MED_1923</t>
  </si>
  <si>
    <t>MED_1924</t>
  </si>
  <si>
    <t>MED_1925</t>
  </si>
  <si>
    <t>MED_1926</t>
  </si>
  <si>
    <t>MED_1927</t>
  </si>
  <si>
    <t>MED_1928</t>
  </si>
  <si>
    <t>MED_1929</t>
  </si>
  <si>
    <t>MED_1930</t>
  </si>
  <si>
    <t>MED_1931</t>
  </si>
  <si>
    <t>MED_1932</t>
  </si>
  <si>
    <t>MED_1933</t>
  </si>
  <si>
    <t>MED_1934</t>
  </si>
  <si>
    <t>MED_1935</t>
  </si>
  <si>
    <t>MED_1936</t>
  </si>
  <si>
    <t>MED_1937</t>
  </si>
  <si>
    <t>MED_1938</t>
  </si>
  <si>
    <t>MED_1939</t>
  </si>
  <si>
    <t>MED_1940</t>
  </si>
  <si>
    <t>MED_1941</t>
  </si>
  <si>
    <t>MED_1942</t>
  </si>
  <si>
    <t>MED_1943</t>
  </si>
  <si>
    <t>MED_1944</t>
  </si>
  <si>
    <t>MED_1945</t>
  </si>
  <si>
    <t>MED_1946</t>
  </si>
  <si>
    <t>MED_1947</t>
  </si>
  <si>
    <t>MED_1948</t>
  </si>
  <si>
    <t>MED_1949</t>
  </si>
  <si>
    <t>MED_1950</t>
  </si>
  <si>
    <t>MED_1951</t>
  </si>
  <si>
    <t>MED_1952</t>
  </si>
  <si>
    <t>MED_1953</t>
  </si>
  <si>
    <t>MED_1954</t>
  </si>
  <si>
    <t>MED_1955</t>
  </si>
  <si>
    <t>MED_1956</t>
  </si>
  <si>
    <t>MED_1957</t>
  </si>
  <si>
    <t>MED_1958</t>
  </si>
  <si>
    <t>MED_1959</t>
  </si>
  <si>
    <t>MED_1960</t>
  </si>
  <si>
    <t>MED_1961</t>
  </si>
  <si>
    <t>MED_1962</t>
  </si>
  <si>
    <t>MED_1963</t>
  </si>
  <si>
    <t>MED_1964</t>
  </si>
  <si>
    <t>MED_1965</t>
  </si>
  <si>
    <t>MED_1966</t>
  </si>
  <si>
    <t>MED_1967</t>
  </si>
  <si>
    <t>MED_1968</t>
  </si>
  <si>
    <t>MED_1969</t>
  </si>
  <si>
    <t>MED_1970</t>
  </si>
  <si>
    <t>MED_1971</t>
  </si>
  <si>
    <t>MED_1972</t>
  </si>
  <si>
    <t>MED_1973</t>
  </si>
  <si>
    <t>MED_1974</t>
  </si>
  <si>
    <t>MED_1975</t>
  </si>
  <si>
    <t>MED_1976</t>
  </si>
  <si>
    <t>MED_1977</t>
  </si>
  <si>
    <t>MED_1978</t>
  </si>
  <si>
    <t>MED_1979</t>
  </si>
  <si>
    <t>MED_1980</t>
  </si>
  <si>
    <t>MED_1981</t>
  </si>
  <si>
    <t>MED_1982</t>
  </si>
  <si>
    <t>MED_1983</t>
  </si>
  <si>
    <t>MED_1984</t>
  </si>
  <si>
    <t>MED_1985</t>
  </si>
  <si>
    <t>MED_1986</t>
  </si>
  <si>
    <t>MED_1987</t>
  </si>
  <si>
    <t>MED_1988</t>
  </si>
  <si>
    <t>MED_1989</t>
  </si>
  <si>
    <t>MED_1990</t>
  </si>
  <si>
    <t>MED_1991</t>
  </si>
  <si>
    <t>MED_1992</t>
  </si>
  <si>
    <t>MED_1993</t>
  </si>
  <si>
    <t>MED_1994</t>
  </si>
  <si>
    <t>MED_1995</t>
  </si>
  <si>
    <t>MED_1996</t>
  </si>
  <si>
    <t>MED_1997</t>
  </si>
  <si>
    <t>MED_1998</t>
  </si>
  <si>
    <t>MED_1999</t>
  </si>
  <si>
    <t>MED_2000</t>
  </si>
  <si>
    <t>MED_2001</t>
  </si>
  <si>
    <t>MED_2002</t>
  </si>
  <si>
    <t>MED_2003</t>
  </si>
  <si>
    <t>MED_2004</t>
  </si>
  <si>
    <t>MED_2005</t>
  </si>
  <si>
    <t>MED_2006</t>
  </si>
  <si>
    <t>MED_2007</t>
  </si>
  <si>
    <t>MED_2008</t>
  </si>
  <si>
    <t>MED_2009</t>
  </si>
  <si>
    <t>MED_2010</t>
  </si>
  <si>
    <t>MED_2011</t>
  </si>
  <si>
    <t>MED_2012</t>
  </si>
  <si>
    <t>MED_2013</t>
  </si>
  <si>
    <t>MED_2014</t>
  </si>
  <si>
    <t>MED_2015</t>
  </si>
  <si>
    <t>MED_2016</t>
  </si>
  <si>
    <t>MED_2017</t>
  </si>
  <si>
    <t>MED_2018</t>
  </si>
  <si>
    <t>MED_2019</t>
  </si>
  <si>
    <t>MED_2020</t>
  </si>
  <si>
    <t>MED_2021</t>
  </si>
  <si>
    <t>MED_2022</t>
  </si>
  <si>
    <t>MED_2023</t>
  </si>
  <si>
    <t>MED_2024</t>
  </si>
  <si>
    <t>MED_2025</t>
  </si>
  <si>
    <t>MED_2026</t>
  </si>
  <si>
    <t>MED_2027</t>
  </si>
  <si>
    <t>MED_2028</t>
  </si>
  <si>
    <t>MED_2029</t>
  </si>
  <si>
    <t>MED_2030</t>
  </si>
  <si>
    <t>MED_2031</t>
  </si>
  <si>
    <t>MED_2032</t>
  </si>
  <si>
    <t>MED_2033</t>
  </si>
  <si>
    <t>MED_2034</t>
  </si>
  <si>
    <t>MED_2035</t>
  </si>
  <si>
    <t>MED_2036</t>
  </si>
  <si>
    <t>MED_2037</t>
  </si>
  <si>
    <t>MED_2038</t>
  </si>
  <si>
    <t>MED_2039</t>
  </si>
  <si>
    <t>MED_2040</t>
  </si>
  <si>
    <t>MED_2041</t>
  </si>
  <si>
    <t>MED_2042</t>
  </si>
  <si>
    <t>MED_2043</t>
  </si>
  <si>
    <t>MED_2044</t>
  </si>
  <si>
    <t>MED_2045</t>
  </si>
  <si>
    <t>MED_2046</t>
  </si>
  <si>
    <t>MED_2047</t>
  </si>
  <si>
    <t>MED_2048</t>
  </si>
  <si>
    <t>MED_2049</t>
  </si>
  <si>
    <t>MED_2050</t>
  </si>
  <si>
    <t>MED_2051</t>
  </si>
  <si>
    <t>MED_2052</t>
  </si>
  <si>
    <t>MED_2053</t>
  </si>
  <si>
    <t>MED_2054</t>
  </si>
  <si>
    <t>MED_2055</t>
  </si>
  <si>
    <t>MED_2056</t>
  </si>
  <si>
    <t>MED_2057</t>
  </si>
  <si>
    <t>MED_2058</t>
  </si>
  <si>
    <t>MED_2059</t>
  </si>
  <si>
    <t>MED_2060</t>
  </si>
  <si>
    <t>MED_2061</t>
  </si>
  <si>
    <t>MED_2062</t>
  </si>
  <si>
    <t>MED_2063</t>
  </si>
  <si>
    <t>MED_2064</t>
  </si>
  <si>
    <t>MED_2065</t>
  </si>
  <si>
    <t>MED_2066</t>
  </si>
  <si>
    <t>MED_2067</t>
  </si>
  <si>
    <t>MED_2068</t>
  </si>
  <si>
    <t>MED_2069</t>
  </si>
  <si>
    <t>MED_2070</t>
  </si>
  <si>
    <t>MED_2071</t>
  </si>
  <si>
    <t>MED_2072</t>
  </si>
  <si>
    <t>MED_2073</t>
  </si>
  <si>
    <t>MED_2074</t>
  </si>
  <si>
    <t>MED_2075</t>
  </si>
  <si>
    <t>MED_2076</t>
  </si>
  <si>
    <t>MED_2077</t>
  </si>
  <si>
    <t>MED_2078</t>
  </si>
  <si>
    <t>MED_2079</t>
  </si>
  <si>
    <t>MED_2080</t>
  </si>
  <si>
    <t>MED_2081</t>
  </si>
  <si>
    <t>MED_2082</t>
  </si>
  <si>
    <t>MED_2083</t>
  </si>
  <si>
    <t>MED_2084</t>
  </si>
  <si>
    <t>MED_2085</t>
  </si>
  <si>
    <t>MED_2086</t>
  </si>
  <si>
    <t>MED_2087</t>
  </si>
  <si>
    <t>MED_2088</t>
  </si>
  <si>
    <t>MED_2089</t>
  </si>
  <si>
    <t>MED_2090</t>
  </si>
  <si>
    <t>MED_2091</t>
  </si>
  <si>
    <t>MED_2092</t>
  </si>
  <si>
    <t>MED_2093</t>
  </si>
  <si>
    <t>MED_2094</t>
  </si>
  <si>
    <t>MED_2095</t>
  </si>
  <si>
    <t>MED_2096</t>
  </si>
  <si>
    <t>MED_2097</t>
  </si>
  <si>
    <t>MED_2098</t>
  </si>
  <si>
    <t>MED_2099</t>
  </si>
  <si>
    <t>MED_2100</t>
  </si>
  <si>
    <t>MED_2101</t>
  </si>
  <si>
    <t>MED_2102</t>
  </si>
  <si>
    <t>MED_2103</t>
  </si>
  <si>
    <t>MED_2104</t>
  </si>
  <si>
    <t>MED_2105</t>
  </si>
  <si>
    <t>MED_2106</t>
  </si>
  <si>
    <t>MED_2107</t>
  </si>
  <si>
    <t>MED_2108</t>
  </si>
  <si>
    <t>MED_2109</t>
  </si>
  <si>
    <t>MED_2110</t>
  </si>
  <si>
    <t>MED_2111</t>
  </si>
  <si>
    <t>MED_2112</t>
  </si>
  <si>
    <t>MED_2113</t>
  </si>
  <si>
    <t>MED_2114</t>
  </si>
  <si>
    <t>MED_2115</t>
  </si>
  <si>
    <t>MED_2116</t>
  </si>
  <si>
    <t>MED_2117</t>
  </si>
  <si>
    <t>MED_2118</t>
  </si>
  <si>
    <t>MED_2119</t>
  </si>
  <si>
    <t>MED_2120</t>
  </si>
  <si>
    <t>MED_2121</t>
  </si>
  <si>
    <t>MED_2122</t>
  </si>
  <si>
    <t>MED_2123</t>
  </si>
  <si>
    <t>MED_2124</t>
  </si>
  <si>
    <t>MED_2125</t>
  </si>
  <si>
    <t>MED_2126</t>
  </si>
  <si>
    <t>MED_2127</t>
  </si>
  <si>
    <t>MED_2128</t>
  </si>
  <si>
    <t>MED_2129</t>
  </si>
  <si>
    <t>MED_2130</t>
  </si>
  <si>
    <t>MED_2131</t>
  </si>
  <si>
    <t>MED_2132</t>
  </si>
  <si>
    <t>MED_2133</t>
  </si>
  <si>
    <t>MED_2134</t>
  </si>
  <si>
    <t>MED_2135</t>
  </si>
  <si>
    <t>MED_2136</t>
  </si>
  <si>
    <t>MED_2137</t>
  </si>
  <si>
    <t>MED_2138</t>
  </si>
  <si>
    <t>MED_2139</t>
  </si>
  <si>
    <t>MED_2140</t>
  </si>
  <si>
    <t>MED_2141</t>
  </si>
  <si>
    <t>MED_2142</t>
  </si>
  <si>
    <t>MED_2143</t>
  </si>
  <si>
    <t>MED_2144</t>
  </si>
  <si>
    <t>MED_2145</t>
  </si>
  <si>
    <t>MED_2146</t>
  </si>
  <si>
    <t>MED_2147</t>
  </si>
  <si>
    <t>MED_2148</t>
  </si>
  <si>
    <t>MED_2149</t>
  </si>
  <si>
    <t>MED_2150</t>
  </si>
  <si>
    <t>MED_2151</t>
  </si>
  <si>
    <t>MED_2152</t>
  </si>
  <si>
    <t>MED_2153</t>
  </si>
  <si>
    <t>MED_2154</t>
  </si>
  <si>
    <t>MED_2155</t>
  </si>
  <si>
    <t>MED_2156</t>
  </si>
  <si>
    <t>MED_2157</t>
  </si>
  <si>
    <t>MED_2158</t>
  </si>
  <si>
    <t>MED_2159</t>
  </si>
  <si>
    <t>MED_2160</t>
  </si>
  <si>
    <t>MED_2161</t>
  </si>
  <si>
    <t>MED_2162</t>
  </si>
  <si>
    <t>MED_2163</t>
  </si>
  <si>
    <t>MED_2164</t>
  </si>
  <si>
    <t>MED_2165</t>
  </si>
  <si>
    <t>MED_2166</t>
  </si>
  <si>
    <t>MED_2167</t>
  </si>
  <si>
    <t>MED_2168</t>
  </si>
  <si>
    <t>MED_2169</t>
  </si>
  <si>
    <t>MED_2170</t>
  </si>
  <si>
    <t>MED_2171</t>
  </si>
  <si>
    <t>MED_2172</t>
  </si>
  <si>
    <t>MED_2173</t>
  </si>
  <si>
    <t>MED_2174</t>
  </si>
  <si>
    <t>MED_2175</t>
  </si>
  <si>
    <t>MED_2176</t>
  </si>
  <si>
    <t>MED_2177</t>
  </si>
  <si>
    <t>MED_2178</t>
  </si>
  <si>
    <t>MED_2179</t>
  </si>
  <si>
    <t>MED_2180</t>
  </si>
  <si>
    <t>MED_2181</t>
  </si>
  <si>
    <t>MED_2182</t>
  </si>
  <si>
    <t>MED_2183</t>
  </si>
  <si>
    <t>MED_2184</t>
  </si>
  <si>
    <t>MED_2185</t>
  </si>
  <si>
    <t>MED_2186</t>
  </si>
  <si>
    <t>MED_2187</t>
  </si>
  <si>
    <t>MED_2188</t>
  </si>
  <si>
    <t>MED_2189</t>
  </si>
  <si>
    <t>MED_2190</t>
  </si>
  <si>
    <t>MED_2191</t>
  </si>
  <si>
    <t>MED_2192</t>
  </si>
  <si>
    <t>MED_2193</t>
  </si>
  <si>
    <t>MED_2194</t>
  </si>
  <si>
    <t>MED_2195</t>
  </si>
  <si>
    <t>MED_2196</t>
  </si>
  <si>
    <t>MED_2197</t>
  </si>
  <si>
    <t>MED_2198</t>
  </si>
  <si>
    <t>MED_2199</t>
  </si>
  <si>
    <t>MED_2200</t>
  </si>
  <si>
    <t>MED_2201</t>
  </si>
  <si>
    <t>MED_2202</t>
  </si>
  <si>
    <t>MED_2203</t>
  </si>
  <si>
    <t>MED_2204</t>
  </si>
  <si>
    <t>MED_2205</t>
  </si>
  <si>
    <t>MED_2206</t>
  </si>
  <si>
    <t>MED_2207</t>
  </si>
  <si>
    <t>MED_2208</t>
  </si>
  <si>
    <t>MED_2209</t>
  </si>
  <si>
    <t>MED_2210</t>
  </si>
  <si>
    <t>MED_2211</t>
  </si>
  <si>
    <t>MED_2212</t>
  </si>
  <si>
    <t>MED_2213</t>
  </si>
  <si>
    <t>MED_2214</t>
  </si>
  <si>
    <t>MED_2215</t>
  </si>
  <si>
    <t>MED_2216</t>
  </si>
  <si>
    <t>MED_2217</t>
  </si>
  <si>
    <t>MED_2218</t>
  </si>
  <si>
    <t>MED_2219</t>
  </si>
  <si>
    <t>MED_2220</t>
  </si>
  <si>
    <t>MED_2221</t>
  </si>
  <si>
    <t>MED_2222</t>
  </si>
  <si>
    <t>MED_2223</t>
  </si>
  <si>
    <t>MED_2224</t>
  </si>
  <si>
    <t>MED_2225</t>
  </si>
  <si>
    <t>MED_2226</t>
  </si>
  <si>
    <t>MED_2227</t>
  </si>
  <si>
    <t>MED_2228</t>
  </si>
  <si>
    <t>MED_2229</t>
  </si>
  <si>
    <t>MED_2230</t>
  </si>
  <si>
    <t>MED_2231</t>
  </si>
  <si>
    <t>MED_2232</t>
  </si>
  <si>
    <t>MED_2233</t>
  </si>
  <si>
    <t>MED_2234</t>
  </si>
  <si>
    <t>MED_2235</t>
  </si>
  <si>
    <t>MED_2236</t>
  </si>
  <si>
    <t>MED_2237</t>
  </si>
  <si>
    <t>MED_2238</t>
  </si>
  <si>
    <t>MED_2239</t>
  </si>
  <si>
    <t>MED_2240</t>
  </si>
  <si>
    <t>MED_2241</t>
  </si>
  <si>
    <t>MED_2242</t>
  </si>
  <si>
    <t>MED_2243</t>
  </si>
  <si>
    <t>MED_2244</t>
  </si>
  <si>
    <t>MED_2245</t>
  </si>
  <si>
    <t>MED_2246</t>
  </si>
  <si>
    <t>MED_2247</t>
  </si>
  <si>
    <t>MED_2248</t>
  </si>
  <si>
    <t>MED_2249</t>
  </si>
  <si>
    <t>MED_2250</t>
  </si>
  <si>
    <t>MED_2251</t>
  </si>
  <si>
    <t>MED_2252</t>
  </si>
  <si>
    <t>MED_2253</t>
  </si>
  <si>
    <t>MED_2254</t>
  </si>
  <si>
    <t>MED_2255</t>
  </si>
  <si>
    <t>MED_2256</t>
  </si>
  <si>
    <t>MED_2257</t>
  </si>
  <si>
    <t>MED_2258</t>
  </si>
  <si>
    <t>MED_2259</t>
  </si>
  <si>
    <t>MED_2260</t>
  </si>
  <si>
    <t>MED_2261</t>
  </si>
  <si>
    <t>MED_2262</t>
  </si>
  <si>
    <t>MED_2263</t>
  </si>
  <si>
    <t>MED_2264</t>
  </si>
  <si>
    <t>MED_2265</t>
  </si>
  <si>
    <t>MED_2266</t>
  </si>
  <si>
    <t>MED_2267</t>
  </si>
  <si>
    <t>MED_2268</t>
  </si>
  <si>
    <t>MED_2269</t>
  </si>
  <si>
    <t>MED_2270</t>
  </si>
  <si>
    <t>MED_2271</t>
  </si>
  <si>
    <t>MED_2272</t>
  </si>
  <si>
    <t>MED_2273</t>
  </si>
  <si>
    <t>MED_2274</t>
  </si>
  <si>
    <t>MED_2275</t>
  </si>
  <si>
    <t>MED_2276</t>
  </si>
  <si>
    <t>MED_2277</t>
  </si>
  <si>
    <t>MED_2278</t>
  </si>
  <si>
    <t>MED_2279</t>
  </si>
  <si>
    <t>MED_2280</t>
  </si>
  <si>
    <t>MED_2281</t>
  </si>
  <si>
    <t>MED_2282</t>
  </si>
  <si>
    <t>MED_2283</t>
  </si>
  <si>
    <t>MED_2284</t>
  </si>
  <si>
    <t>MED_2285</t>
  </si>
  <si>
    <t>MED_2286</t>
  </si>
  <si>
    <t>MED_2287</t>
  </si>
  <si>
    <t>MED_2288</t>
  </si>
  <si>
    <t>MED_2289</t>
  </si>
  <si>
    <t>MED_2290</t>
  </si>
  <si>
    <t>MED_2291</t>
  </si>
  <si>
    <t>MED_2292</t>
  </si>
  <si>
    <t>MED_2293</t>
  </si>
  <si>
    <t>MED_2294</t>
  </si>
  <si>
    <t>MED_2295</t>
  </si>
  <si>
    <t>MED_2296</t>
  </si>
  <si>
    <t>MED_2297</t>
  </si>
  <si>
    <t>MED_2298</t>
  </si>
  <si>
    <t>MED_2299</t>
  </si>
  <si>
    <t>MED_2300</t>
  </si>
  <si>
    <t>MED_2301</t>
  </si>
  <si>
    <t>MED_2302</t>
  </si>
  <si>
    <t>MED_2303</t>
  </si>
  <si>
    <t>MED_2304</t>
  </si>
  <si>
    <t>MED_2305</t>
  </si>
  <si>
    <t>MED_2306</t>
  </si>
  <si>
    <t>MED_2307</t>
  </si>
  <si>
    <t>MED_2308</t>
  </si>
  <si>
    <t>MED_2309</t>
  </si>
  <si>
    <t>MED_2310</t>
  </si>
  <si>
    <t>MED_2311</t>
  </si>
  <si>
    <t>MED_2312</t>
  </si>
  <si>
    <t>MED_2313</t>
  </si>
  <si>
    <t>MED_2314</t>
  </si>
  <si>
    <t>MED_2315</t>
  </si>
  <si>
    <t>MED_2316</t>
  </si>
  <si>
    <t>MED_2317</t>
  </si>
  <si>
    <t>MED_2318</t>
  </si>
  <si>
    <t>MED_2319</t>
  </si>
  <si>
    <t>MED_2320</t>
  </si>
  <si>
    <t>MED_2321</t>
  </si>
  <si>
    <t>MED_2322</t>
  </si>
  <si>
    <t>MED_2323</t>
  </si>
  <si>
    <t>MED_2324</t>
  </si>
  <si>
    <t>MED_2325</t>
  </si>
  <si>
    <t>MED_2326</t>
  </si>
  <si>
    <t>MED_2327</t>
  </si>
  <si>
    <t>MED_2328</t>
  </si>
  <si>
    <t>MED_2329</t>
  </si>
  <si>
    <t>MED_2330</t>
  </si>
  <si>
    <t>MED_2331</t>
  </si>
  <si>
    <t>MED_2332</t>
  </si>
  <si>
    <t>MED_2333</t>
  </si>
  <si>
    <t>MED_2334</t>
  </si>
  <si>
    <t>MED_2335</t>
  </si>
  <si>
    <t>MED_2336</t>
  </si>
  <si>
    <t>MED_2337</t>
  </si>
  <si>
    <t>MED_2338</t>
  </si>
  <si>
    <t>MED_2339</t>
  </si>
  <si>
    <t>MED_2340</t>
  </si>
  <si>
    <t>MED_2341</t>
  </si>
  <si>
    <t>MED_2342</t>
  </si>
  <si>
    <t>MED_2343</t>
  </si>
  <si>
    <t>MED_2344</t>
  </si>
  <si>
    <t>MED_2345</t>
  </si>
  <si>
    <t>MED_2346</t>
  </si>
  <si>
    <t>MED_2347</t>
  </si>
  <si>
    <t>MED_2348</t>
  </si>
  <si>
    <t>MED_2349</t>
  </si>
  <si>
    <t>MED_2350</t>
  </si>
  <si>
    <t>MED_2351</t>
  </si>
  <si>
    <t>MED_2352</t>
  </si>
  <si>
    <t>MED_2353</t>
  </si>
  <si>
    <t>MED_2354</t>
  </si>
  <si>
    <t>MED_2355</t>
  </si>
  <si>
    <t>MED_2356</t>
  </si>
  <si>
    <t>MED_2357</t>
  </si>
  <si>
    <t>MED_2358</t>
  </si>
  <si>
    <t>MED_2359</t>
  </si>
  <si>
    <t>MED_2360</t>
  </si>
  <si>
    <t>MED_2361</t>
  </si>
  <si>
    <t>MED_2362</t>
  </si>
  <si>
    <t>MED_2363</t>
  </si>
  <si>
    <t>MED_2364</t>
  </si>
  <si>
    <t>MED_2365</t>
  </si>
  <si>
    <t>MED_2366</t>
  </si>
  <si>
    <t>MED_2367</t>
  </si>
  <si>
    <t>MED_2368</t>
  </si>
  <si>
    <t>MED_2369</t>
  </si>
  <si>
    <t>MED_2370</t>
  </si>
  <si>
    <t>MED_2371</t>
  </si>
  <si>
    <t>MED_2372</t>
  </si>
  <si>
    <t>MED_2373</t>
  </si>
  <si>
    <t>MED_2374</t>
  </si>
  <si>
    <t>MED_2375</t>
  </si>
  <si>
    <t>MED_2376</t>
  </si>
  <si>
    <t>MED_2377</t>
  </si>
  <si>
    <t>MED_2378</t>
  </si>
  <si>
    <t>MED_2379</t>
  </si>
  <si>
    <t>MED_2380</t>
  </si>
  <si>
    <t>MED_2381</t>
  </si>
  <si>
    <t>MED_2382</t>
  </si>
  <si>
    <t>MED_2383</t>
  </si>
  <si>
    <t>MED_2384</t>
  </si>
  <si>
    <t>MED_2385</t>
  </si>
  <si>
    <t>MED_2386</t>
  </si>
  <si>
    <t>MED_2387</t>
  </si>
  <si>
    <t>MED_2388</t>
  </si>
  <si>
    <t>MED_2389</t>
  </si>
  <si>
    <t>MED_2390</t>
  </si>
  <si>
    <t>MED_2391</t>
  </si>
  <si>
    <t>MED_2392</t>
  </si>
  <si>
    <t>MED_2393</t>
  </si>
  <si>
    <t>MED_2394</t>
  </si>
  <si>
    <t>MED_2395</t>
  </si>
  <si>
    <t>MED_2396</t>
  </si>
  <si>
    <t>MED_2397</t>
  </si>
  <si>
    <t>MED_2398</t>
  </si>
  <si>
    <t>MED_2399</t>
  </si>
  <si>
    <t>MED_2400</t>
  </si>
  <si>
    <t>MED_2401</t>
  </si>
  <si>
    <t>MED_2402</t>
  </si>
  <si>
    <t>MED_2403</t>
  </si>
  <si>
    <t>MED_2404</t>
  </si>
  <si>
    <t>MED_2405</t>
  </si>
  <si>
    <t>MED_2406</t>
  </si>
  <si>
    <t>MED_2407</t>
  </si>
  <si>
    <t>MED_2408</t>
  </si>
  <si>
    <t>MED_2409</t>
  </si>
  <si>
    <t>MED_2410</t>
  </si>
  <si>
    <t>MED_2411</t>
  </si>
  <si>
    <t>MED_2412</t>
  </si>
  <si>
    <t>MED_2413</t>
  </si>
  <si>
    <t>MED_2414</t>
  </si>
  <si>
    <t>MED_2415</t>
  </si>
  <si>
    <t>MED_2416</t>
  </si>
  <si>
    <t>MED_2417</t>
  </si>
  <si>
    <t>MED_2418</t>
  </si>
  <si>
    <t>MED_2419</t>
  </si>
  <si>
    <t>MED_2420</t>
  </si>
  <si>
    <t>MED_2421</t>
  </si>
  <si>
    <t>MED_2422</t>
  </si>
  <si>
    <t>MED_2423</t>
  </si>
  <si>
    <t>MED_2424</t>
  </si>
  <si>
    <t>MED_2425</t>
  </si>
  <si>
    <t>MED_2426</t>
  </si>
  <si>
    <t>MED_2427</t>
  </si>
  <si>
    <t>MED_2428</t>
  </si>
  <si>
    <t>MED_2429</t>
  </si>
  <si>
    <t>MED_2430</t>
  </si>
  <si>
    <t>MED_2431</t>
  </si>
  <si>
    <t>MED_2432</t>
  </si>
  <si>
    <t>MED_2433</t>
  </si>
  <si>
    <t>MED_2434</t>
  </si>
  <si>
    <t>MED_2435</t>
  </si>
  <si>
    <t>MED_2436</t>
  </si>
  <si>
    <t>MED_2437</t>
  </si>
  <si>
    <t>MED_2438</t>
  </si>
  <si>
    <t>MED_2439</t>
  </si>
  <si>
    <t>MED_2440</t>
  </si>
  <si>
    <t>MED_2441</t>
  </si>
  <si>
    <t>MED_2442</t>
  </si>
  <si>
    <t>MED_2443</t>
  </si>
  <si>
    <t>MED_2444</t>
  </si>
  <si>
    <t>MED_2445</t>
  </si>
  <si>
    <t>MED_2446</t>
  </si>
  <si>
    <t>MED_2447</t>
  </si>
  <si>
    <t>MED_2448</t>
  </si>
  <si>
    <t>MED_2449</t>
  </si>
  <si>
    <t>MED_2450</t>
  </si>
  <si>
    <t>MED_2451</t>
  </si>
  <si>
    <t>MED_2452</t>
  </si>
  <si>
    <t>MED_2453</t>
  </si>
  <si>
    <t>MED_2454</t>
  </si>
  <si>
    <t>MED_2455</t>
  </si>
  <si>
    <t>MED_2456</t>
  </si>
  <si>
    <t>MED_2457</t>
  </si>
  <si>
    <t>MED_2458</t>
  </si>
  <si>
    <t>MED_2459</t>
  </si>
  <si>
    <t>MED_2460</t>
  </si>
  <si>
    <t>MED_2461</t>
  </si>
  <si>
    <t>MED_2462</t>
  </si>
  <si>
    <t>MED_2463</t>
  </si>
  <si>
    <t>MED_2464</t>
  </si>
  <si>
    <t>MED_2465</t>
  </si>
  <si>
    <t>MED_2466</t>
  </si>
  <si>
    <t>MED_2467</t>
  </si>
  <si>
    <t>MED_2468</t>
  </si>
  <si>
    <t>MED_2469</t>
  </si>
  <si>
    <t>MED_2470</t>
  </si>
  <si>
    <t>MED_2471</t>
  </si>
  <si>
    <t>MED_2472</t>
  </si>
  <si>
    <t>MED_2473</t>
  </si>
  <si>
    <t>MED_2474</t>
  </si>
  <si>
    <t>MED_2475</t>
  </si>
  <si>
    <t>MED_2476</t>
  </si>
  <si>
    <t>MED_2477</t>
  </si>
  <si>
    <t>MED_2478</t>
  </si>
  <si>
    <t>MED_2479</t>
  </si>
  <si>
    <t>MED_2480</t>
  </si>
  <si>
    <t>MED_2481</t>
  </si>
  <si>
    <t>MED_2482</t>
  </si>
  <si>
    <t>MED_2483</t>
  </si>
  <si>
    <t>MED_2484</t>
  </si>
  <si>
    <t>MED_2485</t>
  </si>
  <si>
    <t>MED_2486</t>
  </si>
  <si>
    <t>MED_2487</t>
  </si>
  <si>
    <t>MED_2488</t>
  </si>
  <si>
    <t>MED_2489</t>
  </si>
  <si>
    <t>MED_2490</t>
  </si>
  <si>
    <t>MED_2491</t>
  </si>
  <si>
    <t>MED_2492</t>
  </si>
  <si>
    <t>MED_2493</t>
  </si>
  <si>
    <t>MED_2494</t>
  </si>
  <si>
    <t>MED_2495</t>
  </si>
  <si>
    <t>MED_2496</t>
  </si>
  <si>
    <t>MED_2497</t>
  </si>
  <si>
    <t>MED_2498</t>
  </si>
  <si>
    <t>MED_2499</t>
  </si>
  <si>
    <t>MED_2500</t>
  </si>
  <si>
    <t>MED_2501</t>
  </si>
  <si>
    <t>MED_2502</t>
  </si>
  <si>
    <t>MED_2503</t>
  </si>
  <si>
    <t>MED_2504</t>
  </si>
  <si>
    <t>MED_2505</t>
  </si>
  <si>
    <t>MED_2506</t>
  </si>
  <si>
    <t>MED_2507</t>
  </si>
  <si>
    <t>MED_2508</t>
  </si>
  <si>
    <t>MED_2509</t>
  </si>
  <si>
    <t>MED_2510</t>
  </si>
  <si>
    <t>MED_2511</t>
  </si>
  <si>
    <t>MED_2512</t>
  </si>
  <si>
    <t>MED_2513</t>
  </si>
  <si>
    <t>MED_2514</t>
  </si>
  <si>
    <t>MED_2515</t>
  </si>
  <si>
    <t>MED_2516</t>
  </si>
  <si>
    <t>MED_2517</t>
  </si>
  <si>
    <t>MED_2518</t>
  </si>
  <si>
    <t>MED_2519</t>
  </si>
  <si>
    <t>MED_2520</t>
  </si>
  <si>
    <t>MED_2521</t>
  </si>
  <si>
    <t>MED_2522</t>
  </si>
  <si>
    <t>MED_2523</t>
  </si>
  <si>
    <t>MED_2524</t>
  </si>
  <si>
    <t>MED_2525</t>
  </si>
  <si>
    <t>MED_2526</t>
  </si>
  <si>
    <t>MED_2527</t>
  </si>
  <si>
    <t>MED_2528</t>
  </si>
  <si>
    <t>MED_2529</t>
  </si>
  <si>
    <t>MED_2530</t>
  </si>
  <si>
    <t>MED_2531</t>
  </si>
  <si>
    <t>MED_2532</t>
  </si>
  <si>
    <t>MED_2533</t>
  </si>
  <si>
    <t>MED_2534</t>
  </si>
  <si>
    <t>MED_2535</t>
  </si>
  <si>
    <t>MED_2536</t>
  </si>
  <si>
    <t>MED_2537</t>
  </si>
  <si>
    <t>MED_2538</t>
  </si>
  <si>
    <t>MED_2539</t>
  </si>
  <si>
    <t>MED_2540</t>
  </si>
  <si>
    <t>MED_2541</t>
  </si>
  <si>
    <t>MED_2542</t>
  </si>
  <si>
    <t>MED_2543</t>
  </si>
  <si>
    <t>MED_2544</t>
  </si>
  <si>
    <t>MED_2545</t>
  </si>
  <si>
    <t>MED_2546</t>
  </si>
  <si>
    <t>MED_2547</t>
  </si>
  <si>
    <t>MED_2548</t>
  </si>
  <si>
    <t>MED_2549</t>
  </si>
  <si>
    <t>MED_2550</t>
  </si>
  <si>
    <t>MED_2551</t>
  </si>
  <si>
    <t>MED_2552</t>
  </si>
  <si>
    <t>MED_2553</t>
  </si>
  <si>
    <t>MED_2554</t>
  </si>
  <si>
    <t>MED_2555</t>
  </si>
  <si>
    <t>MED_2556</t>
  </si>
  <si>
    <t>MED_2557</t>
  </si>
  <si>
    <t>MED_2558</t>
  </si>
  <si>
    <t>MED_2559</t>
  </si>
  <si>
    <t>MED_2560</t>
  </si>
  <si>
    <t>MED_2561</t>
  </si>
  <si>
    <t>MED_2562</t>
  </si>
  <si>
    <t>MED_2563</t>
  </si>
  <si>
    <t>MED_2564</t>
  </si>
  <si>
    <t>MED_2565</t>
  </si>
  <si>
    <t>MED_2566</t>
  </si>
  <si>
    <t>MED_2567</t>
  </si>
  <si>
    <t>MED_2568</t>
  </si>
  <si>
    <t>MED_2569</t>
  </si>
  <si>
    <t>MED_2570</t>
  </si>
  <si>
    <t>MED_2571</t>
  </si>
  <si>
    <t>MED_2572</t>
  </si>
  <si>
    <t>MED_2573</t>
  </si>
  <si>
    <t>MED_2574</t>
  </si>
  <si>
    <t>MED_2575</t>
  </si>
  <si>
    <t>MED_2576</t>
  </si>
  <si>
    <t>MED_2577</t>
  </si>
  <si>
    <t>MED_2578</t>
  </si>
  <si>
    <t>MED_2579</t>
  </si>
  <si>
    <t>MED_2580</t>
  </si>
  <si>
    <t>MED_2581</t>
  </si>
  <si>
    <t>MED_2582</t>
  </si>
  <si>
    <t>MED_2583</t>
  </si>
  <si>
    <t>MED_2584</t>
  </si>
  <si>
    <t>MED_2585</t>
  </si>
  <si>
    <t>MED_2586</t>
  </si>
  <si>
    <t>MED_2587</t>
  </si>
  <si>
    <t>MED_2588</t>
  </si>
  <si>
    <t>MED_2589</t>
  </si>
  <si>
    <t>MED_2590</t>
  </si>
  <si>
    <t>MED_2591</t>
  </si>
  <si>
    <t>MED_2592</t>
  </si>
  <si>
    <t>MED_2593</t>
  </si>
  <si>
    <t>MED_2594</t>
  </si>
  <si>
    <t>MED_2595</t>
  </si>
  <si>
    <t>MED_2596</t>
  </si>
  <si>
    <t>MED_2597</t>
  </si>
  <si>
    <t>MED_2598</t>
  </si>
  <si>
    <t>MED_2599</t>
  </si>
  <si>
    <t>MED_2600</t>
  </si>
  <si>
    <t>MED_2601</t>
  </si>
  <si>
    <t>MED_2602</t>
  </si>
  <si>
    <t>MED_2603</t>
  </si>
  <si>
    <t>MED_2604</t>
  </si>
  <si>
    <t>MED_2605</t>
  </si>
  <si>
    <t>MED_2606</t>
  </si>
  <si>
    <t>MED_2607</t>
  </si>
  <si>
    <t>MED_2608</t>
  </si>
  <si>
    <t>MED_2609</t>
  </si>
  <si>
    <t>MED_2610</t>
  </si>
  <si>
    <t>MED_2611</t>
  </si>
  <si>
    <t>MED_2612</t>
  </si>
  <si>
    <t>MED_2613</t>
  </si>
  <si>
    <t>MED_2614</t>
  </si>
  <si>
    <t>MED_2615</t>
  </si>
  <si>
    <t>MED_2616</t>
  </si>
  <si>
    <t>MED_2617</t>
  </si>
  <si>
    <t>MED_2618</t>
  </si>
  <si>
    <t>MED_2619</t>
  </si>
  <si>
    <t>MED_2620</t>
  </si>
  <si>
    <t>MED_2621</t>
  </si>
  <si>
    <t>MED_2622</t>
  </si>
  <si>
    <t>MED_2623</t>
  </si>
  <si>
    <t>MED_2624</t>
  </si>
  <si>
    <t>MED_2625</t>
  </si>
  <si>
    <t>MED_2626</t>
  </si>
  <si>
    <t>MED_2627</t>
  </si>
  <si>
    <t>MED_2628</t>
  </si>
  <si>
    <t>MED_2629</t>
  </si>
  <si>
    <t>MED_2630</t>
  </si>
  <si>
    <t>MED_2631</t>
  </si>
  <si>
    <t>MED_2632</t>
  </si>
  <si>
    <t>MED_2633</t>
  </si>
  <si>
    <t>MED_2634</t>
  </si>
  <si>
    <t>MED_2635</t>
  </si>
  <si>
    <t>MED_2636</t>
  </si>
  <si>
    <t>MED_2637</t>
  </si>
  <si>
    <t>MED_2638</t>
  </si>
  <si>
    <t>MED_2639</t>
  </si>
  <si>
    <t>MED_2640</t>
  </si>
  <si>
    <t>MED_2641</t>
  </si>
  <si>
    <t>MED_2642</t>
  </si>
  <si>
    <t>MED_2643</t>
  </si>
  <si>
    <t>MED_2644</t>
  </si>
  <si>
    <t>MED_2645</t>
  </si>
  <si>
    <t>MED_2646</t>
  </si>
  <si>
    <t>MED_2647</t>
  </si>
  <si>
    <t>MED_2648</t>
  </si>
  <si>
    <t>MED_2649</t>
  </si>
  <si>
    <t>MED_2650</t>
  </si>
  <si>
    <t>MED_2651</t>
  </si>
  <si>
    <t>MED_2652</t>
  </si>
  <si>
    <t>MED_2653</t>
  </si>
  <si>
    <t>MED_2654</t>
  </si>
  <si>
    <t>MED_2655</t>
  </si>
  <si>
    <t>MED_2656</t>
  </si>
  <si>
    <t>MED_2657</t>
  </si>
  <si>
    <t>MED_2658</t>
  </si>
  <si>
    <t>MED_2659</t>
  </si>
  <si>
    <t>MED_2660</t>
  </si>
  <si>
    <t>MED_2661</t>
  </si>
  <si>
    <t>MED_2662</t>
  </si>
  <si>
    <t>MED_2663</t>
  </si>
  <si>
    <t>MED_2664</t>
  </si>
  <si>
    <t>MED_2665</t>
  </si>
  <si>
    <t>MED_2666</t>
  </si>
  <si>
    <t>MED_2667</t>
  </si>
  <si>
    <t>MED_2668</t>
  </si>
  <si>
    <t>MED_2669</t>
  </si>
  <si>
    <t>MED_2670</t>
  </si>
  <si>
    <t>MED_2671</t>
  </si>
  <si>
    <t>MED_2672</t>
  </si>
  <si>
    <t>MED_2673</t>
  </si>
  <si>
    <t>MED_2674</t>
  </si>
  <si>
    <t>MED_2675</t>
  </si>
  <si>
    <t>MED_2676</t>
  </si>
  <si>
    <t>MED_2677</t>
  </si>
  <si>
    <t>MED_2678</t>
  </si>
  <si>
    <t>MED_2679</t>
  </si>
  <si>
    <t>MED_2680</t>
  </si>
  <si>
    <t>MED_2681</t>
  </si>
  <si>
    <t>MED_2682</t>
  </si>
  <si>
    <t>MED_2683</t>
  </si>
  <si>
    <t>MED_2684</t>
  </si>
  <si>
    <t>MED_2685</t>
  </si>
  <si>
    <t>MED_2686</t>
  </si>
  <si>
    <t>MED_2687</t>
  </si>
  <si>
    <t>MED_2688</t>
  </si>
  <si>
    <t>MED_2689</t>
  </si>
  <si>
    <t>MED_2690</t>
  </si>
  <si>
    <t>MED_2691</t>
  </si>
  <si>
    <t>MED_2692</t>
  </si>
  <si>
    <t>MED_2693</t>
  </si>
  <si>
    <t>MED_2694</t>
  </si>
  <si>
    <t>MED_2695</t>
  </si>
  <si>
    <t>MED_2696</t>
  </si>
  <si>
    <t>MED_2697</t>
  </si>
  <si>
    <t>MED_2698</t>
  </si>
  <si>
    <t>MED_2699</t>
  </si>
  <si>
    <t>MED_2700</t>
  </si>
  <si>
    <t>MED_2701</t>
  </si>
  <si>
    <t>MED_2702</t>
  </si>
  <si>
    <t>MED_2703</t>
  </si>
  <si>
    <t>MED_2704</t>
  </si>
  <si>
    <t>MED_2705</t>
  </si>
  <si>
    <t>MED_2706</t>
  </si>
  <si>
    <t>MED_2707</t>
  </si>
  <si>
    <t>MED_2708</t>
  </si>
  <si>
    <t>MED_2709</t>
  </si>
  <si>
    <t>MED_2710</t>
  </si>
  <si>
    <t>MED_2711</t>
  </si>
  <si>
    <t>MED_2712</t>
  </si>
  <si>
    <t>MED_2713</t>
  </si>
  <si>
    <t>MED_2714</t>
  </si>
  <si>
    <t>MED_2715</t>
  </si>
  <si>
    <t>MED_2716</t>
  </si>
  <si>
    <t>MED_2717</t>
  </si>
  <si>
    <t>MED_2718</t>
  </si>
  <si>
    <t>MED_2719</t>
  </si>
  <si>
    <t>MED_2720</t>
  </si>
  <si>
    <t>MED_2721</t>
  </si>
  <si>
    <t>MED_2722</t>
  </si>
  <si>
    <t>MED_2723</t>
  </si>
  <si>
    <t>MED_2724</t>
  </si>
  <si>
    <t>MED_2725</t>
  </si>
  <si>
    <t>MED_2726</t>
  </si>
  <si>
    <t>MED_2727</t>
  </si>
  <si>
    <t>MED_2728</t>
  </si>
  <si>
    <t>MED_2729</t>
  </si>
  <si>
    <t>MED_2730</t>
  </si>
  <si>
    <t>MED_2731</t>
  </si>
  <si>
    <t>MED_2732</t>
  </si>
  <si>
    <t>MED_2733</t>
  </si>
  <si>
    <t>MED_2734</t>
  </si>
  <si>
    <t>MED_2735</t>
  </si>
  <si>
    <t>MED_2736</t>
  </si>
  <si>
    <t>MED_2737</t>
  </si>
  <si>
    <t>MED_2738</t>
  </si>
  <si>
    <t>MED_2739</t>
  </si>
  <si>
    <t>MED_2740</t>
  </si>
  <si>
    <t>MED_2741</t>
  </si>
  <si>
    <t>MED_2742</t>
  </si>
  <si>
    <t>MED_2743</t>
  </si>
  <si>
    <t>MED_2744</t>
  </si>
  <si>
    <t>MED_2745</t>
  </si>
  <si>
    <t>MED_2746</t>
  </si>
  <si>
    <t>MED_2747</t>
  </si>
  <si>
    <t>MED_2748</t>
  </si>
  <si>
    <t>MED_2749</t>
  </si>
  <si>
    <t>MED_2750</t>
  </si>
  <si>
    <t>MED_2751</t>
  </si>
  <si>
    <t>MED_2752</t>
  </si>
  <si>
    <t>MED_2753</t>
  </si>
  <si>
    <t>MED_2754</t>
  </si>
  <si>
    <t>MED_2755</t>
  </si>
  <si>
    <t>MED_2756</t>
  </si>
  <si>
    <t>MED_2757</t>
  </si>
  <si>
    <t>MED_2758</t>
  </si>
  <si>
    <t>MED_2759</t>
  </si>
  <si>
    <t>MED_2760</t>
  </si>
  <si>
    <t>MED_2761</t>
  </si>
  <si>
    <t>MED_2762</t>
  </si>
  <si>
    <t>MED_2763</t>
  </si>
  <si>
    <t>MED_2764</t>
  </si>
  <si>
    <t>MED_2765</t>
  </si>
  <si>
    <t>MED_2766</t>
  </si>
  <si>
    <t>MED_2767</t>
  </si>
  <si>
    <t>MED_2768</t>
  </si>
  <si>
    <t>MED_2769</t>
  </si>
  <si>
    <t>MED_2770</t>
  </si>
  <si>
    <t>MED_2771</t>
  </si>
  <si>
    <t>MED_2772</t>
  </si>
  <si>
    <t>MED_2773</t>
  </si>
  <si>
    <t>MED_2774</t>
  </si>
  <si>
    <t>MED_2775</t>
  </si>
  <si>
    <t>MED_2776</t>
  </si>
  <si>
    <t>MED_2777</t>
  </si>
  <si>
    <t>MED_2778</t>
  </si>
  <si>
    <t>MED_2779</t>
  </si>
  <si>
    <t>MED_2780</t>
  </si>
  <si>
    <t>MED_2781</t>
  </si>
  <si>
    <t>MED_2782</t>
  </si>
  <si>
    <t>MED_2783</t>
  </si>
  <si>
    <t>MED_2784</t>
  </si>
  <si>
    <t>MED_2785</t>
  </si>
  <si>
    <t>MED_2786</t>
  </si>
  <si>
    <t>MED_2787</t>
  </si>
  <si>
    <t>MED_2788</t>
  </si>
  <si>
    <t>MED_2789</t>
  </si>
  <si>
    <t>MED_2790</t>
  </si>
  <si>
    <t>MED_2791</t>
  </si>
  <si>
    <t>MED_2792</t>
  </si>
  <si>
    <t>MED_2793</t>
  </si>
  <si>
    <t>MED_2794</t>
  </si>
  <si>
    <t>MED_2795</t>
  </si>
  <si>
    <t>MED_2796</t>
  </si>
  <si>
    <t>MED_2797</t>
  </si>
  <si>
    <t>MED_2798</t>
  </si>
  <si>
    <t>MED_2799</t>
  </si>
  <si>
    <t>MED_2800</t>
  </si>
  <si>
    <t>codigo_id</t>
  </si>
  <si>
    <t>VM-1</t>
  </si>
  <si>
    <t>VM-2</t>
  </si>
  <si>
    <t>VM-3</t>
  </si>
  <si>
    <t>VM-4</t>
  </si>
  <si>
    <t>VM-5</t>
  </si>
  <si>
    <t>VM-6</t>
  </si>
  <si>
    <t>VM-7</t>
  </si>
  <si>
    <t>VM-8</t>
  </si>
  <si>
    <t>VM-9</t>
  </si>
  <si>
    <t>VM-10</t>
  </si>
  <si>
    <t>VM-11</t>
  </si>
  <si>
    <t>VM-12</t>
  </si>
  <si>
    <t>VM-13</t>
  </si>
  <si>
    <t>VM-14</t>
  </si>
  <si>
    <t>VIS_0081</t>
  </si>
  <si>
    <t>VIS_0082</t>
  </si>
  <si>
    <t>VIS_0083</t>
  </si>
  <si>
    <t>VIS_0084</t>
  </si>
  <si>
    <t>VIS_0085</t>
  </si>
  <si>
    <t>VIS_0086</t>
  </si>
  <si>
    <t>VIS_0087</t>
  </si>
  <si>
    <t>VIS_0088</t>
  </si>
  <si>
    <t>VIS_0089</t>
  </si>
  <si>
    <t>VIS_0090</t>
  </si>
  <si>
    <t>VIS_0091</t>
  </si>
  <si>
    <t>VIS_0092</t>
  </si>
  <si>
    <t>VIS_0093</t>
  </si>
  <si>
    <t>VIS_0094</t>
  </si>
  <si>
    <t>VIS_0095</t>
  </si>
  <si>
    <t>VIS_0096</t>
  </si>
  <si>
    <t>VIS_0097</t>
  </si>
  <si>
    <t>VIS_0098</t>
  </si>
  <si>
    <t>VIS_0099</t>
  </si>
  <si>
    <t>VIS_0100</t>
  </si>
  <si>
    <t>VIS_0101</t>
  </si>
  <si>
    <t>VIS_0102</t>
  </si>
  <si>
    <t>VIS_0103</t>
  </si>
  <si>
    <t>VIS_0104</t>
  </si>
  <si>
    <t>VIS_0105</t>
  </si>
  <si>
    <t>VIS_0106</t>
  </si>
  <si>
    <t>VIS_0107</t>
  </si>
  <si>
    <t>VIS_0108</t>
  </si>
  <si>
    <t>VIS_0109</t>
  </si>
  <si>
    <t>VIS_0110</t>
  </si>
  <si>
    <t>VIS_0111</t>
  </si>
  <si>
    <t>VIS_0112</t>
  </si>
  <si>
    <t>VIS_0113</t>
  </si>
  <si>
    <t>VIS_0114</t>
  </si>
  <si>
    <t>VIS_0115</t>
  </si>
  <si>
    <t>VIS_0116</t>
  </si>
  <si>
    <t>VIS_0117</t>
  </si>
  <si>
    <t>VIS_0118</t>
  </si>
  <si>
    <t>VIS_0119</t>
  </si>
  <si>
    <t>VIS_0120</t>
  </si>
  <si>
    <t>VIS_0121</t>
  </si>
  <si>
    <t>VIS_0122</t>
  </si>
  <si>
    <t>VIS_0123</t>
  </si>
  <si>
    <t>VIS_0124</t>
  </si>
  <si>
    <t>VIS_0125</t>
  </si>
  <si>
    <t>VIS_0126</t>
  </si>
  <si>
    <t>VIS_0127</t>
  </si>
  <si>
    <t>VIS_0128</t>
  </si>
  <si>
    <t>VIS_0129</t>
  </si>
  <si>
    <t>VIS_0130</t>
  </si>
  <si>
    <t>VIS_0131</t>
  </si>
  <si>
    <t>VIS_0132</t>
  </si>
  <si>
    <t>VIS_0133</t>
  </si>
  <si>
    <t>VIS_0134</t>
  </si>
  <si>
    <t>VIS_0135</t>
  </si>
  <si>
    <t>VIS_0136</t>
  </si>
  <si>
    <t>VIS_0137</t>
  </si>
  <si>
    <t>VIS_0138</t>
  </si>
  <si>
    <t>VIS_0139</t>
  </si>
  <si>
    <t>VIS_0140</t>
  </si>
  <si>
    <t>VIS_0141</t>
  </si>
  <si>
    <t>VIS_0142</t>
  </si>
  <si>
    <t>VIS_0143</t>
  </si>
  <si>
    <t>VIS_0144</t>
  </si>
  <si>
    <t>VIS_0145</t>
  </si>
  <si>
    <t>VIS_0146</t>
  </si>
  <si>
    <t>VIS_0147</t>
  </si>
  <si>
    <t>VIS_0148</t>
  </si>
  <si>
    <t>VIS_0149</t>
  </si>
  <si>
    <t>VIS_0150</t>
  </si>
  <si>
    <t>VIS_0151</t>
  </si>
  <si>
    <t>VIS_0152</t>
  </si>
  <si>
    <t>VIS_0153</t>
  </si>
  <si>
    <t>VIS_0154</t>
  </si>
  <si>
    <t>VIS_0155</t>
  </si>
  <si>
    <t>VIS_0156</t>
  </si>
  <si>
    <t>VIS_0157</t>
  </si>
  <si>
    <t>VIS_0158</t>
  </si>
  <si>
    <t>VIS_0159</t>
  </si>
  <si>
    <t>VIS_0160</t>
  </si>
  <si>
    <t>VIS_0161</t>
  </si>
  <si>
    <t>VIS_0162</t>
  </si>
  <si>
    <t>VIS_0163</t>
  </si>
  <si>
    <t>VIS_0164</t>
  </si>
  <si>
    <t>VIS_0165</t>
  </si>
  <si>
    <t>VIS_0166</t>
  </si>
  <si>
    <t>VIS_0167</t>
  </si>
  <si>
    <t>VIS_0168</t>
  </si>
  <si>
    <t>VIS_0169</t>
  </si>
  <si>
    <t>VIS_0170</t>
  </si>
  <si>
    <t>VIS_0171</t>
  </si>
  <si>
    <t>VIS_0172</t>
  </si>
  <si>
    <t>VIS_0173</t>
  </si>
  <si>
    <t>VIS_0174</t>
  </si>
  <si>
    <t>VIS_0175</t>
  </si>
  <si>
    <t>VIS_0176</t>
  </si>
  <si>
    <t>VIS_0177</t>
  </si>
  <si>
    <t>VIS_0178</t>
  </si>
  <si>
    <t>VIS_0179</t>
  </si>
  <si>
    <t>VIS_0180</t>
  </si>
  <si>
    <t>VIS_0181</t>
  </si>
  <si>
    <t>VIS_0182</t>
  </si>
  <si>
    <t>VIS_0183</t>
  </si>
  <si>
    <t>VIS_0184</t>
  </si>
  <si>
    <t>VIS_0185</t>
  </si>
  <si>
    <t>VIS_0186</t>
  </si>
  <si>
    <t>VIS_0187</t>
  </si>
  <si>
    <t>VIS_0188</t>
  </si>
  <si>
    <t>VIS_0189</t>
  </si>
  <si>
    <t>VIS_0190</t>
  </si>
  <si>
    <t>VIS_0191</t>
  </si>
  <si>
    <t>VIS_0192</t>
  </si>
  <si>
    <t>VIS_0193</t>
  </si>
  <si>
    <t>VIS_0194</t>
  </si>
  <si>
    <t>VIS_0195</t>
  </si>
  <si>
    <t>VIS_0196</t>
  </si>
  <si>
    <t>VIS_0197</t>
  </si>
  <si>
    <t>VIS_0198</t>
  </si>
  <si>
    <t>VIS_0199</t>
  </si>
  <si>
    <t>VIS_0200</t>
  </si>
  <si>
    <t>VIS_0201</t>
  </si>
  <si>
    <t>VIS_0202</t>
  </si>
  <si>
    <t>VIS_0203</t>
  </si>
  <si>
    <t>VIS_0204</t>
  </si>
  <si>
    <t>VIS_0205</t>
  </si>
  <si>
    <t>VIS_0206</t>
  </si>
  <si>
    <t>VIS_0207</t>
  </si>
  <si>
    <t>VIS_0208</t>
  </si>
  <si>
    <t>VIS_0209</t>
  </si>
  <si>
    <t>VIS_0210</t>
  </si>
  <si>
    <t>VIS_0211</t>
  </si>
  <si>
    <t>VIS_0212</t>
  </si>
  <si>
    <t>VIS_0213</t>
  </si>
  <si>
    <t>VIS_0214</t>
  </si>
  <si>
    <t>VIS_0215</t>
  </si>
  <si>
    <t>VIS_0216</t>
  </si>
  <si>
    <t>VIS_0217</t>
  </si>
  <si>
    <t>VIS_0218</t>
  </si>
  <si>
    <t>VIS_0219</t>
  </si>
  <si>
    <t>VIS_0220</t>
  </si>
  <si>
    <t>VIS_0221</t>
  </si>
  <si>
    <t>VIS_0222</t>
  </si>
  <si>
    <t>VIS_0223</t>
  </si>
  <si>
    <t>VIS_0224</t>
  </si>
  <si>
    <t>VIS_0225</t>
  </si>
  <si>
    <t>VIS_0226</t>
  </si>
  <si>
    <t>VIS_0227</t>
  </si>
  <si>
    <t>VIS_0228</t>
  </si>
  <si>
    <t>VIS_0229</t>
  </si>
  <si>
    <t>VIS_0230</t>
  </si>
  <si>
    <t>VIS_0231</t>
  </si>
  <si>
    <t>VIS_0232</t>
  </si>
  <si>
    <t>VIS_0233</t>
  </si>
  <si>
    <t>VIS_0234</t>
  </si>
  <si>
    <t>VIS_0235</t>
  </si>
  <si>
    <t>VIS_0236</t>
  </si>
  <si>
    <t>VIS_0237</t>
  </si>
  <si>
    <t>VIS_0238</t>
  </si>
  <si>
    <t>VIS_0239</t>
  </si>
  <si>
    <t>VIS_0240</t>
  </si>
  <si>
    <t>VIS_0241</t>
  </si>
  <si>
    <t>VIS_0242</t>
  </si>
  <si>
    <t>VIS_0243</t>
  </si>
  <si>
    <t>VIS_0244</t>
  </si>
  <si>
    <t>VIS_0245</t>
  </si>
  <si>
    <t>VIS_0246</t>
  </si>
  <si>
    <t>VIS_0247</t>
  </si>
  <si>
    <t>VIS_0248</t>
  </si>
  <si>
    <t>VIS_0249</t>
  </si>
  <si>
    <t>VIS_0250</t>
  </si>
  <si>
    <t>VIS_0251</t>
  </si>
  <si>
    <t>VIS_0252</t>
  </si>
  <si>
    <t>VIS_0253</t>
  </si>
  <si>
    <t>VIS_0254</t>
  </si>
  <si>
    <t>VIS_0255</t>
  </si>
  <si>
    <t>VIS_0256</t>
  </si>
  <si>
    <t>VIS_0257</t>
  </si>
  <si>
    <t>VIS_0258</t>
  </si>
  <si>
    <t>VIS_0259</t>
  </si>
  <si>
    <t>VIS_0260</t>
  </si>
  <si>
    <t>VIS_0261</t>
  </si>
  <si>
    <t>VIS_0262</t>
  </si>
  <si>
    <t>VIS_0263</t>
  </si>
  <si>
    <t>VIS_0264</t>
  </si>
  <si>
    <t>VIS_0265</t>
  </si>
  <si>
    <t>VIS_0266</t>
  </si>
  <si>
    <t>VIS_0267</t>
  </si>
  <si>
    <t>VIS_0268</t>
  </si>
  <si>
    <t>VIS_0269</t>
  </si>
  <si>
    <t>VIS_0270</t>
  </si>
  <si>
    <t>VIS_0271</t>
  </si>
  <si>
    <t>VIS_0272</t>
  </si>
  <si>
    <t>VIS_0273</t>
  </si>
  <si>
    <t>VIS_0274</t>
  </si>
  <si>
    <t>VIS_0275</t>
  </si>
  <si>
    <t>VIS_0276</t>
  </si>
  <si>
    <t>VIS_0277</t>
  </si>
  <si>
    <t>VIS_0278</t>
  </si>
  <si>
    <t>VIS_0279</t>
  </si>
  <si>
    <t>VIS_0280</t>
  </si>
  <si>
    <t>VIS_0281</t>
  </si>
  <si>
    <t>VIS_0282</t>
  </si>
  <si>
    <t>VIS_0283</t>
  </si>
  <si>
    <t>VIS_0284</t>
  </si>
  <si>
    <t>VIS_0285</t>
  </si>
  <si>
    <t>VIS_0286</t>
  </si>
  <si>
    <t>VIS_0287</t>
  </si>
  <si>
    <t>VIS_0288</t>
  </si>
  <si>
    <t>VIS_0289</t>
  </si>
  <si>
    <t>VIS_0290</t>
  </si>
  <si>
    <t>VIS_0291</t>
  </si>
  <si>
    <t>VIS_0292</t>
  </si>
  <si>
    <t>VIS_0293</t>
  </si>
  <si>
    <t>VIS_0294</t>
  </si>
  <si>
    <t>VIS_0295</t>
  </si>
  <si>
    <t>VIS_0296</t>
  </si>
  <si>
    <t>VIS_0297</t>
  </si>
  <si>
    <t>VIS_0298</t>
  </si>
  <si>
    <t>VIS_0299</t>
  </si>
  <si>
    <t>VIS_0300</t>
  </si>
  <si>
    <t>VIS_0301</t>
  </si>
  <si>
    <t>VIS_0302</t>
  </si>
  <si>
    <t>VIS_0303</t>
  </si>
  <si>
    <t>VIS_0304</t>
  </si>
  <si>
    <t>VIS_0305</t>
  </si>
  <si>
    <t>VIS_0306</t>
  </si>
  <si>
    <t>VIS_0307</t>
  </si>
  <si>
    <t>VIS_0308</t>
  </si>
  <si>
    <t>VIS_0309</t>
  </si>
  <si>
    <t>VIS_0310</t>
  </si>
  <si>
    <t>VIS_0311</t>
  </si>
  <si>
    <t>VIS_0312</t>
  </si>
  <si>
    <t>VIS_0313</t>
  </si>
  <si>
    <t>VIS_0314</t>
  </si>
  <si>
    <t>VIS_0315</t>
  </si>
  <si>
    <t>VIS_0316</t>
  </si>
  <si>
    <t>VIS_0317</t>
  </si>
  <si>
    <t>VIS_0318</t>
  </si>
  <si>
    <t>VIS_0319</t>
  </si>
  <si>
    <t>VIS_0320</t>
  </si>
  <si>
    <t>VIS_0321</t>
  </si>
  <si>
    <t>VIS_0322</t>
  </si>
  <si>
    <t>VIS_0323</t>
  </si>
  <si>
    <t>VIS_0324</t>
  </si>
  <si>
    <t>VIS_0325</t>
  </si>
  <si>
    <t>VIS_0326</t>
  </si>
  <si>
    <t>VIS_0327</t>
  </si>
  <si>
    <t>VIS_0328</t>
  </si>
  <si>
    <t>VIS_0329</t>
  </si>
  <si>
    <t>VIS_0330</t>
  </si>
  <si>
    <t>VIS_0331</t>
  </si>
  <si>
    <t>VIS_0332</t>
  </si>
  <si>
    <t>VIS_0333</t>
  </si>
  <si>
    <t>VIS_0334</t>
  </si>
  <si>
    <t>VIS_0335</t>
  </si>
  <si>
    <t>VIS_0336</t>
  </si>
  <si>
    <t>VIS_0337</t>
  </si>
  <si>
    <t>VIS_0338</t>
  </si>
  <si>
    <t>VIS_0339</t>
  </si>
  <si>
    <t>VIS_0340</t>
  </si>
  <si>
    <t>VIS_0341</t>
  </si>
  <si>
    <t>VIS_0342</t>
  </si>
  <si>
    <t>VIS_0343</t>
  </si>
  <si>
    <t>VIS_0344</t>
  </si>
  <si>
    <t>VIS_0345</t>
  </si>
  <si>
    <t>VIS_0346</t>
  </si>
  <si>
    <t>VIS_0347</t>
  </si>
  <si>
    <t>VIS_0348</t>
  </si>
  <si>
    <t>VIS_0349</t>
  </si>
  <si>
    <t>VIS_0350</t>
  </si>
  <si>
    <t>VIS_0351</t>
  </si>
  <si>
    <t>VIS_0352</t>
  </si>
  <si>
    <t>VIS_0353</t>
  </si>
  <si>
    <t>VIS_0354</t>
  </si>
  <si>
    <t>VIS_0355</t>
  </si>
  <si>
    <t>VIS_0356</t>
  </si>
  <si>
    <t>VIS_0357</t>
  </si>
  <si>
    <t>VIS_0358</t>
  </si>
  <si>
    <t>VIS_0359</t>
  </si>
  <si>
    <t>VIS_0360</t>
  </si>
  <si>
    <t>VIS_0361</t>
  </si>
  <si>
    <t>VIS_0362</t>
  </si>
  <si>
    <t>VIS_0363</t>
  </si>
  <si>
    <t>VIS_0364</t>
  </si>
  <si>
    <t>VIS_0365</t>
  </si>
  <si>
    <t>VIS_0366</t>
  </si>
  <si>
    <t>VIS_0367</t>
  </si>
  <si>
    <t>VIS_0368</t>
  </si>
  <si>
    <t>VIS_0369</t>
  </si>
  <si>
    <t>VIS_0370</t>
  </si>
  <si>
    <t>VIS_0371</t>
  </si>
  <si>
    <t>VIS_0372</t>
  </si>
  <si>
    <t>VIS_0373</t>
  </si>
  <si>
    <t>VIS_0374</t>
  </si>
  <si>
    <t>VIS_0375</t>
  </si>
  <si>
    <t>VIS_0376</t>
  </si>
  <si>
    <t>VIS_0377</t>
  </si>
  <si>
    <t>VIS_0378</t>
  </si>
  <si>
    <t>VIS_0379</t>
  </si>
  <si>
    <t>VIS_0380</t>
  </si>
  <si>
    <t>VIS_0381</t>
  </si>
  <si>
    <t>VIS_0382</t>
  </si>
  <si>
    <t>VIS_0383</t>
  </si>
  <si>
    <t>VIS_0384</t>
  </si>
  <si>
    <t>VIS_0385</t>
  </si>
  <si>
    <t>VIS_0386</t>
  </si>
  <si>
    <t>VIS_0387</t>
  </si>
  <si>
    <t>VIS_0388</t>
  </si>
  <si>
    <t>VIS_0389</t>
  </si>
  <si>
    <t>VIS_0390</t>
  </si>
  <si>
    <t>VIS_0391</t>
  </si>
  <si>
    <t>VIS_0392</t>
  </si>
  <si>
    <t>VIS_0393</t>
  </si>
  <si>
    <t>VIS_0394</t>
  </si>
  <si>
    <t>VIS_0395</t>
  </si>
  <si>
    <t>VIS_0396</t>
  </si>
  <si>
    <t>VIS_0397</t>
  </si>
  <si>
    <t>VIS_0398</t>
  </si>
  <si>
    <t>VIS_0399</t>
  </si>
  <si>
    <t>VIS_0400</t>
  </si>
  <si>
    <t>VIS_0401</t>
  </si>
  <si>
    <t>VIS_0402</t>
  </si>
  <si>
    <t>VIS_0403</t>
  </si>
  <si>
    <t>VIS_0404</t>
  </si>
  <si>
    <t>VIS_0405</t>
  </si>
  <si>
    <t>VIS_0406</t>
  </si>
  <si>
    <t>VIS_0407</t>
  </si>
  <si>
    <t>VIS_0408</t>
  </si>
  <si>
    <t>VIS_0409</t>
  </si>
  <si>
    <t>VIS_0410</t>
  </si>
  <si>
    <t>VIS_0411</t>
  </si>
  <si>
    <t>VIS_0412</t>
  </si>
  <si>
    <t>VIS_0413</t>
  </si>
  <si>
    <t>VIS_0414</t>
  </si>
  <si>
    <t>VIS_0415</t>
  </si>
  <si>
    <t>VIS_0416</t>
  </si>
  <si>
    <t>VIS_0417</t>
  </si>
  <si>
    <t>VIS_0418</t>
  </si>
  <si>
    <t>VIS_0419</t>
  </si>
  <si>
    <t>VIS_0420</t>
  </si>
  <si>
    <t>VIS_0421</t>
  </si>
  <si>
    <t>VIS_0422</t>
  </si>
  <si>
    <t>VIS_0423</t>
  </si>
  <si>
    <t>VIS_0424</t>
  </si>
  <si>
    <t>VIS_0425</t>
  </si>
  <si>
    <t>VIS_0426</t>
  </si>
  <si>
    <t>VIS_0427</t>
  </si>
  <si>
    <t>VIS_0428</t>
  </si>
  <si>
    <t>VIS_0429</t>
  </si>
  <si>
    <t>VIS_0430</t>
  </si>
  <si>
    <t>VIS_0431</t>
  </si>
  <si>
    <t>VIS_0432</t>
  </si>
  <si>
    <t>VIS_0433</t>
  </si>
  <si>
    <t>VIS_0434</t>
  </si>
  <si>
    <t>VIS_0435</t>
  </si>
  <si>
    <t>VIS_0436</t>
  </si>
  <si>
    <t>VIS_0437</t>
  </si>
  <si>
    <t>VIS_0438</t>
  </si>
  <si>
    <t>VIS_0439</t>
  </si>
  <si>
    <t>VIS_0440</t>
  </si>
  <si>
    <t>VIS_0441</t>
  </si>
  <si>
    <t>VIS_0442</t>
  </si>
  <si>
    <t>VIS_0443</t>
  </si>
  <si>
    <t>VIS_0444</t>
  </si>
  <si>
    <t>VIS_0445</t>
  </si>
  <si>
    <t>VIS_0446</t>
  </si>
  <si>
    <t>VIS_0447</t>
  </si>
  <si>
    <t>VIS_0448</t>
  </si>
  <si>
    <t>VIS_0449</t>
  </si>
  <si>
    <t>VIS_0450</t>
  </si>
  <si>
    <t>VIS_0451</t>
  </si>
  <si>
    <t>VIS_0452</t>
  </si>
  <si>
    <t>VIS_0453</t>
  </si>
  <si>
    <t>VIS_0454</t>
  </si>
  <si>
    <t>VIS_0455</t>
  </si>
  <si>
    <t>VIS_0456</t>
  </si>
  <si>
    <t>VIS_0457</t>
  </si>
  <si>
    <t>VIS_0458</t>
  </si>
  <si>
    <t>VIS_0459</t>
  </si>
  <si>
    <t>VIS_0460</t>
  </si>
  <si>
    <t>VIS_0461</t>
  </si>
  <si>
    <t>VIS_0462</t>
  </si>
  <si>
    <t>VIS_0463</t>
  </si>
  <si>
    <t>VIS_0464</t>
  </si>
  <si>
    <t>VIS_0465</t>
  </si>
  <si>
    <t>VIS_0466</t>
  </si>
  <si>
    <t>VIS_0467</t>
  </si>
  <si>
    <t>VIS_0468</t>
  </si>
  <si>
    <t>VIS_0469</t>
  </si>
  <si>
    <t>VIS_0470</t>
  </si>
  <si>
    <t>VIS_0471</t>
  </si>
  <si>
    <t>VIS_0472</t>
  </si>
  <si>
    <t>VIS_0473</t>
  </si>
  <si>
    <t>VIS_0474</t>
  </si>
  <si>
    <t>VIS_0475</t>
  </si>
  <si>
    <t>VIS_0476</t>
  </si>
  <si>
    <t>VIS_0477</t>
  </si>
  <si>
    <t>VIS_0478</t>
  </si>
  <si>
    <t>VIS_0479</t>
  </si>
  <si>
    <t>VIS_0480</t>
  </si>
  <si>
    <t>VIS_0481</t>
  </si>
  <si>
    <t>VIS_0482</t>
  </si>
  <si>
    <t>VIS_0483</t>
  </si>
  <si>
    <t>VIS_0484</t>
  </si>
  <si>
    <t>VIS_0485</t>
  </si>
  <si>
    <t>VIS_0486</t>
  </si>
  <si>
    <t>VIS_0487</t>
  </si>
  <si>
    <t>VIS_0488</t>
  </si>
  <si>
    <t>VIS_0489</t>
  </si>
  <si>
    <t>VIS_0490</t>
  </si>
  <si>
    <t>VIS_0491</t>
  </si>
  <si>
    <t>VIS_0492</t>
  </si>
  <si>
    <t>VIS_0493</t>
  </si>
  <si>
    <t>VIS_0494</t>
  </si>
  <si>
    <t>VIS_0495</t>
  </si>
  <si>
    <t>VIS_0496</t>
  </si>
  <si>
    <t>VIS_0497</t>
  </si>
  <si>
    <t>VIS_0498</t>
  </si>
  <si>
    <t>VIS_0499</t>
  </si>
  <si>
    <t>VIS_0500</t>
  </si>
  <si>
    <t>VIS_0501</t>
  </si>
  <si>
    <t>VIS_0502</t>
  </si>
  <si>
    <t>VIS_0503</t>
  </si>
  <si>
    <t>VIS_0504</t>
  </si>
  <si>
    <t>VIS_0505</t>
  </si>
  <si>
    <t>VIS_0506</t>
  </si>
  <si>
    <t>VIS_0507</t>
  </si>
  <si>
    <t>VIS_0508</t>
  </si>
  <si>
    <t>VIS_0509</t>
  </si>
  <si>
    <t>VIS_0510</t>
  </si>
  <si>
    <t>VIS_0511</t>
  </si>
  <si>
    <t>VIS_0512</t>
  </si>
  <si>
    <t>VIS_0513</t>
  </si>
  <si>
    <t>VIS_0514</t>
  </si>
  <si>
    <t>VIS_0515</t>
  </si>
  <si>
    <t>VIS_0516</t>
  </si>
  <si>
    <t>VIS_0517</t>
  </si>
  <si>
    <t>VIS_0518</t>
  </si>
  <si>
    <t>VIS_0519</t>
  </si>
  <si>
    <t>VIS_0520</t>
  </si>
  <si>
    <t>VIS_0521</t>
  </si>
  <si>
    <t>VIS_0522</t>
  </si>
  <si>
    <t>VIS_0523</t>
  </si>
  <si>
    <t>VIS_0524</t>
  </si>
  <si>
    <t>VIS_0525</t>
  </si>
  <si>
    <t>VIS_0526</t>
  </si>
  <si>
    <t>VIS_0527</t>
  </si>
  <si>
    <t>VIS_0528</t>
  </si>
  <si>
    <t>VIS_0529</t>
  </si>
  <si>
    <t>VIS_0530</t>
  </si>
  <si>
    <t>VIS_0531</t>
  </si>
  <si>
    <t>VIS_0532</t>
  </si>
  <si>
    <t>VIS_0533</t>
  </si>
  <si>
    <t>VIS_0534</t>
  </si>
  <si>
    <t>VIS_0535</t>
  </si>
  <si>
    <t>VIS_0536</t>
  </si>
  <si>
    <t>VIS_0537</t>
  </si>
  <si>
    <t>VIS_0538</t>
  </si>
  <si>
    <t>VIS_0539</t>
  </si>
  <si>
    <t>VIS_0540</t>
  </si>
  <si>
    <t>VIS_0541</t>
  </si>
  <si>
    <t>VIS_0542</t>
  </si>
  <si>
    <t>VIS_0543</t>
  </si>
  <si>
    <t>VIS_0544</t>
  </si>
  <si>
    <t>VIS_0545</t>
  </si>
  <si>
    <t>VIS_0546</t>
  </si>
  <si>
    <t>VIS_0547</t>
  </si>
  <si>
    <t>VIS_0548</t>
  </si>
  <si>
    <t>VIS_0549</t>
  </si>
  <si>
    <t>VIS_0550</t>
  </si>
  <si>
    <t>VIS_0551</t>
  </si>
  <si>
    <t>VIS_0552</t>
  </si>
  <si>
    <t>VIS_0553</t>
  </si>
  <si>
    <t>VIS_0554</t>
  </si>
  <si>
    <t>VIS_0555</t>
  </si>
  <si>
    <t>VIS_0556</t>
  </si>
  <si>
    <t>VIS_0557</t>
  </si>
  <si>
    <t>VIS_0558</t>
  </si>
  <si>
    <t>VIS_0559</t>
  </si>
  <si>
    <t>VIS_0560</t>
  </si>
  <si>
    <t>VIS_0561</t>
  </si>
  <si>
    <t>VIS_0562</t>
  </si>
  <si>
    <t>VIS_0563</t>
  </si>
  <si>
    <t>VIS_0564</t>
  </si>
  <si>
    <t>VIS_0565</t>
  </si>
  <si>
    <t>VIS_0566</t>
  </si>
  <si>
    <t>VIS_0567</t>
  </si>
  <si>
    <t>VIS_0568</t>
  </si>
  <si>
    <t>VIS_0569</t>
  </si>
  <si>
    <t>VIS_0570</t>
  </si>
  <si>
    <t>VIS_0571</t>
  </si>
  <si>
    <t>VIS_0572</t>
  </si>
  <si>
    <t>VIS_0573</t>
  </si>
  <si>
    <t>VIS_0574</t>
  </si>
  <si>
    <t>VIS_0575</t>
  </si>
  <si>
    <t>VIS_0576</t>
  </si>
  <si>
    <t>VIS_0577</t>
  </si>
  <si>
    <t>VIS_0578</t>
  </si>
  <si>
    <t>VIS_0579</t>
  </si>
  <si>
    <t>VIS_0580</t>
  </si>
  <si>
    <t>VIS_0581</t>
  </si>
  <si>
    <t>VIS_0582</t>
  </si>
  <si>
    <t>VIS_0583</t>
  </si>
  <si>
    <t>VIS_0584</t>
  </si>
  <si>
    <t>VIS_0585</t>
  </si>
  <si>
    <t>VIS_0586</t>
  </si>
  <si>
    <t>VIS_0587</t>
  </si>
  <si>
    <t>VIS_0588</t>
  </si>
  <si>
    <t>VIS_0589</t>
  </si>
  <si>
    <t>VIS_0590</t>
  </si>
  <si>
    <t>VIS_0591</t>
  </si>
  <si>
    <t>VIS_0592</t>
  </si>
  <si>
    <t>VIS_0593</t>
  </si>
  <si>
    <t>VIS_0594</t>
  </si>
  <si>
    <t>VIS_0595</t>
  </si>
  <si>
    <t>VIS_0596</t>
  </si>
  <si>
    <t>VIS_0597</t>
  </si>
  <si>
    <t>VIS_0598</t>
  </si>
  <si>
    <t>VIS_0599</t>
  </si>
  <si>
    <t>VIS_0600</t>
  </si>
  <si>
    <t>VIS_0601</t>
  </si>
  <si>
    <t>VIS_0602</t>
  </si>
  <si>
    <t>VIS_0603</t>
  </si>
  <si>
    <t>VIS_0604</t>
  </si>
  <si>
    <t>VIS_0605</t>
  </si>
  <si>
    <t>VIS_0606</t>
  </si>
  <si>
    <t>VIS_0607</t>
  </si>
  <si>
    <t>VIS_0608</t>
  </si>
  <si>
    <t>VIS_0609</t>
  </si>
  <si>
    <t>VIS_0610</t>
  </si>
  <si>
    <t>VIS_0611</t>
  </si>
  <si>
    <t>VIS_0612</t>
  </si>
  <si>
    <t>VIS_0613</t>
  </si>
  <si>
    <t>VIS_0614</t>
  </si>
  <si>
    <t>VIS_0615</t>
  </si>
  <si>
    <t>VIS_0616</t>
  </si>
  <si>
    <t>VIS_0617</t>
  </si>
  <si>
    <t>VIS_0618</t>
  </si>
  <si>
    <t>VIS_0619</t>
  </si>
  <si>
    <t>VIS_0620</t>
  </si>
  <si>
    <t>VIS_0621</t>
  </si>
  <si>
    <t>VIS_0622</t>
  </si>
  <si>
    <t>VIS_0623</t>
  </si>
  <si>
    <t>VIS_0624</t>
  </si>
  <si>
    <t>VIS_0625</t>
  </si>
  <si>
    <t>VIS_0626</t>
  </si>
  <si>
    <t>VIS_0627</t>
  </si>
  <si>
    <t>VIS_0628</t>
  </si>
  <si>
    <t>VIS_0629</t>
  </si>
  <si>
    <t>VIS_0630</t>
  </si>
  <si>
    <t>VIS_0631</t>
  </si>
  <si>
    <t>VIS_0632</t>
  </si>
  <si>
    <t>VIS_0633</t>
  </si>
  <si>
    <t>VIS_0634</t>
  </si>
  <si>
    <t>VIS_0635</t>
  </si>
  <si>
    <t>VIS_0636</t>
  </si>
  <si>
    <t>VIS_0637</t>
  </si>
  <si>
    <t>VIS_0638</t>
  </si>
  <si>
    <t>VIS_0639</t>
  </si>
  <si>
    <t>VIS_0640</t>
  </si>
  <si>
    <t>VIS_0641</t>
  </si>
  <si>
    <t>VIS_0642</t>
  </si>
  <si>
    <t>VIS_0643</t>
  </si>
  <si>
    <t>VIS_0644</t>
  </si>
  <si>
    <t>VIS_0645</t>
  </si>
  <si>
    <t>VIS_0646</t>
  </si>
  <si>
    <t>VIS_0647</t>
  </si>
  <si>
    <t>VIS_0648</t>
  </si>
  <si>
    <t>VIS_0649</t>
  </si>
  <si>
    <t>VIS_0650</t>
  </si>
  <si>
    <t>VIS_0651</t>
  </si>
  <si>
    <t>VIS_0652</t>
  </si>
  <si>
    <t>VIS_0653</t>
  </si>
  <si>
    <t>VIS_0654</t>
  </si>
  <si>
    <t>VIS_0655</t>
  </si>
  <si>
    <t>VIS_0656</t>
  </si>
  <si>
    <t>VIS_0657</t>
  </si>
  <si>
    <t>VIS_0658</t>
  </si>
  <si>
    <t>VIS_0659</t>
  </si>
  <si>
    <t>VIS_0660</t>
  </si>
  <si>
    <t>VIS_0661</t>
  </si>
  <si>
    <t>VIS_0662</t>
  </si>
  <si>
    <t>VIS_0663</t>
  </si>
  <si>
    <t>VIS_0664</t>
  </si>
  <si>
    <t>VIS_0665</t>
  </si>
  <si>
    <t>VIS_0666</t>
  </si>
  <si>
    <t>VIS_0667</t>
  </si>
  <si>
    <t>VIS_0668</t>
  </si>
  <si>
    <t>VIS_0669</t>
  </si>
  <si>
    <t>VIS_0670</t>
  </si>
  <si>
    <t>VIS_0671</t>
  </si>
  <si>
    <t>VIS_0672</t>
  </si>
  <si>
    <t>VIS_0673</t>
  </si>
  <si>
    <t>VIS_0674</t>
  </si>
  <si>
    <t>VIS_0675</t>
  </si>
  <si>
    <t>VIS_0676</t>
  </si>
  <si>
    <t>VIS_0677</t>
  </si>
  <si>
    <t>VIS_0678</t>
  </si>
  <si>
    <t>VIS_0679</t>
  </si>
  <si>
    <t>VIS_0680</t>
  </si>
  <si>
    <t>VIS_0681</t>
  </si>
  <si>
    <t>VIS_0682</t>
  </si>
  <si>
    <t>VIS_0683</t>
  </si>
  <si>
    <t>VIS_0684</t>
  </si>
  <si>
    <t>VIS_0685</t>
  </si>
  <si>
    <t>VIS_0686</t>
  </si>
  <si>
    <t>VIS_0687</t>
  </si>
  <si>
    <t>VIS_0688</t>
  </si>
  <si>
    <t>VIS_0689</t>
  </si>
  <si>
    <t>VIS_0690</t>
  </si>
  <si>
    <t>VIS_0691</t>
  </si>
  <si>
    <t>VIS_0692</t>
  </si>
  <si>
    <t>VIS_0693</t>
  </si>
  <si>
    <t>VIS_0694</t>
  </si>
  <si>
    <t>VIS_0695</t>
  </si>
  <si>
    <t>VIS_0696</t>
  </si>
  <si>
    <t>VIS_0697</t>
  </si>
  <si>
    <t>VIS_0698</t>
  </si>
  <si>
    <t>VIS_0699</t>
  </si>
  <si>
    <t>VIS_0700</t>
  </si>
  <si>
    <t>VIS_0701</t>
  </si>
  <si>
    <t>VIS_0702</t>
  </si>
  <si>
    <t>VIS_0703</t>
  </si>
  <si>
    <t>VIS_0704</t>
  </si>
  <si>
    <t>VIS_0705</t>
  </si>
  <si>
    <t>VIS_0706</t>
  </si>
  <si>
    <t>VIS_0707</t>
  </si>
  <si>
    <t>VIS_0708</t>
  </si>
  <si>
    <t>VIS_0709</t>
  </si>
  <si>
    <t>VIS_0710</t>
  </si>
  <si>
    <t>VIS_0711</t>
  </si>
  <si>
    <t>VIS_0712</t>
  </si>
  <si>
    <t>VIS_0713</t>
  </si>
  <si>
    <t>VIS_0714</t>
  </si>
  <si>
    <t>VIS_0715</t>
  </si>
  <si>
    <t>VIS_0716</t>
  </si>
  <si>
    <t>VIS_0717</t>
  </si>
  <si>
    <t>VIS_0718</t>
  </si>
  <si>
    <t>VIS_0719</t>
  </si>
  <si>
    <t>VIS_0720</t>
  </si>
  <si>
    <t>VIS_0721</t>
  </si>
  <si>
    <t>VIS_0722</t>
  </si>
  <si>
    <t>VIS_0723</t>
  </si>
  <si>
    <t>VIS_0724</t>
  </si>
  <si>
    <t>VIS_0725</t>
  </si>
  <si>
    <t>VIS_0726</t>
  </si>
  <si>
    <t>VIS_0727</t>
  </si>
  <si>
    <t>VIS_0728</t>
  </si>
  <si>
    <t>VIS_0729</t>
  </si>
  <si>
    <t>VIS_0730</t>
  </si>
  <si>
    <t>VIS_0731</t>
  </si>
  <si>
    <t>VIS_0732</t>
  </si>
  <si>
    <t>VIS_0733</t>
  </si>
  <si>
    <t>VIS_0734</t>
  </si>
  <si>
    <t>VIS_0735</t>
  </si>
  <si>
    <t>VIS_0736</t>
  </si>
  <si>
    <t>VIS_0737</t>
  </si>
  <si>
    <t>VIS_0738</t>
  </si>
  <si>
    <t>VIS_0739</t>
  </si>
  <si>
    <t>VIS_0740</t>
  </si>
  <si>
    <t>VIS_0741</t>
  </si>
  <si>
    <t>VIS_0742</t>
  </si>
  <si>
    <t>VIS_0743</t>
  </si>
  <si>
    <t>VIS_0744</t>
  </si>
  <si>
    <t>VIS_0745</t>
  </si>
  <si>
    <t>VIS_0746</t>
  </si>
  <si>
    <t>VIS_0747</t>
  </si>
  <si>
    <t>VIS_0748</t>
  </si>
  <si>
    <t>VIS_0749</t>
  </si>
  <si>
    <t>VIS_0750</t>
  </si>
  <si>
    <t>VIS_0751</t>
  </si>
  <si>
    <t>VIS_0752</t>
  </si>
  <si>
    <t>VIS_0753</t>
  </si>
  <si>
    <t>VIS_0754</t>
  </si>
  <si>
    <t>VIS_0755</t>
  </si>
  <si>
    <t>VIS_0756</t>
  </si>
  <si>
    <t>VIS_0757</t>
  </si>
  <si>
    <t>VIS_0758</t>
  </si>
  <si>
    <t>VIS_0759</t>
  </si>
  <si>
    <t>VIS_0760</t>
  </si>
  <si>
    <t>VIS_0761</t>
  </si>
  <si>
    <t>VIS_0762</t>
  </si>
  <si>
    <t>VIS_0763</t>
  </si>
  <si>
    <t>VIS_0764</t>
  </si>
  <si>
    <t>VIS_0765</t>
  </si>
  <si>
    <t>VIS_0766</t>
  </si>
  <si>
    <t>VIS_0767</t>
  </si>
  <si>
    <t>VIS_0768</t>
  </si>
  <si>
    <t>VIS_0769</t>
  </si>
  <si>
    <t>VIS_0770</t>
  </si>
  <si>
    <t>VIS_0771</t>
  </si>
  <si>
    <t>VIS_0772</t>
  </si>
  <si>
    <t>VIS_0773</t>
  </si>
  <si>
    <t>VIS_0774</t>
  </si>
  <si>
    <t>VIS_0775</t>
  </si>
  <si>
    <t>VIS_0776</t>
  </si>
  <si>
    <t>VIS_0777</t>
  </si>
  <si>
    <t>VIS_0778</t>
  </si>
  <si>
    <t>VIS_0779</t>
  </si>
  <si>
    <t>VIS_0780</t>
  </si>
  <si>
    <t>VIS_0781</t>
  </si>
  <si>
    <t>VIS_0782</t>
  </si>
  <si>
    <t>VIS_0783</t>
  </si>
  <si>
    <t>VIS_0784</t>
  </si>
  <si>
    <t>VIS_0785</t>
  </si>
  <si>
    <t>VIS_0786</t>
  </si>
  <si>
    <t>VIS_0787</t>
  </si>
  <si>
    <t>VIS_0788</t>
  </si>
  <si>
    <t>VIS_0789</t>
  </si>
  <si>
    <t>VIS_0790</t>
  </si>
  <si>
    <t>VIS_0791</t>
  </si>
  <si>
    <t>VIS_0792</t>
  </si>
  <si>
    <t>VIS_0793</t>
  </si>
  <si>
    <t>VIS_0794</t>
  </si>
  <si>
    <t>VIS_0795</t>
  </si>
  <si>
    <t>VIS_0796</t>
  </si>
  <si>
    <t>VIS_0797</t>
  </si>
  <si>
    <t>VIS_0798</t>
  </si>
  <si>
    <t>VIS_0799</t>
  </si>
  <si>
    <t>VIS_0800</t>
  </si>
  <si>
    <t>VIS_0801</t>
  </si>
  <si>
    <t>VIS_0802</t>
  </si>
  <si>
    <t>VIS_0803</t>
  </si>
  <si>
    <t>VIS_0804</t>
  </si>
  <si>
    <t>VIS_0805</t>
  </si>
  <si>
    <t>VIS_0806</t>
  </si>
  <si>
    <t>VIS_0807</t>
  </si>
  <si>
    <t>VIS_0808</t>
  </si>
  <si>
    <t>VIS_0809</t>
  </si>
  <si>
    <t>VIS_0810</t>
  </si>
  <si>
    <t>VIS_0811</t>
  </si>
  <si>
    <t>VIS_0812</t>
  </si>
  <si>
    <t>VIS_0813</t>
  </si>
  <si>
    <t>VIS_0814</t>
  </si>
  <si>
    <t>VIS_0815</t>
  </si>
  <si>
    <t>VIS_0816</t>
  </si>
  <si>
    <t>VIS_0817</t>
  </si>
  <si>
    <t>VIS_0818</t>
  </si>
  <si>
    <t>VIS_0819</t>
  </si>
  <si>
    <t>VIS_0820</t>
  </si>
  <si>
    <t>VIS_0821</t>
  </si>
  <si>
    <t>VIS_0822</t>
  </si>
  <si>
    <t>VIS_0823</t>
  </si>
  <si>
    <t>VIS_0824</t>
  </si>
  <si>
    <t>VIS_0825</t>
  </si>
  <si>
    <t>VIS_0826</t>
  </si>
  <si>
    <t>VIS_0827</t>
  </si>
  <si>
    <t>VIS_0828</t>
  </si>
  <si>
    <t>VIS_0829</t>
  </si>
  <si>
    <t>VIS_0830</t>
  </si>
  <si>
    <t>VIS_0831</t>
  </si>
  <si>
    <t>VIS_0832</t>
  </si>
  <si>
    <t>VIS_0833</t>
  </si>
  <si>
    <t>VIS_0834</t>
  </si>
  <si>
    <t>VIS_0835</t>
  </si>
  <si>
    <t>VIS_0836</t>
  </si>
  <si>
    <t>VIS_0837</t>
  </si>
  <si>
    <t>VIS_0838</t>
  </si>
  <si>
    <t>VIS_0839</t>
  </si>
  <si>
    <t>VIS_0840</t>
  </si>
  <si>
    <t>VIS_0841</t>
  </si>
  <si>
    <t>VIS_0842</t>
  </si>
  <si>
    <t>VIS_0843</t>
  </si>
  <si>
    <t>VIS_0844</t>
  </si>
  <si>
    <t>VIS_0845</t>
  </si>
  <si>
    <t>VIS_0846</t>
  </si>
  <si>
    <t>VIS_0847</t>
  </si>
  <si>
    <t>VIS_0848</t>
  </si>
  <si>
    <t>VIS_0849</t>
  </si>
  <si>
    <t>VIS_0850</t>
  </si>
  <si>
    <t>VIS_0851</t>
  </si>
  <si>
    <t>VIS_0852</t>
  </si>
  <si>
    <t>VIS_0853</t>
  </si>
  <si>
    <t>VIS_0854</t>
  </si>
  <si>
    <t>VIS_0855</t>
  </si>
  <si>
    <t>VIS_0856</t>
  </si>
  <si>
    <t>VIS_0857</t>
  </si>
  <si>
    <t>VIS_0858</t>
  </si>
  <si>
    <t>VIS_0859</t>
  </si>
  <si>
    <t>VIS_0860</t>
  </si>
  <si>
    <t>VIS_0861</t>
  </si>
  <si>
    <t>VIS_0862</t>
  </si>
  <si>
    <t>VIS_0863</t>
  </si>
  <si>
    <t>VIS_0864</t>
  </si>
  <si>
    <t>VIS_0865</t>
  </si>
  <si>
    <t>VIS_0866</t>
  </si>
  <si>
    <t>VIS_0867</t>
  </si>
  <si>
    <t>VIS_0868</t>
  </si>
  <si>
    <t>VIS_0869</t>
  </si>
  <si>
    <t>VIS_0870</t>
  </si>
  <si>
    <t>VIS_0871</t>
  </si>
  <si>
    <t>VIS_0872</t>
  </si>
  <si>
    <t>VIS_0873</t>
  </si>
  <si>
    <t>VIS_0874</t>
  </si>
  <si>
    <t>VIS_0875</t>
  </si>
  <si>
    <t>VIS_0876</t>
  </si>
  <si>
    <t>VIS_0877</t>
  </si>
  <si>
    <t>VIS_0878</t>
  </si>
  <si>
    <t>VIS_0879</t>
  </si>
  <si>
    <t>VIS_0880</t>
  </si>
  <si>
    <t>VIS_0881</t>
  </si>
  <si>
    <t>VIS_0882</t>
  </si>
  <si>
    <t>VIS_0883</t>
  </si>
  <si>
    <t>VIS_0884</t>
  </si>
  <si>
    <t>VIS_0885</t>
  </si>
  <si>
    <t>VIS_0886</t>
  </si>
  <si>
    <t>VIS_0887</t>
  </si>
  <si>
    <t>VIS_0888</t>
  </si>
  <si>
    <t>VIS_0889</t>
  </si>
  <si>
    <t>VIS_0890</t>
  </si>
  <si>
    <t>VIS_0891</t>
  </si>
  <si>
    <t>VIS_0892</t>
  </si>
  <si>
    <t>VIS_0893</t>
  </si>
  <si>
    <t>VIS_0894</t>
  </si>
  <si>
    <t>VIS_0895</t>
  </si>
  <si>
    <t>VIS_0896</t>
  </si>
  <si>
    <t>VIS_0897</t>
  </si>
  <si>
    <t>VIS_0898</t>
  </si>
  <si>
    <t>VIS_0899</t>
  </si>
  <si>
    <t>VIS_0900</t>
  </si>
  <si>
    <t>VIS_0901</t>
  </si>
  <si>
    <t>VIS_0902</t>
  </si>
  <si>
    <t>VIS_0903</t>
  </si>
  <si>
    <t>VIS_0904</t>
  </si>
  <si>
    <t>VIS_0905</t>
  </si>
  <si>
    <t>VIS_0906</t>
  </si>
  <si>
    <t>VIS_0907</t>
  </si>
  <si>
    <t>VIS_0908</t>
  </si>
  <si>
    <t>VIS_0909</t>
  </si>
  <si>
    <t>VIS_0910</t>
  </si>
  <si>
    <t>VIS_0911</t>
  </si>
  <si>
    <t>VIS_0912</t>
  </si>
  <si>
    <t>VIS_0913</t>
  </si>
  <si>
    <t>VIS_0914</t>
  </si>
  <si>
    <t>VIS_0915</t>
  </si>
  <si>
    <t>VIS_0916</t>
  </si>
  <si>
    <t>VIS_0917</t>
  </si>
  <si>
    <t>VIS_0918</t>
  </si>
  <si>
    <t>VIS_0919</t>
  </si>
  <si>
    <t>VIS_0920</t>
  </si>
  <si>
    <t>VIS_0921</t>
  </si>
  <si>
    <t>VIS_0922</t>
  </si>
  <si>
    <t>VIS_0923</t>
  </si>
  <si>
    <t>VIS_0924</t>
  </si>
  <si>
    <t>VIS_0925</t>
  </si>
  <si>
    <t>VIS_0926</t>
  </si>
  <si>
    <t>VIS_0927</t>
  </si>
  <si>
    <t>VIS_0928</t>
  </si>
  <si>
    <t>VIS_0929</t>
  </si>
  <si>
    <t>VIS_0930</t>
  </si>
  <si>
    <t>VIS_0931</t>
  </si>
  <si>
    <t>VIS_0932</t>
  </si>
  <si>
    <t>VIS_0933</t>
  </si>
  <si>
    <t>VIS_0934</t>
  </si>
  <si>
    <t>VIS_0935</t>
  </si>
  <si>
    <t>VIS_0936</t>
  </si>
  <si>
    <t>VIS_0937</t>
  </si>
  <si>
    <t>VIS_0938</t>
  </si>
  <si>
    <t>VIS_0939</t>
  </si>
  <si>
    <t>VIS_0940</t>
  </si>
  <si>
    <t>VIS_0941</t>
  </si>
  <si>
    <t>VIS_0942</t>
  </si>
  <si>
    <t>VIS_0943</t>
  </si>
  <si>
    <t>VIS_0944</t>
  </si>
  <si>
    <t>VIS_0945</t>
  </si>
  <si>
    <t>VIS_0946</t>
  </si>
  <si>
    <t>VIS_0947</t>
  </si>
  <si>
    <t>VIS_0948</t>
  </si>
  <si>
    <t>VIS_0949</t>
  </si>
  <si>
    <t>VIS_0950</t>
  </si>
  <si>
    <t>VIS_0951</t>
  </si>
  <si>
    <t>VIS_0952</t>
  </si>
  <si>
    <t>VIS_0953</t>
  </si>
  <si>
    <t>VIS_0954</t>
  </si>
  <si>
    <t>VIS_0955</t>
  </si>
  <si>
    <t>VIS_0956</t>
  </si>
  <si>
    <t>VIS_0957</t>
  </si>
  <si>
    <t>VIS_0958</t>
  </si>
  <si>
    <t>VIS_0959</t>
  </si>
  <si>
    <t>VIS_0960</t>
  </si>
  <si>
    <t>VIS_0961</t>
  </si>
  <si>
    <t>VIS_0962</t>
  </si>
  <si>
    <t>VIS_0963</t>
  </si>
  <si>
    <t>VIS_0964</t>
  </si>
  <si>
    <t>VIS_0965</t>
  </si>
  <si>
    <t>VIS_0966</t>
  </si>
  <si>
    <t>VIS_0967</t>
  </si>
  <si>
    <t>VIS_0968</t>
  </si>
  <si>
    <t>VIS_0969</t>
  </si>
  <si>
    <t>VIS_0970</t>
  </si>
  <si>
    <t>VIS_0971</t>
  </si>
  <si>
    <t>VIS_0972</t>
  </si>
  <si>
    <t>VIS_0973</t>
  </si>
  <si>
    <t>VIS_0974</t>
  </si>
  <si>
    <t>VIS_0975</t>
  </si>
  <si>
    <t>VIS_0976</t>
  </si>
  <si>
    <t>VIS_0977</t>
  </si>
  <si>
    <t>VIS_0978</t>
  </si>
  <si>
    <t>VIS_0979</t>
  </si>
  <si>
    <t>VIS_0980</t>
  </si>
  <si>
    <t>VIS_0981</t>
  </si>
  <si>
    <t>VIS_0982</t>
  </si>
  <si>
    <t>VIS_0983</t>
  </si>
  <si>
    <t>VIS_0984</t>
  </si>
  <si>
    <t>VIS_0985</t>
  </si>
  <si>
    <t>VIS_0986</t>
  </si>
  <si>
    <t>VIS_0987</t>
  </si>
  <si>
    <t>VIS_0988</t>
  </si>
  <si>
    <t>VIS_0989</t>
  </si>
  <si>
    <t>VIS_0990</t>
  </si>
  <si>
    <t>VIS_0991</t>
  </si>
  <si>
    <t>VIS_0992</t>
  </si>
  <si>
    <t>VIS_0993</t>
  </si>
  <si>
    <t>VIS_0994</t>
  </si>
  <si>
    <t>VIS_0995</t>
  </si>
  <si>
    <t>VIS_0996</t>
  </si>
  <si>
    <t>VIS_0997</t>
  </si>
  <si>
    <t>VIS_0998</t>
  </si>
  <si>
    <t>VIS_0999</t>
  </si>
  <si>
    <t>VIS_1000</t>
  </si>
  <si>
    <t>VIS_1101</t>
  </si>
  <si>
    <t>VIS_1102</t>
  </si>
  <si>
    <t>VIS_1103</t>
  </si>
  <si>
    <t>VIS_1104</t>
  </si>
  <si>
    <t>VIS_1105</t>
  </si>
  <si>
    <t>VIS_1106</t>
  </si>
  <si>
    <t>VIS_1107</t>
  </si>
  <si>
    <t>VIS_1108</t>
  </si>
  <si>
    <t>VIS_1109</t>
  </si>
  <si>
    <t>VIS_1110</t>
  </si>
  <si>
    <t>VIS_1111</t>
  </si>
  <si>
    <t>VIS_1112</t>
  </si>
  <si>
    <t>VIS_1113</t>
  </si>
  <si>
    <t>VIS_1114</t>
  </si>
  <si>
    <t>VIS_1115</t>
  </si>
  <si>
    <t>VIS_1116</t>
  </si>
  <si>
    <t>VIS_1117</t>
  </si>
  <si>
    <t>VIS_1118</t>
  </si>
  <si>
    <t>VIS_1119</t>
  </si>
  <si>
    <t>VIS_1120</t>
  </si>
  <si>
    <t>VIS_1121</t>
  </si>
  <si>
    <t>VIS_1122</t>
  </si>
  <si>
    <t>VIS_1123</t>
  </si>
  <si>
    <t>VIS_1124</t>
  </si>
  <si>
    <t>VIS_1125</t>
  </si>
  <si>
    <t>VIS_1126</t>
  </si>
  <si>
    <t>VIS_1127</t>
  </si>
  <si>
    <t>VIS_1128</t>
  </si>
  <si>
    <t>VIS_1129</t>
  </si>
  <si>
    <t>VIS_1130</t>
  </si>
  <si>
    <t>VIS_1131</t>
  </si>
  <si>
    <t>VIS_1132</t>
  </si>
  <si>
    <t>VIS_1133</t>
  </si>
  <si>
    <t>VIS_1134</t>
  </si>
  <si>
    <t>VIS_1135</t>
  </si>
  <si>
    <t>VIS_1136</t>
  </si>
  <si>
    <t>VIS_1137</t>
  </si>
  <si>
    <t>VIS_1138</t>
  </si>
  <si>
    <t>VIS_1139</t>
  </si>
  <si>
    <t>VIS_1140</t>
  </si>
  <si>
    <t>VIS_1141</t>
  </si>
  <si>
    <t>VIS_1142</t>
  </si>
  <si>
    <t>VIS_1143</t>
  </si>
  <si>
    <t>VIS_1144</t>
  </si>
  <si>
    <t>VIS_1145</t>
  </si>
  <si>
    <t>VIS_1146</t>
  </si>
  <si>
    <t>VIS_1147</t>
  </si>
  <si>
    <t>VIS_1148</t>
  </si>
  <si>
    <t>VIS_1149</t>
  </si>
  <si>
    <t>VIS_1150</t>
  </si>
  <si>
    <t>VIS_1151</t>
  </si>
  <si>
    <t>VIS_1152</t>
  </si>
  <si>
    <t>VIS_1153</t>
  </si>
  <si>
    <t>VIS_1154</t>
  </si>
  <si>
    <t>VIS_1155</t>
  </si>
  <si>
    <t>VIS_1156</t>
  </si>
  <si>
    <t>VIS_1157</t>
  </si>
  <si>
    <t>VIS_1158</t>
  </si>
  <si>
    <t>VIS_1159</t>
  </si>
  <si>
    <t>VIS_1160</t>
  </si>
  <si>
    <t>VIS_1161</t>
  </si>
  <si>
    <t>VIS_1162</t>
  </si>
  <si>
    <t>VIS_1163</t>
  </si>
  <si>
    <t>VIS_1164</t>
  </si>
  <si>
    <t>VIS_1165</t>
  </si>
  <si>
    <t>VIS_1166</t>
  </si>
  <si>
    <t>VIS_1167</t>
  </si>
  <si>
    <t>VIS_1168</t>
  </si>
  <si>
    <t>VIS_1169</t>
  </si>
  <si>
    <t>VIS_1170</t>
  </si>
  <si>
    <t>VIS_1171</t>
  </si>
  <si>
    <t>VIS_1172</t>
  </si>
  <si>
    <t>VIS_1173</t>
  </si>
  <si>
    <t>VIS_1174</t>
  </si>
  <si>
    <t>VIS_1175</t>
  </si>
  <si>
    <t>VIS_1176</t>
  </si>
  <si>
    <t>VIS_1177</t>
  </si>
  <si>
    <t>VIS_1178</t>
  </si>
  <si>
    <t>VIS_1179</t>
  </si>
  <si>
    <t>VIS_1180</t>
  </si>
  <si>
    <t>VIS_1181</t>
  </si>
  <si>
    <t>VIS_1182</t>
  </si>
  <si>
    <t>VIS_1183</t>
  </si>
  <si>
    <t>VIS_1184</t>
  </si>
  <si>
    <t>VIS_1185</t>
  </si>
  <si>
    <t>VIS_1186</t>
  </si>
  <si>
    <t>VIS_1187</t>
  </si>
  <si>
    <t>VIS_1188</t>
  </si>
  <si>
    <t>VIS_1189</t>
  </si>
  <si>
    <t>VIS_1190</t>
  </si>
  <si>
    <t>VIS_1191</t>
  </si>
  <si>
    <t>VIS_1192</t>
  </si>
  <si>
    <t>VIS_1193</t>
  </si>
  <si>
    <t>VIS_1194</t>
  </si>
  <si>
    <t>VIS_1195</t>
  </si>
  <si>
    <t>VIS_1196</t>
  </si>
  <si>
    <t>VIS_1197</t>
  </si>
  <si>
    <t>VIS_1198</t>
  </si>
  <si>
    <t>VIS_1199</t>
  </si>
  <si>
    <t>VIS_1200</t>
  </si>
  <si>
    <t>VIS_1201</t>
  </si>
  <si>
    <t>VIS_1202</t>
  </si>
  <si>
    <t>VIS_1203</t>
  </si>
  <si>
    <t>VIS_1204</t>
  </si>
  <si>
    <t>VIS_1205</t>
  </si>
  <si>
    <t>VIS_1206</t>
  </si>
  <si>
    <t>VIS_1207</t>
  </si>
  <si>
    <t>VIS_1208</t>
  </si>
  <si>
    <t>VIS_1209</t>
  </si>
  <si>
    <t>VIS_1210</t>
  </si>
  <si>
    <t>VIS_1211</t>
  </si>
  <si>
    <t>VIS_1212</t>
  </si>
  <si>
    <t>VIS_1213</t>
  </si>
  <si>
    <t>VIS_1214</t>
  </si>
  <si>
    <t>VIS_1215</t>
  </si>
  <si>
    <t>VIS_1216</t>
  </si>
  <si>
    <t>VIS_1217</t>
  </si>
  <si>
    <t>VIS_1218</t>
  </si>
  <si>
    <t>VIS_1219</t>
  </si>
  <si>
    <t>VIS_1220</t>
  </si>
  <si>
    <t>VIS_1221</t>
  </si>
  <si>
    <t>VIS_1222</t>
  </si>
  <si>
    <t>VIS_1223</t>
  </si>
  <si>
    <t>VIS_1224</t>
  </si>
  <si>
    <t>VIS_1225</t>
  </si>
  <si>
    <t>VIS_1226</t>
  </si>
  <si>
    <t>VIS_1227</t>
  </si>
  <si>
    <t>VIS_1228</t>
  </si>
  <si>
    <t>VIS_1229</t>
  </si>
  <si>
    <t>VIS_1230</t>
  </si>
  <si>
    <t>VIS_1231</t>
  </si>
  <si>
    <t>VIS_1232</t>
  </si>
  <si>
    <t>VIS_1233</t>
  </si>
  <si>
    <t>VIS_1234</t>
  </si>
  <si>
    <t>VIS_1235</t>
  </si>
  <si>
    <t>VIS_1236</t>
  </si>
  <si>
    <t>VIS_1237</t>
  </si>
  <si>
    <t>VIS_1238</t>
  </si>
  <si>
    <t>VIS_1239</t>
  </si>
  <si>
    <t>VIS_1240</t>
  </si>
  <si>
    <t>VIS_1241</t>
  </si>
  <si>
    <t>VIS_1242</t>
  </si>
  <si>
    <t>VIS_1243</t>
  </si>
  <si>
    <t>VIS_1244</t>
  </si>
  <si>
    <t>VIS_1245</t>
  </si>
  <si>
    <t>VIS_1246</t>
  </si>
  <si>
    <t>VIS_1247</t>
  </si>
  <si>
    <t>VIS_1248</t>
  </si>
  <si>
    <t>VIS_1249</t>
  </si>
  <si>
    <t>VIS_1250</t>
  </si>
  <si>
    <t>VIS_1251</t>
  </si>
  <si>
    <t>VIS_1252</t>
  </si>
  <si>
    <t>VIS_1253</t>
  </si>
  <si>
    <t>VIS_1254</t>
  </si>
  <si>
    <t>VIS_1255</t>
  </si>
  <si>
    <t>VIS_1256</t>
  </si>
  <si>
    <t>VIS_1257</t>
  </si>
  <si>
    <t>VIS_1258</t>
  </si>
  <si>
    <t>VIS_1259</t>
  </si>
  <si>
    <t>VIS_1260</t>
  </si>
  <si>
    <t>VIS_1261</t>
  </si>
  <si>
    <t>VIS_1262</t>
  </si>
  <si>
    <t>VIS_1263</t>
  </si>
  <si>
    <t>VIS_1264</t>
  </si>
  <si>
    <t>VIS_1265</t>
  </si>
  <si>
    <t>VIS_1266</t>
  </si>
  <si>
    <t>VIS_1267</t>
  </si>
  <si>
    <t>VIS_1268</t>
  </si>
  <si>
    <t>VIS_1269</t>
  </si>
  <si>
    <t>VIS_1270</t>
  </si>
  <si>
    <t>VIS_1271</t>
  </si>
  <si>
    <t>VIS_1272</t>
  </si>
  <si>
    <t>VIS_1273</t>
  </si>
  <si>
    <t>VIS_1274</t>
  </si>
  <si>
    <t>VIS_1275</t>
  </si>
  <si>
    <t>VIS_1276</t>
  </si>
  <si>
    <t>VIS_1277</t>
  </si>
  <si>
    <t>VIS_1278</t>
  </si>
  <si>
    <t>VIS_1279</t>
  </si>
  <si>
    <t>VIS_1280</t>
  </si>
  <si>
    <t>VIS_1281</t>
  </si>
  <si>
    <t>VIS_1282</t>
  </si>
  <si>
    <t>VIS_1283</t>
  </si>
  <si>
    <t>VIS_1284</t>
  </si>
  <si>
    <t>VIS_1285</t>
  </si>
  <si>
    <t>VIS_1286</t>
  </si>
  <si>
    <t>VIS_1287</t>
  </si>
  <si>
    <t>VIS_1288</t>
  </si>
  <si>
    <t>VIS_1289</t>
  </si>
  <si>
    <t>VIS_1290</t>
  </si>
  <si>
    <t>VIS_1291</t>
  </si>
  <si>
    <t>VIS_1292</t>
  </si>
  <si>
    <t>VIS_1293</t>
  </si>
  <si>
    <t>VIS_1294</t>
  </si>
  <si>
    <t>VIS_1295</t>
  </si>
  <si>
    <t>VIS_1296</t>
  </si>
  <si>
    <t>VIS_1297</t>
  </si>
  <si>
    <t>VIS_1298</t>
  </si>
  <si>
    <t>VIS_1299</t>
  </si>
  <si>
    <t>VIS_1300</t>
  </si>
  <si>
    <t>VIS_1301</t>
  </si>
  <si>
    <t>VIS_1302</t>
  </si>
  <si>
    <t>VIS_1303</t>
  </si>
  <si>
    <t>VIS_1304</t>
  </si>
  <si>
    <t>VIS_1305</t>
  </si>
  <si>
    <t>VIS_1306</t>
  </si>
  <si>
    <t>VIS_1307</t>
  </si>
  <si>
    <t>VIS_1308</t>
  </si>
  <si>
    <t>VIS_1309</t>
  </si>
  <si>
    <t>VIS_1310</t>
  </si>
  <si>
    <t>VIS_1311</t>
  </si>
  <si>
    <t>VIS_1312</t>
  </si>
  <si>
    <t>VIS_1313</t>
  </si>
  <si>
    <t>VIS_1314</t>
  </si>
  <si>
    <t>VIS_1315</t>
  </si>
  <si>
    <t>VIS_1316</t>
  </si>
  <si>
    <t>VIS_1317</t>
  </si>
  <si>
    <t>VIS_1318</t>
  </si>
  <si>
    <t>VIS_1319</t>
  </si>
  <si>
    <t>VIS_1320</t>
  </si>
  <si>
    <t>VIS_1321</t>
  </si>
  <si>
    <t>VIS_1322</t>
  </si>
  <si>
    <t>VIS_1323</t>
  </si>
  <si>
    <t>VIS_1324</t>
  </si>
  <si>
    <t>VIS_1325</t>
  </si>
  <si>
    <t>VIS_1326</t>
  </si>
  <si>
    <t>VIS_1327</t>
  </si>
  <si>
    <t>VIS_1328</t>
  </si>
  <si>
    <t>VIS_1329</t>
  </si>
  <si>
    <t>VIS_1330</t>
  </si>
  <si>
    <t>VIS_1331</t>
  </si>
  <si>
    <t>VIS_1332</t>
  </si>
  <si>
    <t>VIS_1333</t>
  </si>
  <si>
    <t>VIS_1334</t>
  </si>
  <si>
    <t>VIS_1335</t>
  </si>
  <si>
    <t>VIS_1336</t>
  </si>
  <si>
    <t>VIS_1337</t>
  </si>
  <si>
    <t>VIS_1338</t>
  </si>
  <si>
    <t>VIS_1339</t>
  </si>
  <si>
    <t>VIS_1340</t>
  </si>
  <si>
    <t>VIS_1341</t>
  </si>
  <si>
    <t>VIS_1342</t>
  </si>
  <si>
    <t>VIS_1343</t>
  </si>
  <si>
    <t>VIS_1344</t>
  </si>
  <si>
    <t>VIS_1345</t>
  </si>
  <si>
    <t>VIS_1346</t>
  </si>
  <si>
    <t>VIS_1347</t>
  </si>
  <si>
    <t>VIS_1348</t>
  </si>
  <si>
    <t>VIS_1349</t>
  </si>
  <si>
    <t>VIS_1350</t>
  </si>
  <si>
    <t>VIS_1351</t>
  </si>
  <si>
    <t>VIS_1352</t>
  </si>
  <si>
    <t>VIS_1353</t>
  </si>
  <si>
    <t>VIS_1354</t>
  </si>
  <si>
    <t>VIS_1355</t>
  </si>
  <si>
    <t>VIS_1356</t>
  </si>
  <si>
    <t>VIS_1357</t>
  </si>
  <si>
    <t>VIS_1358</t>
  </si>
  <si>
    <t>VIS_1359</t>
  </si>
  <si>
    <t>VIS_1360</t>
  </si>
  <si>
    <t>VIS_1361</t>
  </si>
  <si>
    <t>VIS_1362</t>
  </si>
  <si>
    <t>VIS_1363</t>
  </si>
  <si>
    <t>VIS_1364</t>
  </si>
  <si>
    <t>VIS_1365</t>
  </si>
  <si>
    <t>VIS_1366</t>
  </si>
  <si>
    <t>VIS_1367</t>
  </si>
  <si>
    <t>VIS_1368</t>
  </si>
  <si>
    <t>VIS_1369</t>
  </si>
  <si>
    <t>VIS_1370</t>
  </si>
  <si>
    <t>VIS_1371</t>
  </si>
  <si>
    <t>VIS_1372</t>
  </si>
  <si>
    <t>VIS_1373</t>
  </si>
  <si>
    <t>VIS_1374</t>
  </si>
  <si>
    <t>VIS_1375</t>
  </si>
  <si>
    <t>VIS_1376</t>
  </si>
  <si>
    <t>VIS_1377</t>
  </si>
  <si>
    <t>VIS_1378</t>
  </si>
  <si>
    <t>VIS_1379</t>
  </si>
  <si>
    <t>VIS_1380</t>
  </si>
  <si>
    <t>VIS_1381</t>
  </si>
  <si>
    <t>VIS_1382</t>
  </si>
  <si>
    <t>VIS_1383</t>
  </si>
  <si>
    <t>VIS_1384</t>
  </si>
  <si>
    <t>VIS_1385</t>
  </si>
  <si>
    <t>VIS_1386</t>
  </si>
  <si>
    <t>VIS_1387</t>
  </si>
  <si>
    <t>VIS_1388</t>
  </si>
  <si>
    <t>VIS_1389</t>
  </si>
  <si>
    <t>VIS_1390</t>
  </si>
  <si>
    <t>VIS_1391</t>
  </si>
  <si>
    <t>VIS_1392</t>
  </si>
  <si>
    <t>VIS_1393</t>
  </si>
  <si>
    <t>VIS_1394</t>
  </si>
  <si>
    <t>VIS_1395</t>
  </si>
  <si>
    <t>VIS_1396</t>
  </si>
  <si>
    <t>VIS_1397</t>
  </si>
  <si>
    <t>VIS_1398</t>
  </si>
  <si>
    <t>VIS_1399</t>
  </si>
  <si>
    <t>VIS_1400</t>
  </si>
  <si>
    <t>VIS_1401</t>
  </si>
  <si>
    <t>VIS_1402</t>
  </si>
  <si>
    <t>VIS_1403</t>
  </si>
  <si>
    <t>VIS_1404</t>
  </si>
  <si>
    <t>VIS_1405</t>
  </si>
  <si>
    <t>VIS_1406</t>
  </si>
  <si>
    <t>VIS_1407</t>
  </si>
  <si>
    <t>VIS_1408</t>
  </si>
  <si>
    <t>VIS_1409</t>
  </si>
  <si>
    <t>VIS_1410</t>
  </si>
  <si>
    <t>VIS_1411</t>
  </si>
  <si>
    <t>VIS_1412</t>
  </si>
  <si>
    <t>VIS_1413</t>
  </si>
  <si>
    <t>VIS_1414</t>
  </si>
  <si>
    <t>VIS_1415</t>
  </si>
  <si>
    <t>VIS_1416</t>
  </si>
  <si>
    <t>VIS_1417</t>
  </si>
  <si>
    <t>VIS_1418</t>
  </si>
  <si>
    <t>VIS_1419</t>
  </si>
  <si>
    <t>VIS_1420</t>
  </si>
  <si>
    <t>VIS_1421</t>
  </si>
  <si>
    <t>VIS_1422</t>
  </si>
  <si>
    <t>VIS_1423</t>
  </si>
  <si>
    <t>VIS_1424</t>
  </si>
  <si>
    <t>VIS_1425</t>
  </si>
  <si>
    <t>VIS_1426</t>
  </si>
  <si>
    <t>VIS_1427</t>
  </si>
  <si>
    <t>VIS_1428</t>
  </si>
  <si>
    <t>VIS_1429</t>
  </si>
  <si>
    <t>VIS_1430</t>
  </si>
  <si>
    <t>VIS_1431</t>
  </si>
  <si>
    <t>VIS_1432</t>
  </si>
  <si>
    <t>VIS_1433</t>
  </si>
  <si>
    <t>VIS_1434</t>
  </si>
  <si>
    <t>VIS_1435</t>
  </si>
  <si>
    <t>VIS_1436</t>
  </si>
  <si>
    <t>VIS_1437</t>
  </si>
  <si>
    <t>VIS_1438</t>
  </si>
  <si>
    <t>VIS_1439</t>
  </si>
  <si>
    <t>VIS_1440</t>
  </si>
  <si>
    <t>VIS_1441</t>
  </si>
  <si>
    <t>VIS_1442</t>
  </si>
  <si>
    <t>VIS_1443</t>
  </si>
  <si>
    <t>VIS_1444</t>
  </si>
  <si>
    <t>VIS_1445</t>
  </si>
  <si>
    <t>VIS_1446</t>
  </si>
  <si>
    <t>VIS_1447</t>
  </si>
  <si>
    <t>VIS_1448</t>
  </si>
  <si>
    <t>VIS_1449</t>
  </si>
  <si>
    <t>VIS_1450</t>
  </si>
  <si>
    <t>VIS_1451</t>
  </si>
  <si>
    <t>VIS_1452</t>
  </si>
  <si>
    <t>VIS_1453</t>
  </si>
  <si>
    <t>VIS_1454</t>
  </si>
  <si>
    <t>VIS_1455</t>
  </si>
  <si>
    <t>VIS_1456</t>
  </si>
  <si>
    <t>VIS_1457</t>
  </si>
  <si>
    <t>VIS_1458</t>
  </si>
  <si>
    <t>VIS_1459</t>
  </si>
  <si>
    <t>VIS_1460</t>
  </si>
  <si>
    <t>VIS_1461</t>
  </si>
  <si>
    <t>VIS_1462</t>
  </si>
  <si>
    <t>VIS_1463</t>
  </si>
  <si>
    <t>VIS_1464</t>
  </si>
  <si>
    <t>VIS_1465</t>
  </si>
  <si>
    <t>VIS_1466</t>
  </si>
  <si>
    <t>VIS_1467</t>
  </si>
  <si>
    <t>VIS_1468</t>
  </si>
  <si>
    <t>VIS_1469</t>
  </si>
  <si>
    <t>VIS_1470</t>
  </si>
  <si>
    <t>VIS_1471</t>
  </si>
  <si>
    <t>VIS_1472</t>
  </si>
  <si>
    <t>VIS_1473</t>
  </si>
  <si>
    <t>VIS_1474</t>
  </si>
  <si>
    <t>VIS_1475</t>
  </si>
  <si>
    <t>VIS_1476</t>
  </si>
  <si>
    <t>VIS_1477</t>
  </si>
  <si>
    <t>VIS_1478</t>
  </si>
  <si>
    <t>VIS_1479</t>
  </si>
  <si>
    <t>VIS_1480</t>
  </si>
  <si>
    <t>VIS_1481</t>
  </si>
  <si>
    <t>VIS_1482</t>
  </si>
  <si>
    <t>VIS_1483</t>
  </si>
  <si>
    <t>VIS_1484</t>
  </si>
  <si>
    <t>VIS_1485</t>
  </si>
  <si>
    <t>VIS_1486</t>
  </si>
  <si>
    <t>VIS_1487</t>
  </si>
  <si>
    <t>VIS_1488</t>
  </si>
  <si>
    <t>VIS_1489</t>
  </si>
  <si>
    <t>VIS_1490</t>
  </si>
  <si>
    <t>VIS_1491</t>
  </si>
  <si>
    <t>VIS_1492</t>
  </si>
  <si>
    <t>VIS_1493</t>
  </si>
  <si>
    <t>VIS_1494</t>
  </si>
  <si>
    <t>VIS_1495</t>
  </si>
  <si>
    <t>VIS_1496</t>
  </si>
  <si>
    <t>VIS_1497</t>
  </si>
  <si>
    <t>VIS_1498</t>
  </si>
  <si>
    <t>VIS_1499</t>
  </si>
  <si>
    <t>VIS_1500</t>
  </si>
  <si>
    <t>VIS_1501</t>
  </si>
  <si>
    <t>VIS_1502</t>
  </si>
  <si>
    <t>VIS_1503</t>
  </si>
  <si>
    <t>VIS_1504</t>
  </si>
  <si>
    <t>VIS_1505</t>
  </si>
  <si>
    <t>VIS_1506</t>
  </si>
  <si>
    <t>VIS_1507</t>
  </si>
  <si>
    <t>VIS_1508</t>
  </si>
  <si>
    <t>VIS_1509</t>
  </si>
  <si>
    <t>VIS_1510</t>
  </si>
  <si>
    <t>VIS_1511</t>
  </si>
  <si>
    <t>VIS_1512</t>
  </si>
  <si>
    <t>VIS_1513</t>
  </si>
  <si>
    <t>VIS_1514</t>
  </si>
  <si>
    <t>VIS_1515</t>
  </si>
  <si>
    <t>VIS_1516</t>
  </si>
  <si>
    <t>VIS_1517</t>
  </si>
  <si>
    <t>VIS_1518</t>
  </si>
  <si>
    <t>VIS_1519</t>
  </si>
  <si>
    <t>VIS_1520</t>
  </si>
  <si>
    <t>VIS_1521</t>
  </si>
  <si>
    <t>VIS_1522</t>
  </si>
  <si>
    <t>VIS_1523</t>
  </si>
  <si>
    <t>VIS_1524</t>
  </si>
  <si>
    <t>VIS_1525</t>
  </si>
  <si>
    <t>VIS_1526</t>
  </si>
  <si>
    <t>VIS_1527</t>
  </si>
  <si>
    <t>VIS_1528</t>
  </si>
  <si>
    <t>VIS_1529</t>
  </si>
  <si>
    <t>VIS_1530</t>
  </si>
  <si>
    <t>VIS_1531</t>
  </si>
  <si>
    <t>VIS_1532</t>
  </si>
  <si>
    <t>VIS_1533</t>
  </si>
  <si>
    <t>VIS_1534</t>
  </si>
  <si>
    <t>VIS_1535</t>
  </si>
  <si>
    <t>VIS_1536</t>
  </si>
  <si>
    <t>VIS_1537</t>
  </si>
  <si>
    <t>VIS_1538</t>
  </si>
  <si>
    <t>VIS_1539</t>
  </si>
  <si>
    <t>VIS_1540</t>
  </si>
  <si>
    <t>VIS_1541</t>
  </si>
  <si>
    <t>VIS_1542</t>
  </si>
  <si>
    <t>VIS_1543</t>
  </si>
  <si>
    <t>VIS_1544</t>
  </si>
  <si>
    <t>VIS_1545</t>
  </si>
  <si>
    <t>VIS_1546</t>
  </si>
  <si>
    <t>VIS_1547</t>
  </si>
  <si>
    <t>VIS_1548</t>
  </si>
  <si>
    <t>VIS_1549</t>
  </si>
  <si>
    <t>VIS_1550</t>
  </si>
  <si>
    <t>VIS_1551</t>
  </si>
  <si>
    <t>VIS_1552</t>
  </si>
  <si>
    <t>VIS_1553</t>
  </si>
  <si>
    <t>VIS_1554</t>
  </si>
  <si>
    <t>VIS_1555</t>
  </si>
  <si>
    <t>VIS_1556</t>
  </si>
  <si>
    <t>VIS_1557</t>
  </si>
  <si>
    <t>VIS_1558</t>
  </si>
  <si>
    <t>VIS_1559</t>
  </si>
  <si>
    <t>VIS_1560</t>
  </si>
  <si>
    <t>VIS_1561</t>
  </si>
  <si>
    <t>VIS_1562</t>
  </si>
  <si>
    <t>VIS_1563</t>
  </si>
  <si>
    <t>VIS_1564</t>
  </si>
  <si>
    <t>VIS_1565</t>
  </si>
  <si>
    <t>VIS_1566</t>
  </si>
  <si>
    <t>VIS_1567</t>
  </si>
  <si>
    <t>VIS_1568</t>
  </si>
  <si>
    <t>VIS_1569</t>
  </si>
  <si>
    <t>VIS_1570</t>
  </si>
  <si>
    <t>VIS_1571</t>
  </si>
  <si>
    <t>VIS_1572</t>
  </si>
  <si>
    <t>VIS_1573</t>
  </si>
  <si>
    <t>VIS_1574</t>
  </si>
  <si>
    <t>VIS_1575</t>
  </si>
  <si>
    <t>VIS_1576</t>
  </si>
  <si>
    <t>VIS_1577</t>
  </si>
  <si>
    <t>VIS_1578</t>
  </si>
  <si>
    <t>VIS_1579</t>
  </si>
  <si>
    <t>VIS_1580</t>
  </si>
  <si>
    <t>VIS_1581</t>
  </si>
  <si>
    <t>VIS_1582</t>
  </si>
  <si>
    <t>VIS_1583</t>
  </si>
  <si>
    <t>VIS_1584</t>
  </si>
  <si>
    <t>VIS_1585</t>
  </si>
  <si>
    <t>VIS_1586</t>
  </si>
  <si>
    <t>VIS_1587</t>
  </si>
  <si>
    <t>VIS_1588</t>
  </si>
  <si>
    <t>VIS_1589</t>
  </si>
  <si>
    <t>VIS_1590</t>
  </si>
  <si>
    <t>VIS_1591</t>
  </si>
  <si>
    <t>VIS_1592</t>
  </si>
  <si>
    <t>VIS_1593</t>
  </si>
  <si>
    <t>VIS_1594</t>
  </si>
  <si>
    <t>VIS_1595</t>
  </si>
  <si>
    <t>VIS_1596</t>
  </si>
  <si>
    <t>VIS_1597</t>
  </si>
  <si>
    <t>VIS_1598</t>
  </si>
  <si>
    <t>VIS_1599</t>
  </si>
  <si>
    <t>VIS_1600</t>
  </si>
  <si>
    <t>VIS_1601</t>
  </si>
  <si>
    <t>VIS_1602</t>
  </si>
  <si>
    <t>VIS_1603</t>
  </si>
  <si>
    <t>VIS_1604</t>
  </si>
  <si>
    <t>VIS_1605</t>
  </si>
  <si>
    <t>VIS_1606</t>
  </si>
  <si>
    <t>VIS_1607</t>
  </si>
  <si>
    <t>VIS_1608</t>
  </si>
  <si>
    <t>VIS_1609</t>
  </si>
  <si>
    <t>VIS_1610</t>
  </si>
  <si>
    <t>VIS_1611</t>
  </si>
  <si>
    <t>VIS_1612</t>
  </si>
  <si>
    <t>VIS_1613</t>
  </si>
  <si>
    <t>VIS_1614</t>
  </si>
  <si>
    <t>VIS_1615</t>
  </si>
  <si>
    <t>VIS_1616</t>
  </si>
  <si>
    <t>VIS_1617</t>
  </si>
  <si>
    <t>VIS_1618</t>
  </si>
  <si>
    <t>VIS_1619</t>
  </si>
  <si>
    <t>VIS_1620</t>
  </si>
  <si>
    <t>VIS_1621</t>
  </si>
  <si>
    <t>VIS_1622</t>
  </si>
  <si>
    <t>VIS_1623</t>
  </si>
  <si>
    <t>VIS_1624</t>
  </si>
  <si>
    <t>VIS_1625</t>
  </si>
  <si>
    <t>VIS_1626</t>
  </si>
  <si>
    <t>VIS_1627</t>
  </si>
  <si>
    <t>VIS_1628</t>
  </si>
  <si>
    <t>VIS_1629</t>
  </si>
  <si>
    <t>VIS_1630</t>
  </si>
  <si>
    <t>VIS_1631</t>
  </si>
  <si>
    <t>VIS_1632</t>
  </si>
  <si>
    <t>VIS_1633</t>
  </si>
  <si>
    <t>VIS_1634</t>
  </si>
  <si>
    <t>VIS_1635</t>
  </si>
  <si>
    <t>VIS_1636</t>
  </si>
  <si>
    <t>VIS_1637</t>
  </si>
  <si>
    <t>VIS_1638</t>
  </si>
  <si>
    <t>VIS_1639</t>
  </si>
  <si>
    <t>VIS_1640</t>
  </si>
  <si>
    <t>VIS_1641</t>
  </si>
  <si>
    <t>VIS_1642</t>
  </si>
  <si>
    <t>VIS_1643</t>
  </si>
  <si>
    <t>VIS_1644</t>
  </si>
  <si>
    <t>VIS_1645</t>
  </si>
  <si>
    <t>VIS_1646</t>
  </si>
  <si>
    <t>VIS_1647</t>
  </si>
  <si>
    <t>VIS_1648</t>
  </si>
  <si>
    <t>VIS_1649</t>
  </si>
  <si>
    <t>VIS_1650</t>
  </si>
  <si>
    <t>VIS_1651</t>
  </si>
  <si>
    <t>VIS_1652</t>
  </si>
  <si>
    <t>VIS_1653</t>
  </si>
  <si>
    <t>VIS_1654</t>
  </si>
  <si>
    <t>VIS_1655</t>
  </si>
  <si>
    <t>VIS_1656</t>
  </si>
  <si>
    <t>VIS_1657</t>
  </si>
  <si>
    <t>VIS_1658</t>
  </si>
  <si>
    <t>VIS_1659</t>
  </si>
  <si>
    <t>VIS_1660</t>
  </si>
  <si>
    <t>VIS_1661</t>
  </si>
  <si>
    <t>VIS_1662</t>
  </si>
  <si>
    <t>VIS_1663</t>
  </si>
  <si>
    <t>VIS_1664</t>
  </si>
  <si>
    <t>VIS_1665</t>
  </si>
  <si>
    <t>VIS_1666</t>
  </si>
  <si>
    <t>VIS_1667</t>
  </si>
  <si>
    <t>VIS_1668</t>
  </si>
  <si>
    <t>VIS_1669</t>
  </si>
  <si>
    <t>VIS_1670</t>
  </si>
  <si>
    <t>VIS_1671</t>
  </si>
  <si>
    <t>VIS_1672</t>
  </si>
  <si>
    <t>VIS_1673</t>
  </si>
  <si>
    <t>VIS_1674</t>
  </si>
  <si>
    <t>VIS_1675</t>
  </si>
  <si>
    <t>VIS_1676</t>
  </si>
  <si>
    <t>VIS_1677</t>
  </si>
  <si>
    <t>VIS_1678</t>
  </si>
  <si>
    <t>VIS_1679</t>
  </si>
  <si>
    <t>VIS_1680</t>
  </si>
  <si>
    <t>VIS_1681</t>
  </si>
  <si>
    <t>VIS_1682</t>
  </si>
  <si>
    <t>VIS_1683</t>
  </si>
  <si>
    <t>VIS_1684</t>
  </si>
  <si>
    <t>VIS_1685</t>
  </si>
  <si>
    <t>VIS_1686</t>
  </si>
  <si>
    <t>VIS_1687</t>
  </si>
  <si>
    <t>VIS_1688</t>
  </si>
  <si>
    <t>VIS_1689</t>
  </si>
  <si>
    <t>VIS_1690</t>
  </si>
  <si>
    <t>VIS_1691</t>
  </si>
  <si>
    <t>VIS_1692</t>
  </si>
  <si>
    <t>VIS_1693</t>
  </si>
  <si>
    <t>VIS_1694</t>
  </si>
  <si>
    <t>VIS_1695</t>
  </si>
  <si>
    <t>VIS_1696</t>
  </si>
  <si>
    <t>VIS_1697</t>
  </si>
  <si>
    <t>VIS_1698</t>
  </si>
  <si>
    <t>VIS_1699</t>
  </si>
  <si>
    <t>VIS_1700</t>
  </si>
  <si>
    <t>VIS_1701</t>
  </si>
  <si>
    <t>VIS_1702</t>
  </si>
  <si>
    <t>VIS_1703</t>
  </si>
  <si>
    <t>VIS_1704</t>
  </si>
  <si>
    <t>VIS_1705</t>
  </si>
  <si>
    <t>VIS_1706</t>
  </si>
  <si>
    <t>VIS_1707</t>
  </si>
  <si>
    <t>VIS_1708</t>
  </si>
  <si>
    <t>VIS_1709</t>
  </si>
  <si>
    <t>VIS_1710</t>
  </si>
  <si>
    <t>VIS_1711</t>
  </si>
  <si>
    <t>VIS_1712</t>
  </si>
  <si>
    <t>VIS_1713</t>
  </si>
  <si>
    <t>VIS_1714</t>
  </si>
  <si>
    <t>VIS_1715</t>
  </si>
  <si>
    <t>VIS_1716</t>
  </si>
  <si>
    <t>VIS_1717</t>
  </si>
  <si>
    <t>VIS_1718</t>
  </si>
  <si>
    <t>VIS_1719</t>
  </si>
  <si>
    <t>VIS_1720</t>
  </si>
  <si>
    <t>VIS_1721</t>
  </si>
  <si>
    <t>VIS_1722</t>
  </si>
  <si>
    <t>VIS_1723</t>
  </si>
  <si>
    <t>VIS_1724</t>
  </si>
  <si>
    <t>VIS_1725</t>
  </si>
  <si>
    <t>VIS_1726</t>
  </si>
  <si>
    <t>VIS_1727</t>
  </si>
  <si>
    <t>VIS_1728</t>
  </si>
  <si>
    <t>VIS_1729</t>
  </si>
  <si>
    <t>VIS_1730</t>
  </si>
  <si>
    <t>VIS_1731</t>
  </si>
  <si>
    <t>VIS_1732</t>
  </si>
  <si>
    <t>VIS_1733</t>
  </si>
  <si>
    <t>VIS_1734</t>
  </si>
  <si>
    <t>VIS_1735</t>
  </si>
  <si>
    <t>VIS_1736</t>
  </si>
  <si>
    <t>VIS_1737</t>
  </si>
  <si>
    <t>VIS_1738</t>
  </si>
  <si>
    <t>VIS_1739</t>
  </si>
  <si>
    <t>VIS_1740</t>
  </si>
  <si>
    <t>VIS_1741</t>
  </si>
  <si>
    <t>VIS_1742</t>
  </si>
  <si>
    <t>VIS_1743</t>
  </si>
  <si>
    <t>VIS_1744</t>
  </si>
  <si>
    <t>VIS_1745</t>
  </si>
  <si>
    <t>VIS_1746</t>
  </si>
  <si>
    <t>VIS_1747</t>
  </si>
  <si>
    <t>VIS_1748</t>
  </si>
  <si>
    <t>VIS_1749</t>
  </si>
  <si>
    <t>VIS_1750</t>
  </si>
  <si>
    <t>VIS_1751</t>
  </si>
  <si>
    <t>VIS_1752</t>
  </si>
  <si>
    <t>VIS_1753</t>
  </si>
  <si>
    <t>VIS_1754</t>
  </si>
  <si>
    <t>VIS_1755</t>
  </si>
  <si>
    <t>VIS_1756</t>
  </si>
  <si>
    <t>VIS_1757</t>
  </si>
  <si>
    <t>VIS_1758</t>
  </si>
  <si>
    <t>VIS_1759</t>
  </si>
  <si>
    <t>VIS_1760</t>
  </si>
  <si>
    <t>VIS_1761</t>
  </si>
  <si>
    <t>VIS_1762</t>
  </si>
  <si>
    <t>VIS_1763</t>
  </si>
  <si>
    <t>VIS_1764</t>
  </si>
  <si>
    <t>VIS_1765</t>
  </si>
  <si>
    <t>VIS_1766</t>
  </si>
  <si>
    <t>VIS_1767</t>
  </si>
  <si>
    <t>VIS_1768</t>
  </si>
  <si>
    <t>VIS_1769</t>
  </si>
  <si>
    <t>VIS_1770</t>
  </si>
  <si>
    <t>VIS_1771</t>
  </si>
  <si>
    <t>VIS_1772</t>
  </si>
  <si>
    <t>VIS_1773</t>
  </si>
  <si>
    <t>VIS_1774</t>
  </si>
  <si>
    <t>VIS_1775</t>
  </si>
  <si>
    <t>VIS_1776</t>
  </si>
  <si>
    <t>VIS_1777</t>
  </si>
  <si>
    <t>VIS_1778</t>
  </si>
  <si>
    <t>VIS_1779</t>
  </si>
  <si>
    <t>VIS_1780</t>
  </si>
  <si>
    <t>VIS_1781</t>
  </si>
  <si>
    <t>VIS_1782</t>
  </si>
  <si>
    <t>VIS_1783</t>
  </si>
  <si>
    <t>VIS_1784</t>
  </si>
  <si>
    <t>VIS_1785</t>
  </si>
  <si>
    <t>VIS_1786</t>
  </si>
  <si>
    <t>VIS_1787</t>
  </si>
  <si>
    <t>VIS_1788</t>
  </si>
  <si>
    <t>VIS_1789</t>
  </si>
  <si>
    <t>VIS_1790</t>
  </si>
  <si>
    <t>VIS_1791</t>
  </si>
  <si>
    <t>VIS_1792</t>
  </si>
  <si>
    <t>VIS_1793</t>
  </si>
  <si>
    <t>VIS_1794</t>
  </si>
  <si>
    <t>VIS_1795</t>
  </si>
  <si>
    <t>VIS_1796</t>
  </si>
  <si>
    <t>VIS_1797</t>
  </si>
  <si>
    <t>VIS_1798</t>
  </si>
  <si>
    <t>VIS_1799</t>
  </si>
  <si>
    <t>VIS_1800</t>
  </si>
  <si>
    <t>VIS_1801</t>
  </si>
  <si>
    <t>VIS_1802</t>
  </si>
  <si>
    <t>VIS_1803</t>
  </si>
  <si>
    <t>VIS_1804</t>
  </si>
  <si>
    <t>VIS_1805</t>
  </si>
  <si>
    <t>VIS_1806</t>
  </si>
  <si>
    <t>VIS_1807</t>
  </si>
  <si>
    <t>VIS_1808</t>
  </si>
  <si>
    <t>VIS_1809</t>
  </si>
  <si>
    <t>VIS_1810</t>
  </si>
  <si>
    <t>VIS_1811</t>
  </si>
  <si>
    <t>VIS_1812</t>
  </si>
  <si>
    <t>VIS_1813</t>
  </si>
  <si>
    <t>VIS_1814</t>
  </si>
  <si>
    <t>VIS_1815</t>
  </si>
  <si>
    <t>VIS_1816</t>
  </si>
  <si>
    <t>VIS_1817</t>
  </si>
  <si>
    <t>VIS_1818</t>
  </si>
  <si>
    <t>VIS_1819</t>
  </si>
  <si>
    <t>VIS_1820</t>
  </si>
  <si>
    <t>VIS_1821</t>
  </si>
  <si>
    <t>VIS_1822</t>
  </si>
  <si>
    <t>VIS_1823</t>
  </si>
  <si>
    <t>VIS_1824</t>
  </si>
  <si>
    <t>VIS_1825</t>
  </si>
  <si>
    <t>VIS_1826</t>
  </si>
  <si>
    <t>VIS_1827</t>
  </si>
  <si>
    <t>VIS_1828</t>
  </si>
  <si>
    <t>VIS_1829</t>
  </si>
  <si>
    <t>VIS_1830</t>
  </si>
  <si>
    <t>VIS_1831</t>
  </si>
  <si>
    <t>VIS_1832</t>
  </si>
  <si>
    <t>VIS_1833</t>
  </si>
  <si>
    <t>VIS_1834</t>
  </si>
  <si>
    <t>VIS_1835</t>
  </si>
  <si>
    <t>VIS_1836</t>
  </si>
  <si>
    <t>VIS_1837</t>
  </si>
  <si>
    <t>VIS_1838</t>
  </si>
  <si>
    <t>VIS_1839</t>
  </si>
  <si>
    <t>VIS_1840</t>
  </si>
  <si>
    <t>VIS_1841</t>
  </si>
  <si>
    <t>VIS_1842</t>
  </si>
  <si>
    <t>VIS_1843</t>
  </si>
  <si>
    <t>VIS_1844</t>
  </si>
  <si>
    <t>VIS_1845</t>
  </si>
  <si>
    <t>VIS_1846</t>
  </si>
  <si>
    <t>VIS_1847</t>
  </si>
  <si>
    <t>VIS_1848</t>
  </si>
  <si>
    <t>VIS_1849</t>
  </si>
  <si>
    <t>VIS_1850</t>
  </si>
  <si>
    <t>VIS_1851</t>
  </si>
  <si>
    <t>VIS_1852</t>
  </si>
  <si>
    <t>VIS_1853</t>
  </si>
  <si>
    <t>VIS_1854</t>
  </si>
  <si>
    <t>VIS_1855</t>
  </si>
  <si>
    <t>VIS_1856</t>
  </si>
  <si>
    <t>VIS_1857</t>
  </si>
  <si>
    <t>VIS_1858</t>
  </si>
  <si>
    <t>VIS_1859</t>
  </si>
  <si>
    <t>VIS_1860</t>
  </si>
  <si>
    <t>VIS_1861</t>
  </si>
  <si>
    <t>VIS_1862</t>
  </si>
  <si>
    <t>VIS_1863</t>
  </si>
  <si>
    <t>VIS_1864</t>
  </si>
  <si>
    <t>VIS_1865</t>
  </si>
  <si>
    <t>VIS_1866</t>
  </si>
  <si>
    <t>VIS_1867</t>
  </si>
  <si>
    <t>VIS_1868</t>
  </si>
  <si>
    <t>VIS_1869</t>
  </si>
  <si>
    <t>VIS_1870</t>
  </si>
  <si>
    <t>VIS_1871</t>
  </si>
  <si>
    <t>VIS_1872</t>
  </si>
  <si>
    <t>VIS_1873</t>
  </si>
  <si>
    <t>VIS_1874</t>
  </si>
  <si>
    <t>VIS_1875</t>
  </si>
  <si>
    <t>VIS_1876</t>
  </si>
  <si>
    <t>VIS_1877</t>
  </si>
  <si>
    <t>VIS_1878</t>
  </si>
  <si>
    <t>VIS_1879</t>
  </si>
  <si>
    <t>VIS_1880</t>
  </si>
  <si>
    <t>VIS_1881</t>
  </si>
  <si>
    <t>VIS_1882</t>
  </si>
  <si>
    <t>VIS_1883</t>
  </si>
  <si>
    <t>VIS_1884</t>
  </si>
  <si>
    <t>VIS_1885</t>
  </si>
  <si>
    <t>VIS_1886</t>
  </si>
  <si>
    <t>VIS_1887</t>
  </si>
  <si>
    <t>VIS_1888</t>
  </si>
  <si>
    <t>VIS_1889</t>
  </si>
  <si>
    <t>VIS_1890</t>
  </si>
  <si>
    <t>VIS_1891</t>
  </si>
  <si>
    <t>VIS_1892</t>
  </si>
  <si>
    <t>VIS_1893</t>
  </si>
  <si>
    <t>VIS_1894</t>
  </si>
  <si>
    <t>VIS_1895</t>
  </si>
  <si>
    <t>VIS_1896</t>
  </si>
  <si>
    <t>VIS_1897</t>
  </si>
  <si>
    <t>VIS_1898</t>
  </si>
  <si>
    <t>VIS_1899</t>
  </si>
  <si>
    <t>VIS_1900</t>
  </si>
  <si>
    <t>VIS_1901</t>
  </si>
  <si>
    <t>VIS_1902</t>
  </si>
  <si>
    <t>VIS_1903</t>
  </si>
  <si>
    <t>VIS_1904</t>
  </si>
  <si>
    <t>VIS_1905</t>
  </si>
  <si>
    <t>VIS_1906</t>
  </si>
  <si>
    <t>VIS_1907</t>
  </si>
  <si>
    <t>VIS_1908</t>
  </si>
  <si>
    <t>VIS_1909</t>
  </si>
  <si>
    <t>VIS_1910</t>
  </si>
  <si>
    <t>VIS_1911</t>
  </si>
  <si>
    <t>VIS_1912</t>
  </si>
  <si>
    <t>VIS_1913</t>
  </si>
  <si>
    <t>VIS_1914</t>
  </si>
  <si>
    <t>VIS_1915</t>
  </si>
  <si>
    <t>VIS_1916</t>
  </si>
  <si>
    <t>VIS_1917</t>
  </si>
  <si>
    <t>VIS_1918</t>
  </si>
  <si>
    <t>VIS_1919</t>
  </si>
  <si>
    <t>VIS_1920</t>
  </si>
  <si>
    <t>VIS_1921</t>
  </si>
  <si>
    <t>VIS_1922</t>
  </si>
  <si>
    <t>VIS_1923</t>
  </si>
  <si>
    <t>VIS_1924</t>
  </si>
  <si>
    <t>VIS_1925</t>
  </si>
  <si>
    <t>VIS_1926</t>
  </si>
  <si>
    <t>VIS_1927</t>
  </si>
  <si>
    <t>VIS_1928</t>
  </si>
  <si>
    <t>VIS_1929</t>
  </si>
  <si>
    <t>VIS_1930</t>
  </si>
  <si>
    <t>VIS_1931</t>
  </si>
  <si>
    <t>VIS_1932</t>
  </si>
  <si>
    <t>VIS_1933</t>
  </si>
  <si>
    <t>VIS_1934</t>
  </si>
  <si>
    <t>VIS_1935</t>
  </si>
  <si>
    <t>VIS_1936</t>
  </si>
  <si>
    <t>VIS_1937</t>
  </si>
  <si>
    <t>VIS_1938</t>
  </si>
  <si>
    <t>VIS_1939</t>
  </si>
  <si>
    <t>VIS_1940</t>
  </si>
  <si>
    <t>VIS_1941</t>
  </si>
  <si>
    <t>VIS_1942</t>
  </si>
  <si>
    <t>VIS_1943</t>
  </si>
  <si>
    <t>VIS_1944</t>
  </si>
  <si>
    <t>VIS_1945</t>
  </si>
  <si>
    <t>VIS_1946</t>
  </si>
  <si>
    <t>VIS_1947</t>
  </si>
  <si>
    <t>VIS_1948</t>
  </si>
  <si>
    <t>VIS_1949</t>
  </si>
  <si>
    <t>VIS_1950</t>
  </si>
  <si>
    <t>VIS_1951</t>
  </si>
  <si>
    <t>VIS_1952</t>
  </si>
  <si>
    <t>VIS_1953</t>
  </si>
  <si>
    <t>VIS_1954</t>
  </si>
  <si>
    <t>VIS_1955</t>
  </si>
  <si>
    <t>VIS_1956</t>
  </si>
  <si>
    <t>VIS_1957</t>
  </si>
  <si>
    <t>VIS_1958</t>
  </si>
  <si>
    <t>VIS_1959</t>
  </si>
  <si>
    <t>VIS_1960</t>
  </si>
  <si>
    <t>VIS_1961</t>
  </si>
  <si>
    <t>VIS_1962</t>
  </si>
  <si>
    <t>VIS_1963</t>
  </si>
  <si>
    <t>VIS_1964</t>
  </si>
  <si>
    <t>VIS_1965</t>
  </si>
  <si>
    <t>VIS_1966</t>
  </si>
  <si>
    <t>VIS_1967</t>
  </si>
  <si>
    <t>VIS_1968</t>
  </si>
  <si>
    <t>VIS_1969</t>
  </si>
  <si>
    <t>VIS_1970</t>
  </si>
  <si>
    <t>VIS_1971</t>
  </si>
  <si>
    <t>VIS_1972</t>
  </si>
  <si>
    <t>VIS_1973</t>
  </si>
  <si>
    <t>VIS_1974</t>
  </si>
  <si>
    <t>VIS_1975</t>
  </si>
  <si>
    <t>VIS_1976</t>
  </si>
  <si>
    <t>VIS_1977</t>
  </si>
  <si>
    <t>VIS_1978</t>
  </si>
  <si>
    <t>VIS_1979</t>
  </si>
  <si>
    <t>VIS_1980</t>
  </si>
  <si>
    <t>VIS_1981</t>
  </si>
  <si>
    <t>VIS_1982</t>
  </si>
  <si>
    <t>VIS_1983</t>
  </si>
  <si>
    <t>VIS_1984</t>
  </si>
  <si>
    <t>VIS_1985</t>
  </si>
  <si>
    <t>VIS_1986</t>
  </si>
  <si>
    <t>VIS_1987</t>
  </si>
  <si>
    <t>VIS_1988</t>
  </si>
  <si>
    <t>VIS_1989</t>
  </si>
  <si>
    <t>VIS_1990</t>
  </si>
  <si>
    <t>VIS_1991</t>
  </si>
  <si>
    <t>VIS_1992</t>
  </si>
  <si>
    <t>VIS_1993</t>
  </si>
  <si>
    <t>VIS_1994</t>
  </si>
  <si>
    <t>VIS_1995</t>
  </si>
  <si>
    <t>VIS_1996</t>
  </si>
  <si>
    <t>VIS_1997</t>
  </si>
  <si>
    <t>VIS_1998</t>
  </si>
  <si>
    <t>VIS_1999</t>
  </si>
  <si>
    <t>VIS_2000</t>
  </si>
  <si>
    <t>VIS_2091</t>
  </si>
  <si>
    <t>VIS_2092</t>
  </si>
  <si>
    <t>VIS_2093</t>
  </si>
  <si>
    <t>VIS_2094</t>
  </si>
  <si>
    <t>VIS_2095</t>
  </si>
  <si>
    <t>VIS_2096</t>
  </si>
  <si>
    <t>VIS_2097</t>
  </si>
  <si>
    <t>VIS_2098</t>
  </si>
  <si>
    <t>VIS_2099</t>
  </si>
  <si>
    <t>VIS_2100</t>
  </si>
  <si>
    <t>VIS_2101</t>
  </si>
  <si>
    <t>VIS_2102</t>
  </si>
  <si>
    <t>VIS_2103</t>
  </si>
  <si>
    <t>VIS_2104</t>
  </si>
  <si>
    <t>VIS_2105</t>
  </si>
  <si>
    <t>VIS_2106</t>
  </si>
  <si>
    <t>VIS_2107</t>
  </si>
  <si>
    <t>VIS_2108</t>
  </si>
  <si>
    <t>VIS_2109</t>
  </si>
  <si>
    <t>VIS_2110</t>
  </si>
  <si>
    <t>VIS_2111</t>
  </si>
  <si>
    <t>VIS_2112</t>
  </si>
  <si>
    <t>VIS_2113</t>
  </si>
  <si>
    <t>VIS_2114</t>
  </si>
  <si>
    <t>VIS_2115</t>
  </si>
  <si>
    <t>VIS_2116</t>
  </si>
  <si>
    <t>VIS_2117</t>
  </si>
  <si>
    <t>VIS_2118</t>
  </si>
  <si>
    <t>VIS_2119</t>
  </si>
  <si>
    <t>VIS_2120</t>
  </si>
  <si>
    <t>VIS_2121</t>
  </si>
  <si>
    <t>VIS_2122</t>
  </si>
  <si>
    <t>VIS_2123</t>
  </si>
  <si>
    <t>VIS_2124</t>
  </si>
  <si>
    <t>VIS_2125</t>
  </si>
  <si>
    <t>VIS_2126</t>
  </si>
  <si>
    <t>VIS_2127</t>
  </si>
  <si>
    <t>VIS_2128</t>
  </si>
  <si>
    <t>VIS_2129</t>
  </si>
  <si>
    <t>VIS_2130</t>
  </si>
  <si>
    <t>VIS_2131</t>
  </si>
  <si>
    <t>VIS_2132</t>
  </si>
  <si>
    <t>VIS_2133</t>
  </si>
  <si>
    <t>VIS_2134</t>
  </si>
  <si>
    <t>VIS_2135</t>
  </si>
  <si>
    <t>VIS_2136</t>
  </si>
  <si>
    <t>VIS_2137</t>
  </si>
  <si>
    <t>VIS_2138</t>
  </si>
  <si>
    <t>VIS_2139</t>
  </si>
  <si>
    <t>VIS_2140</t>
  </si>
  <si>
    <t>VIS_2141</t>
  </si>
  <si>
    <t>VIS_2142</t>
  </si>
  <si>
    <t>VIS_2143</t>
  </si>
  <si>
    <t>VIS_2144</t>
  </si>
  <si>
    <t>VIS_2145</t>
  </si>
  <si>
    <t>VIS_2146</t>
  </si>
  <si>
    <t>VIS_2147</t>
  </si>
  <si>
    <t>VIS_2148</t>
  </si>
  <si>
    <t>VIS_2149</t>
  </si>
  <si>
    <t>VIS_2150</t>
  </si>
  <si>
    <t>VIS_2151</t>
  </si>
  <si>
    <t>VIS_2152</t>
  </si>
  <si>
    <t>VIS_2153</t>
  </si>
  <si>
    <t>VIS_2154</t>
  </si>
  <si>
    <t>VIS_2155</t>
  </si>
  <si>
    <t>VIS_2156</t>
  </si>
  <si>
    <t>VIS_2157</t>
  </si>
  <si>
    <t>VIS_2158</t>
  </si>
  <si>
    <t>VIS_2159</t>
  </si>
  <si>
    <t>VIS_2160</t>
  </si>
  <si>
    <t>VIS_2161</t>
  </si>
  <si>
    <t>VIS_2162</t>
  </si>
  <si>
    <t>VIS_2163</t>
  </si>
  <si>
    <t>VIS_2164</t>
  </si>
  <si>
    <t>VIS_2165</t>
  </si>
  <si>
    <t>VIS_2166</t>
  </si>
  <si>
    <t>VIS_2167</t>
  </si>
  <si>
    <t>VIS_2168</t>
  </si>
  <si>
    <t>VIS_2169</t>
  </si>
  <si>
    <t>VIS_2170</t>
  </si>
  <si>
    <t>VIS_2171</t>
  </si>
  <si>
    <t>VIS_2172</t>
  </si>
  <si>
    <t>VIS_2173</t>
  </si>
  <si>
    <t>VIS_2174</t>
  </si>
  <si>
    <t>VIS_2175</t>
  </si>
  <si>
    <t>VIS_2176</t>
  </si>
  <si>
    <t>VIS_2177</t>
  </si>
  <si>
    <t>VIS_2178</t>
  </si>
  <si>
    <t>VIS_2179</t>
  </si>
  <si>
    <t>VIS_2180</t>
  </si>
  <si>
    <t>VIS_2181</t>
  </si>
  <si>
    <t>VIS_2182</t>
  </si>
  <si>
    <t>VIS_2183</t>
  </si>
  <si>
    <t>VIS_2184</t>
  </si>
  <si>
    <t>VIS_2185</t>
  </si>
  <si>
    <t>VIS_2186</t>
  </si>
  <si>
    <t>VIS_2187</t>
  </si>
  <si>
    <t>VIS_2188</t>
  </si>
  <si>
    <t>VIS_2189</t>
  </si>
  <si>
    <t>VIS_2190</t>
  </si>
  <si>
    <t>VIS_2191</t>
  </si>
  <si>
    <t>VIS_2192</t>
  </si>
  <si>
    <t>VIS_2193</t>
  </si>
  <si>
    <t>VIS_2194</t>
  </si>
  <si>
    <t>VIS_2195</t>
  </si>
  <si>
    <t>VIS_2196</t>
  </si>
  <si>
    <t>VIS_2197</t>
  </si>
  <si>
    <t>VIS_2198</t>
  </si>
  <si>
    <t>VIS_2199</t>
  </si>
  <si>
    <t>VIS_2200</t>
  </si>
  <si>
    <t>VIS_2201</t>
  </si>
  <si>
    <t>VIS_2202</t>
  </si>
  <si>
    <t>VIS_2203</t>
  </si>
  <si>
    <t>VIS_2204</t>
  </si>
  <si>
    <t>VIS_2205</t>
  </si>
  <si>
    <t>VIS_2206</t>
  </si>
  <si>
    <t>VIS_2207</t>
  </si>
  <si>
    <t>VIS_2208</t>
  </si>
  <si>
    <t>VIS_2209</t>
  </si>
  <si>
    <t>VIS_2210</t>
  </si>
  <si>
    <t>VIS_2211</t>
  </si>
  <si>
    <t>VIS_2212</t>
  </si>
  <si>
    <t>VIS_2213</t>
  </si>
  <si>
    <t>VIS_2214</t>
  </si>
  <si>
    <t>VIS_2215</t>
  </si>
  <si>
    <t>VIS_2216</t>
  </si>
  <si>
    <t>VIS_2217</t>
  </si>
  <si>
    <t>VIS_2218</t>
  </si>
  <si>
    <t>VIS_2219</t>
  </si>
  <si>
    <t>VIS_2220</t>
  </si>
  <si>
    <t>VIS_2221</t>
  </si>
  <si>
    <t>VIS_2222</t>
  </si>
  <si>
    <t>VIS_2223</t>
  </si>
  <si>
    <t>VIS_2224</t>
  </si>
  <si>
    <t>VIS_2225</t>
  </si>
  <si>
    <t>VIS_2226</t>
  </si>
  <si>
    <t>VIS_2227</t>
  </si>
  <si>
    <t>VIS_2228</t>
  </si>
  <si>
    <t>VIS_2229</t>
  </si>
  <si>
    <t>VIS_2230</t>
  </si>
  <si>
    <t>VIS_2231</t>
  </si>
  <si>
    <t>VIS_2232</t>
  </si>
  <si>
    <t>VIS_2233</t>
  </si>
  <si>
    <t>VIS_2234</t>
  </si>
  <si>
    <t>VIS_2235</t>
  </si>
  <si>
    <t>VIS_2236</t>
  </si>
  <si>
    <t>VIS_2237</t>
  </si>
  <si>
    <t>VIS_2238</t>
  </si>
  <si>
    <t>VIS_2239</t>
  </si>
  <si>
    <t>VIS_2240</t>
  </si>
  <si>
    <t>VIS_2241</t>
  </si>
  <si>
    <t>VIS_2242</t>
  </si>
  <si>
    <t>VIS_2243</t>
  </si>
  <si>
    <t>VIS_2244</t>
  </si>
  <si>
    <t>VIS_2245</t>
  </si>
  <si>
    <t>VIS_2246</t>
  </si>
  <si>
    <t>VIS_2247</t>
  </si>
  <si>
    <t>VIS_2248</t>
  </si>
  <si>
    <t>VIS_2249</t>
  </si>
  <si>
    <t>VIS_2250</t>
  </si>
  <si>
    <t>VIS_2251</t>
  </si>
  <si>
    <t>VIS_2252</t>
  </si>
  <si>
    <t>VIS_2253</t>
  </si>
  <si>
    <t>VIS_2254</t>
  </si>
  <si>
    <t>VIS_2255</t>
  </si>
  <si>
    <t>VIS_2256</t>
  </si>
  <si>
    <t>VIS_2257</t>
  </si>
  <si>
    <t>VIS_2258</t>
  </si>
  <si>
    <t>VIS_2259</t>
  </si>
  <si>
    <t>VIS_2260</t>
  </si>
  <si>
    <t>VIS_2261</t>
  </si>
  <si>
    <t>VIS_2262</t>
  </si>
  <si>
    <t>VIS_2263</t>
  </si>
  <si>
    <t>VIS_2264</t>
  </si>
  <si>
    <t>VIS_2265</t>
  </si>
  <si>
    <t>VIS_2266</t>
  </si>
  <si>
    <t>VIS_2267</t>
  </si>
  <si>
    <t>VIS_2268</t>
  </si>
  <si>
    <t>VIS_2269</t>
  </si>
  <si>
    <t>VIS_2270</t>
  </si>
  <si>
    <t>VIS_2271</t>
  </si>
  <si>
    <t>VIS_2272</t>
  </si>
  <si>
    <t>VIS_2273</t>
  </si>
  <si>
    <t>VIS_2274</t>
  </si>
  <si>
    <t>VIS_2275</t>
  </si>
  <si>
    <t>VIS_2276</t>
  </si>
  <si>
    <t>VIS_2277</t>
  </si>
  <si>
    <t>VIS_2278</t>
  </si>
  <si>
    <t>VIS_2279</t>
  </si>
  <si>
    <t>VIS_2280</t>
  </si>
  <si>
    <t>VIS_2281</t>
  </si>
  <si>
    <t>VIS_2282</t>
  </si>
  <si>
    <t>VIS_2283</t>
  </si>
  <si>
    <t>VIS_2284</t>
  </si>
  <si>
    <t>VIS_2285</t>
  </si>
  <si>
    <t>VIS_2286</t>
  </si>
  <si>
    <t>VIS_2287</t>
  </si>
  <si>
    <t>VIS_2288</t>
  </si>
  <si>
    <t>VIS_2289</t>
  </si>
  <si>
    <t>VIS_2290</t>
  </si>
  <si>
    <t>VIS_2291</t>
  </si>
  <si>
    <t>VIS_2292</t>
  </si>
  <si>
    <t>VIS_2293</t>
  </si>
  <si>
    <t>VIS_2294</t>
  </si>
  <si>
    <t>VIS_2295</t>
  </si>
  <si>
    <t>VIS_2296</t>
  </si>
  <si>
    <t>VIS_2297</t>
  </si>
  <si>
    <t>VIS_2298</t>
  </si>
  <si>
    <t>VIS_2299</t>
  </si>
  <si>
    <t>VIS_2300</t>
  </si>
  <si>
    <t>VIS_2301</t>
  </si>
  <si>
    <t>VIS_2302</t>
  </si>
  <si>
    <t>VIS_2303</t>
  </si>
  <si>
    <t>VIS_2304</t>
  </si>
  <si>
    <t>VIS_2305</t>
  </si>
  <si>
    <t>VIS_2306</t>
  </si>
  <si>
    <t>VIS_2307</t>
  </si>
  <si>
    <t>VIS_2308</t>
  </si>
  <si>
    <t>VIS_2309</t>
  </si>
  <si>
    <t>VIS_2310</t>
  </si>
  <si>
    <t>VIS_2311</t>
  </si>
  <si>
    <t>VIS_2312</t>
  </si>
  <si>
    <t>VIS_2313</t>
  </si>
  <si>
    <t>VIS_2314</t>
  </si>
  <si>
    <t>VIS_2315</t>
  </si>
  <si>
    <t>VIS_2316</t>
  </si>
  <si>
    <t>VIS_2317</t>
  </si>
  <si>
    <t>VIS_2318</t>
  </si>
  <si>
    <t>VIS_2319</t>
  </si>
  <si>
    <t>VIS_2320</t>
  </si>
  <si>
    <t>VIS_2321</t>
  </si>
  <si>
    <t>VIS_2322</t>
  </si>
  <si>
    <t>VIS_2323</t>
  </si>
  <si>
    <t>VIS_2324</t>
  </si>
  <si>
    <t>VIS_2325</t>
  </si>
  <si>
    <t>VIS_2326</t>
  </si>
  <si>
    <t>VIS_2327</t>
  </si>
  <si>
    <t>VIS_2328</t>
  </si>
  <si>
    <t>VIS_2329</t>
  </si>
  <si>
    <t>VIS_2330</t>
  </si>
  <si>
    <t>VIS_2331</t>
  </si>
  <si>
    <t>VIS_2332</t>
  </si>
  <si>
    <t>VIS_2333</t>
  </si>
  <si>
    <t>VIS_2334</t>
  </si>
  <si>
    <t>VIS_2335</t>
  </si>
  <si>
    <t>VIS_2336</t>
  </si>
  <si>
    <t>VIS_2337</t>
  </si>
  <si>
    <t>VIS_2338</t>
  </si>
  <si>
    <t>VIS_2339</t>
  </si>
  <si>
    <t>VIS_2340</t>
  </si>
  <si>
    <t>VIS_2341</t>
  </si>
  <si>
    <t>VIS_2342</t>
  </si>
  <si>
    <t>VIS_2343</t>
  </si>
  <si>
    <t>VIS_2344</t>
  </si>
  <si>
    <t>VIS_2345</t>
  </si>
  <si>
    <t>VIS_2346</t>
  </si>
  <si>
    <t>VIS_2347</t>
  </si>
  <si>
    <t>VIS_2348</t>
  </si>
  <si>
    <t>VIS_2349</t>
  </si>
  <si>
    <t>VIS_2350</t>
  </si>
  <si>
    <t>VIS_2351</t>
  </si>
  <si>
    <t>VIS_2352</t>
  </si>
  <si>
    <t>VIS_2353</t>
  </si>
  <si>
    <t>VIS_2354</t>
  </si>
  <si>
    <t>VIS_2355</t>
  </si>
  <si>
    <t>VIS_2356</t>
  </si>
  <si>
    <t>VIS_2357</t>
  </si>
  <si>
    <t>VIS_2358</t>
  </si>
  <si>
    <t>VIS_2359</t>
  </si>
  <si>
    <t>VIS_2360</t>
  </si>
  <si>
    <t>VIS_2361</t>
  </si>
  <si>
    <t>VIS_2362</t>
  </si>
  <si>
    <t>VIS_2363</t>
  </si>
  <si>
    <t>VIS_2364</t>
  </si>
  <si>
    <t>VIS_2365</t>
  </si>
  <si>
    <t>VIS_2366</t>
  </si>
  <si>
    <t>VIS_2367</t>
  </si>
  <si>
    <t>VIS_2368</t>
  </si>
  <si>
    <t>VIS_2369</t>
  </si>
  <si>
    <t>VIS_2370</t>
  </si>
  <si>
    <t>VIS_2371</t>
  </si>
  <si>
    <t>VIS_2372</t>
  </si>
  <si>
    <t>VIS_2373</t>
  </si>
  <si>
    <t>VIS_2374</t>
  </si>
  <si>
    <t>VIS_2375</t>
  </si>
  <si>
    <t>VIS_2376</t>
  </si>
  <si>
    <t>VIS_2377</t>
  </si>
  <si>
    <t>VIS_2378</t>
  </si>
  <si>
    <t>VIS_2379</t>
  </si>
  <si>
    <t>VIS_2380</t>
  </si>
  <si>
    <t>VIS_2381</t>
  </si>
  <si>
    <t>VIS_2382</t>
  </si>
  <si>
    <t>VIS_2383</t>
  </si>
  <si>
    <t>VIS_2384</t>
  </si>
  <si>
    <t>VIS_2385</t>
  </si>
  <si>
    <t>VIS_2386</t>
  </si>
  <si>
    <t>VIS_2387</t>
  </si>
  <si>
    <t>VIS_2388</t>
  </si>
  <si>
    <t>VIS_2389</t>
  </si>
  <si>
    <t>VIS_2390</t>
  </si>
  <si>
    <t>VIS_2391</t>
  </si>
  <si>
    <t>VIS_2392</t>
  </si>
  <si>
    <t>VIS_2393</t>
  </si>
  <si>
    <t>VIS_2394</t>
  </si>
  <si>
    <t>VIS_2395</t>
  </si>
  <si>
    <t>VIS_2396</t>
  </si>
  <si>
    <t>VIS_2397</t>
  </si>
  <si>
    <t>VIS_2398</t>
  </si>
  <si>
    <t>VIS_2399</t>
  </si>
  <si>
    <t>VIS_2400</t>
  </si>
  <si>
    <t>VIS_2401</t>
  </si>
  <si>
    <t>VIS_2402</t>
  </si>
  <si>
    <t>VIS_2403</t>
  </si>
  <si>
    <t>VIS_2404</t>
  </si>
  <si>
    <t>VIS_2405</t>
  </si>
  <si>
    <t>VIS_2406</t>
  </si>
  <si>
    <t>VIS_2407</t>
  </si>
  <si>
    <t>VIS_2408</t>
  </si>
  <si>
    <t>VIS_2409</t>
  </si>
  <si>
    <t>VIS_2410</t>
  </si>
  <si>
    <t>VIS_2411</t>
  </si>
  <si>
    <t>VIS_2412</t>
  </si>
  <si>
    <t>VIS_2413</t>
  </si>
  <si>
    <t>VIS_2414</t>
  </si>
  <si>
    <t>VIS_2415</t>
  </si>
  <si>
    <t>VIS_2416</t>
  </si>
  <si>
    <t>VIS_2417</t>
  </si>
  <si>
    <t>VIS_2418</t>
  </si>
  <si>
    <t>VIS_2419</t>
  </si>
  <si>
    <t>VIS_2420</t>
  </si>
  <si>
    <t>VIS_2421</t>
  </si>
  <si>
    <t>VIS_2422</t>
  </si>
  <si>
    <t>VIS_2423</t>
  </si>
  <si>
    <t>VIS_2424</t>
  </si>
  <si>
    <t>VIS_2425</t>
  </si>
  <si>
    <t>VIS_2426</t>
  </si>
  <si>
    <t>VIS_2427</t>
  </si>
  <si>
    <t>VIS_2428</t>
  </si>
  <si>
    <t>VIS_2429</t>
  </si>
  <si>
    <t>VIS_2430</t>
  </si>
  <si>
    <t>VIS_2431</t>
  </si>
  <si>
    <t>VIS_2432</t>
  </si>
  <si>
    <t>VIS_2433</t>
  </si>
  <si>
    <t>VIS_2434</t>
  </si>
  <si>
    <t>VIS_2435</t>
  </si>
  <si>
    <t>VIS_2436</t>
  </si>
  <si>
    <t>VIS_2437</t>
  </si>
  <si>
    <t>VIS_2438</t>
  </si>
  <si>
    <t>VIS_2439</t>
  </si>
  <si>
    <t>VIS_2440</t>
  </si>
  <si>
    <t>VIS_2441</t>
  </si>
  <si>
    <t>VIS_2442</t>
  </si>
  <si>
    <t>VIS_2443</t>
  </si>
  <si>
    <t>VIS_2444</t>
  </si>
  <si>
    <t>VIS_2445</t>
  </si>
  <si>
    <t>VIS_2446</t>
  </si>
  <si>
    <t>VIS_2447</t>
  </si>
  <si>
    <t>VIS_2448</t>
  </si>
  <si>
    <t>VIS_2449</t>
  </si>
  <si>
    <t>VIS_2450</t>
  </si>
  <si>
    <t>VIS_2451</t>
  </si>
  <si>
    <t>VIS_2452</t>
  </si>
  <si>
    <t>VIS_2453</t>
  </si>
  <si>
    <t>VIS_2454</t>
  </si>
  <si>
    <t>VIS_2455</t>
  </si>
  <si>
    <t>VIS_2456</t>
  </si>
  <si>
    <t>VIS_2457</t>
  </si>
  <si>
    <t>VIS_2458</t>
  </si>
  <si>
    <t>VIS_2459</t>
  </si>
  <si>
    <t>VIS_2460</t>
  </si>
  <si>
    <t>VIS_2461</t>
  </si>
  <si>
    <t>VIS_2462</t>
  </si>
  <si>
    <t>VIS_2463</t>
  </si>
  <si>
    <t>VIS_2464</t>
  </si>
  <si>
    <t>VIS_2465</t>
  </si>
  <si>
    <t>VIS_2466</t>
  </si>
  <si>
    <t>VIS_2467</t>
  </si>
  <si>
    <t>VIS_2468</t>
  </si>
  <si>
    <t>VIS_2469</t>
  </si>
  <si>
    <t>VIS_2470</t>
  </si>
  <si>
    <t>VIS_2471</t>
  </si>
  <si>
    <t>VIS_2472</t>
  </si>
  <si>
    <t>VIS_2473</t>
  </si>
  <si>
    <t>VIS_2474</t>
  </si>
  <si>
    <t>VIS_2475</t>
  </si>
  <si>
    <t>VIS_2476</t>
  </si>
  <si>
    <t>VIS_2477</t>
  </si>
  <si>
    <t>VIS_2478</t>
  </si>
  <si>
    <t>VIS_2479</t>
  </si>
  <si>
    <t>VIS_2480</t>
  </si>
  <si>
    <t>VIS_2481</t>
  </si>
  <si>
    <t>VIS_2482</t>
  </si>
  <si>
    <t>VIS_2483</t>
  </si>
  <si>
    <t>VIS_2484</t>
  </si>
  <si>
    <t>VIS_2485</t>
  </si>
  <si>
    <t>VIS_2486</t>
  </si>
  <si>
    <t>VIS_2487</t>
  </si>
  <si>
    <t>VIS_2488</t>
  </si>
  <si>
    <t>VIS_2489</t>
  </si>
  <si>
    <t>VIS_2490</t>
  </si>
  <si>
    <t>VIS_2491</t>
  </si>
  <si>
    <t>VIS_2492</t>
  </si>
  <si>
    <t>VIS_2493</t>
  </si>
  <si>
    <t>VIS_2494</t>
  </si>
  <si>
    <t>VIS_2495</t>
  </si>
  <si>
    <t>VIS_2496</t>
  </si>
  <si>
    <t>VIS_2497</t>
  </si>
  <si>
    <t>VIS_2498</t>
  </si>
  <si>
    <t>VIS_2499</t>
  </si>
  <si>
    <t>VIS_2500</t>
  </si>
  <si>
    <t>VIS_2501</t>
  </si>
  <si>
    <t>VIS_2502</t>
  </si>
  <si>
    <t>VIS_2503</t>
  </si>
  <si>
    <t>VIS_2504</t>
  </si>
  <si>
    <t>VIS_2505</t>
  </si>
  <si>
    <t>VIS_2506</t>
  </si>
  <si>
    <t>VIS_2507</t>
  </si>
  <si>
    <t>VIS_2508</t>
  </si>
  <si>
    <t>VIS_2509</t>
  </si>
  <si>
    <t>VIS_2510</t>
  </si>
  <si>
    <t>VIS_2511</t>
  </si>
  <si>
    <t>VIS_2512</t>
  </si>
  <si>
    <t>VIS_2513</t>
  </si>
  <si>
    <t>VIS_2514</t>
  </si>
  <si>
    <t>VIS_2515</t>
  </si>
  <si>
    <t>VIS_2516</t>
  </si>
  <si>
    <t>VIS_2517</t>
  </si>
  <si>
    <t>VIS_2518</t>
  </si>
  <si>
    <t>VIS_2519</t>
  </si>
  <si>
    <t>VIS_2520</t>
  </si>
  <si>
    <t>VIS_2521</t>
  </si>
  <si>
    <t>VIS_2522</t>
  </si>
  <si>
    <t>VIS_2523</t>
  </si>
  <si>
    <t>VIS_2524</t>
  </si>
  <si>
    <t>VIS_2525</t>
  </si>
  <si>
    <t>VIS_2526</t>
  </si>
  <si>
    <t>VIS_2527</t>
  </si>
  <si>
    <t>VIS_2528</t>
  </si>
  <si>
    <t>VIS_2529</t>
  </si>
  <si>
    <t>VIS_2530</t>
  </si>
  <si>
    <t>VIS_2531</t>
  </si>
  <si>
    <t>VIS_2532</t>
  </si>
  <si>
    <t>VIS_2533</t>
  </si>
  <si>
    <t>VIS_2534</t>
  </si>
  <si>
    <t>VIS_2535</t>
  </si>
  <si>
    <t>VIS_2536</t>
  </si>
  <si>
    <t>VIS_2537</t>
  </si>
  <si>
    <t>VIS_2538</t>
  </si>
  <si>
    <t>VIS_2539</t>
  </si>
  <si>
    <t>VIS_2540</t>
  </si>
  <si>
    <t>VIS_2541</t>
  </si>
  <si>
    <t>VIS_2542</t>
  </si>
  <si>
    <t>VIS_2543</t>
  </si>
  <si>
    <t>VIS_2544</t>
  </si>
  <si>
    <t>VIS_2545</t>
  </si>
  <si>
    <t>VIS_2546</t>
  </si>
  <si>
    <t>VIS_2547</t>
  </si>
  <si>
    <t>VIS_2548</t>
  </si>
  <si>
    <t>VIS_2549</t>
  </si>
  <si>
    <t>VIS_2550</t>
  </si>
  <si>
    <t>VIS_2551</t>
  </si>
  <si>
    <t>VIS_2552</t>
  </si>
  <si>
    <t>VIS_2553</t>
  </si>
  <si>
    <t>VIS_2554</t>
  </si>
  <si>
    <t>VIS_2555</t>
  </si>
  <si>
    <t>VIS_2556</t>
  </si>
  <si>
    <t>VIS_2557</t>
  </si>
  <si>
    <t>VIS_2558</t>
  </si>
  <si>
    <t>VIS_2559</t>
  </si>
  <si>
    <t>VIS_2560</t>
  </si>
  <si>
    <t>VIS_2561</t>
  </si>
  <si>
    <t>VIS_2562</t>
  </si>
  <si>
    <t>VIS_2563</t>
  </si>
  <si>
    <t>VIS_2564</t>
  </si>
  <si>
    <t>VIS_2565</t>
  </si>
  <si>
    <t>VIS_2566</t>
  </si>
  <si>
    <t>VIS_2567</t>
  </si>
  <si>
    <t>VIS_2568</t>
  </si>
  <si>
    <t>VIS_2569</t>
  </si>
  <si>
    <t>VIS_2570</t>
  </si>
  <si>
    <t>VIS_2571</t>
  </si>
  <si>
    <t>VIS_2572</t>
  </si>
  <si>
    <t>VIS_2573</t>
  </si>
  <si>
    <t>VIS_2574</t>
  </si>
  <si>
    <t>VIS_2575</t>
  </si>
  <si>
    <t>VIS_2576</t>
  </si>
  <si>
    <t>VIS_2577</t>
  </si>
  <si>
    <t>VIS_2578</t>
  </si>
  <si>
    <t>VIS_2579</t>
  </si>
  <si>
    <t>VIS_2580</t>
  </si>
  <si>
    <t>VIS_2581</t>
  </si>
  <si>
    <t>VIS_2582</t>
  </si>
  <si>
    <t>VIS_2583</t>
  </si>
  <si>
    <t>VIS_2584</t>
  </si>
  <si>
    <t>VIS_2585</t>
  </si>
  <si>
    <t>VIS_2586</t>
  </si>
  <si>
    <t>VIS_2587</t>
  </si>
  <si>
    <t>VIS_2588</t>
  </si>
  <si>
    <t>VIS_2589</t>
  </si>
  <si>
    <t>VIS_2590</t>
  </si>
  <si>
    <t>VIS_2591</t>
  </si>
  <si>
    <t>VIS_2592</t>
  </si>
  <si>
    <t>VIS_2593</t>
  </si>
  <si>
    <t>VIS_2594</t>
  </si>
  <si>
    <t>VIS_2595</t>
  </si>
  <si>
    <t>VIS_2596</t>
  </si>
  <si>
    <t>VIS_2597</t>
  </si>
  <si>
    <t>VIS_2598</t>
  </si>
  <si>
    <t>VIS_2599</t>
  </si>
  <si>
    <t>VIS_2600</t>
  </si>
  <si>
    <t>VIS_2601</t>
  </si>
  <si>
    <t>VIS_2602</t>
  </si>
  <si>
    <t>VIS_2603</t>
  </si>
  <si>
    <t>VIS_2604</t>
  </si>
  <si>
    <t>VIS_2605</t>
  </si>
  <si>
    <t>VIS_2606</t>
  </si>
  <si>
    <t>VIS_2607</t>
  </si>
  <si>
    <t>VIS_2608</t>
  </si>
  <si>
    <t>VIS_2609</t>
  </si>
  <si>
    <t>VIS_2610</t>
  </si>
  <si>
    <t>VIS_2611</t>
  </si>
  <si>
    <t>VIS_2612</t>
  </si>
  <si>
    <t>VIS_2613</t>
  </si>
  <si>
    <t>VIS_2614</t>
  </si>
  <si>
    <t>VIS_2615</t>
  </si>
  <si>
    <t>VIS_2616</t>
  </si>
  <si>
    <t>VIS_2617</t>
  </si>
  <si>
    <t>VIS_2618</t>
  </si>
  <si>
    <t>VIS_2619</t>
  </si>
  <si>
    <t>VIS_2620</t>
  </si>
  <si>
    <t>VIS_2621</t>
  </si>
  <si>
    <t>VIS_2622</t>
  </si>
  <si>
    <t>VIS_2623</t>
  </si>
  <si>
    <t>VIS_2624</t>
  </si>
  <si>
    <t>VIS_2625</t>
  </si>
  <si>
    <t>VIS_2626</t>
  </si>
  <si>
    <t>VIS_2627</t>
  </si>
  <si>
    <t>VIS_2628</t>
  </si>
  <si>
    <t>VIS_2629</t>
  </si>
  <si>
    <t>VIS_2630</t>
  </si>
  <si>
    <t>VIS_2631</t>
  </si>
  <si>
    <t>VIS_2632</t>
  </si>
  <si>
    <t>VIS_2633</t>
  </si>
  <si>
    <t>VIS_2634</t>
  </si>
  <si>
    <t>VIS_2635</t>
  </si>
  <si>
    <t>VIS_2636</t>
  </si>
  <si>
    <t>VIS_2637</t>
  </si>
  <si>
    <t>VIS_2638</t>
  </si>
  <si>
    <t>VIS_2639</t>
  </si>
  <si>
    <t>VIS_2640</t>
  </si>
  <si>
    <t>VIS_2641</t>
  </si>
  <si>
    <t>VIS_2642</t>
  </si>
  <si>
    <t>VIS_2643</t>
  </si>
  <si>
    <t>VIS_2644</t>
  </si>
  <si>
    <t>VIS_2645</t>
  </si>
  <si>
    <t>VIS_2646</t>
  </si>
  <si>
    <t>VIS_2647</t>
  </si>
  <si>
    <t>VIS_2648</t>
  </si>
  <si>
    <t>VIS_2649</t>
  </si>
  <si>
    <t>VIS_2650</t>
  </si>
  <si>
    <t>VIS_2651</t>
  </si>
  <si>
    <t>VIS_2652</t>
  </si>
  <si>
    <t>VIS_2653</t>
  </si>
  <si>
    <t>VIS_2654</t>
  </si>
  <si>
    <t>VIS_2655</t>
  </si>
  <si>
    <t>VIS_2656</t>
  </si>
  <si>
    <t>VIS_2657</t>
  </si>
  <si>
    <t>VIS_2658</t>
  </si>
  <si>
    <t>VIS_2659</t>
  </si>
  <si>
    <t>VIS_2660</t>
  </si>
  <si>
    <t>VIS_2661</t>
  </si>
  <si>
    <t>VIS_2662</t>
  </si>
  <si>
    <t>VIS_2663</t>
  </si>
  <si>
    <t>VIS_2664</t>
  </si>
  <si>
    <t>VIS_2665</t>
  </si>
  <si>
    <t>VIS_2666</t>
  </si>
  <si>
    <t>VIS_2667</t>
  </si>
  <si>
    <t>VIS_2668</t>
  </si>
  <si>
    <t>VIS_2669</t>
  </si>
  <si>
    <t>VIS_2670</t>
  </si>
  <si>
    <t>VIS_2671</t>
  </si>
  <si>
    <t>VIS_2672</t>
  </si>
  <si>
    <t>VIS_2673</t>
  </si>
  <si>
    <t>VIS_2674</t>
  </si>
  <si>
    <t>VIS_2675</t>
  </si>
  <si>
    <t>VIS_2676</t>
  </si>
  <si>
    <t>VIS_2677</t>
  </si>
  <si>
    <t>VIS_2678</t>
  </si>
  <si>
    <t>VIS_2679</t>
  </si>
  <si>
    <t>VIS_2680</t>
  </si>
  <si>
    <t>VIS_2681</t>
  </si>
  <si>
    <t>VIS_2682</t>
  </si>
  <si>
    <t>VIS_2683</t>
  </si>
  <si>
    <t>VIS_2684</t>
  </si>
  <si>
    <t>VIS_2685</t>
  </si>
  <si>
    <t>VIS_2686</t>
  </si>
  <si>
    <t>VIS_2687</t>
  </si>
  <si>
    <t>VIS_2688</t>
  </si>
  <si>
    <t>VIS_2689</t>
  </si>
  <si>
    <t>VIS_2690</t>
  </si>
  <si>
    <t>VIS_2691</t>
  </si>
  <si>
    <t>VIS_2692</t>
  </si>
  <si>
    <t>VIS_2693</t>
  </si>
  <si>
    <t>VIS_2694</t>
  </si>
  <si>
    <t>VIS_2695</t>
  </si>
  <si>
    <t>VIS_2696</t>
  </si>
  <si>
    <t>VIS_2697</t>
  </si>
  <si>
    <t>VIS_2698</t>
  </si>
  <si>
    <t>VIS_2699</t>
  </si>
  <si>
    <t>VIS_2700</t>
  </si>
  <si>
    <t>VIS_2701</t>
  </si>
  <si>
    <t>VIS_2702</t>
  </si>
  <si>
    <t>VIS_2703</t>
  </si>
  <si>
    <t>VIS_2704</t>
  </si>
  <si>
    <t>VIS_2705</t>
  </si>
  <si>
    <t>VIS_2706</t>
  </si>
  <si>
    <t>VIS_2707</t>
  </si>
  <si>
    <t>VIS_2708</t>
  </si>
  <si>
    <t>VIS_2709</t>
  </si>
  <si>
    <t>VIS_2710</t>
  </si>
  <si>
    <t>VIS_2711</t>
  </si>
  <si>
    <t>VIS_2712</t>
  </si>
  <si>
    <t>VIS_2713</t>
  </si>
  <si>
    <t>VIS_2714</t>
  </si>
  <si>
    <t>VIS_2715</t>
  </si>
  <si>
    <t>VIS_2716</t>
  </si>
  <si>
    <t>VIS_2717</t>
  </si>
  <si>
    <t>VIS_2718</t>
  </si>
  <si>
    <t>VIS_2719</t>
  </si>
  <si>
    <t>VIS_2720</t>
  </si>
  <si>
    <t>VIS_2721</t>
  </si>
  <si>
    <t>VIS_2722</t>
  </si>
  <si>
    <t>VIS_2723</t>
  </si>
  <si>
    <t>VIS_2724</t>
  </si>
  <si>
    <t>VIS_2725</t>
  </si>
  <si>
    <t>VIS_2726</t>
  </si>
  <si>
    <t>VIS_2727</t>
  </si>
  <si>
    <t>VIS_2728</t>
  </si>
  <si>
    <t>VIS_2729</t>
  </si>
  <si>
    <t>VIS_2730</t>
  </si>
  <si>
    <t>VIS_2731</t>
  </si>
  <si>
    <t>VIS_2732</t>
  </si>
  <si>
    <t>VIS_2733</t>
  </si>
  <si>
    <t>VIS_2734</t>
  </si>
  <si>
    <t>VIS_2735</t>
  </si>
  <si>
    <t>VIS_2736</t>
  </si>
  <si>
    <t>VIS_2737</t>
  </si>
  <si>
    <t>VIS_2738</t>
  </si>
  <si>
    <t>VIS_2739</t>
  </si>
  <si>
    <t>VIS_2740</t>
  </si>
  <si>
    <t>VIS_2741</t>
  </si>
  <si>
    <t>VIS_2742</t>
  </si>
  <si>
    <t>VIS_2743</t>
  </si>
  <si>
    <t>VIS_2744</t>
  </si>
  <si>
    <t>VIS_2745</t>
  </si>
  <si>
    <t>VIS_2746</t>
  </si>
  <si>
    <t>VIS_2747</t>
  </si>
  <si>
    <t>VIS_2748</t>
  </si>
  <si>
    <t>VIS_2749</t>
  </si>
  <si>
    <t>VIS_2750</t>
  </si>
  <si>
    <t>VIS_2751</t>
  </si>
  <si>
    <t>VIS_2752</t>
  </si>
  <si>
    <t>VIS_2753</t>
  </si>
  <si>
    <t>VIS_2754</t>
  </si>
  <si>
    <t>VIS_2755</t>
  </si>
  <si>
    <t>VIS_2756</t>
  </si>
  <si>
    <t>VIS_2757</t>
  </si>
  <si>
    <t>VIS_2758</t>
  </si>
  <si>
    <t>VIS_2759</t>
  </si>
  <si>
    <t>VIS_2760</t>
  </si>
  <si>
    <t>VIS_2761</t>
  </si>
  <si>
    <t>VIS_2762</t>
  </si>
  <si>
    <t>VIS_2763</t>
  </si>
  <si>
    <t>VIS_2764</t>
  </si>
  <si>
    <t>VIS_2765</t>
  </si>
  <si>
    <t>VIS_2766</t>
  </si>
  <si>
    <t>VIS_2767</t>
  </si>
  <si>
    <t>VIS_2768</t>
  </si>
  <si>
    <t>VIS_2769</t>
  </si>
  <si>
    <t>VIS_2770</t>
  </si>
  <si>
    <t>VIS_2771</t>
  </si>
  <si>
    <t>VIS_2772</t>
  </si>
  <si>
    <t>VIS_2773</t>
  </si>
  <si>
    <t>VIS_2774</t>
  </si>
  <si>
    <t>VIS_2775</t>
  </si>
  <si>
    <t>VIS_2776</t>
  </si>
  <si>
    <t>VIS_2777</t>
  </si>
  <si>
    <t>VIS_2778</t>
  </si>
  <si>
    <t>VIS_2779</t>
  </si>
  <si>
    <t>VIS_2780</t>
  </si>
  <si>
    <t>VIS_2781</t>
  </si>
  <si>
    <t>VIS_2782</t>
  </si>
  <si>
    <t>VIS_2783</t>
  </si>
  <si>
    <t>VIS_2784</t>
  </si>
  <si>
    <t>VIS_2785</t>
  </si>
  <si>
    <t>VIS_2786</t>
  </si>
  <si>
    <t>VIS_2787</t>
  </si>
  <si>
    <t>VIS_2788</t>
  </si>
  <si>
    <t>VIS_2789</t>
  </si>
  <si>
    <t>VIS_2790</t>
  </si>
  <si>
    <t>VIS_2791</t>
  </si>
  <si>
    <t>VIS_2792</t>
  </si>
  <si>
    <t>VIS_2793</t>
  </si>
  <si>
    <t>VIS_2794</t>
  </si>
  <si>
    <t>VIS_2795</t>
  </si>
  <si>
    <t>VIS_2796</t>
  </si>
  <si>
    <t>VIS_2797</t>
  </si>
  <si>
    <t>VIS_2798</t>
  </si>
  <si>
    <t>VIS_2799</t>
  </si>
  <si>
    <t>VIS_2800</t>
  </si>
  <si>
    <t/>
  </si>
  <si>
    <t>nombre</t>
  </si>
  <si>
    <t>FRANCIA MARTINEZ</t>
  </si>
  <si>
    <t>RAMON MERAN</t>
  </si>
  <si>
    <t>LEO HERRERA</t>
  </si>
  <si>
    <t>SMARLIN HENRIQUEZ</t>
  </si>
  <si>
    <t>MAYERLYN MEJIA</t>
  </si>
  <si>
    <t>KALAJAN FERRERAS</t>
  </si>
  <si>
    <t>JOSE MARTIN DEL RIO</t>
  </si>
  <si>
    <t>MILQUI ACEVEDO</t>
  </si>
  <si>
    <t>ELEONOR DOMINGUEZ</t>
  </si>
  <si>
    <t>SAGRARIO DE LEON</t>
  </si>
  <si>
    <t>CARLOS MORENO</t>
  </si>
  <si>
    <t>ZULEIKA VASQUEZ</t>
  </si>
  <si>
    <t>DENVER PAULINO</t>
  </si>
  <si>
    <t>LUIS GOMEZ</t>
  </si>
  <si>
    <t>Especialidad</t>
  </si>
  <si>
    <t>ENDOCRINOLOGOS</t>
  </si>
  <si>
    <t>GERIATRA</t>
  </si>
  <si>
    <t>MEDICINA FAMILIAR</t>
  </si>
  <si>
    <t>DIABETOLOGOS</t>
  </si>
  <si>
    <t>MEDICINA INTERNA</t>
  </si>
  <si>
    <t>CARDIOLOGOS</t>
  </si>
  <si>
    <t>NEUROLOGOS</t>
  </si>
  <si>
    <t>NEFROLOGOS</t>
  </si>
  <si>
    <t>NEUROCIRUJANO</t>
  </si>
  <si>
    <t>HEMODINAMISTAS</t>
  </si>
  <si>
    <t>EMERGENCIAS - Med. CRITICA</t>
  </si>
  <si>
    <t>MEDICINA GENERAL</t>
  </si>
  <si>
    <t>ANGIOLOGOS</t>
  </si>
  <si>
    <t>Medicina Familiar</t>
  </si>
  <si>
    <t>D</t>
  </si>
  <si>
    <t>linea_id</t>
  </si>
  <si>
    <t>gerente_id</t>
  </si>
  <si>
    <t>C06-2026</t>
  </si>
  <si>
    <t>C03-2026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</si>
</sst>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Arial"/>
    </font>
    <font>
      <sz val="10"/>
      <name val="Calibri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2F6FA"/>
      </patternFill>
    </fill>
    <fill>
      <patternFill patternType="solid">
        <fgColor rgb="FF1E2761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7D2DA"/>
      </left>
      <right style="thin">
        <color rgb="FFC7D2DA"/>
      </right>
      <top style="thin">
        <color rgb="FFC7D2DA"/>
      </top>
      <bottom style="thin">
        <color rgb="FFC7D2D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0" fillId="0" borderId="0" xfId="0" applyAlignment="1">
      <alignment wrapText="1"/>
    </xf>
    <xf numFmtId="164" fontId="0" fillId="0" borderId="0" xfId="0" applyNumberFormat="1"/>
    <xf numFmtId="9" fontId="0" fillId="0" borderId="0" xfId="0" applyNumberFormat="1"/>
    <xf numFmtId="1" fontId="0" fillId="0" borderId="0" xfId="0" applyNumberFormat="1"/>
    <xf numFmtId="0" fontId="4" fillId="2" borderId="0" xfId="0" applyFont="1" applyFill="1"/>
    <xf numFmtId="0" fontId="2" fillId="3" borderId="0" xfId="0" applyFont="1" applyFill="1" applyAlignment="1">
      <alignment wrapText="1"/>
    </xf>
    <xf numFmtId="165" fontId="0" fillId="0" borderId="0" xfId="0" applyNumberFormat="1"/>
    <xf numFmtId="166" fontId="0" fillId="0" borderId="0" xfId="0" applyNumberFormat="1"/>
    <xf numFmtId="0" fontId="3" fillId="5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164" fontId="3" fillId="5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  <xf numFmtId="0" fontId="0" fillId="0" borderId="0" xfId="0" applyAlignment="1">
      <alignment vertical="top"/>
    </xf>
    <xf numFmtId="0" fontId="3" fillId="5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4" fillId="2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/>
    </xf>
    <xf numFmtId="14" fontId="4" fillId="2" borderId="0" xfId="0" applyNumberFormat="1" applyFont="1" applyFill="1"/>
    <xf numFmtId="14" fontId="0" fillId="0" borderId="0" xfId="0" applyNumberFormat="1"/>
    <xf numFmtId="0" fontId="5" fillId="6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SM/DIMS_FACTS_V2/KIP%20CATEGORIZACION/modelo_sqlserver_categorizacion_medica_excel.xlsx" TargetMode="External"/><Relationship Id="rId2" Type="http://schemas.openxmlformats.org/officeDocument/2006/relationships/externalLinkPath" Target="file:///C:\Users\Lenovo\Proyecto\MSM\DIMS_FACTS_V2\KIP%20CATEGORIZACION\modelo_sqlserver_categorizacion_medica_excel.xlsx" TargetMode="External"/><Relationship Id="rId1" Type="http://schemas.openxmlformats.org/officeDocument/2006/relationships/externalLinkPath" Target="/Users/Lenovo/Proyecto/MSM/DIMS_FACTS_V2/KIP%20CATEGORIZACION/modelo_sqlserver_categorizacion_medica_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ME"/>
      <sheetName val="DIM_PAIS"/>
      <sheetName val="DimComponente"/>
      <sheetName val="DimClasificacion"/>
      <sheetName val="DimRegla"/>
      <sheetName val="DimEquipo"/>
      <sheetName val="DIM_REPRESENTANTE_MEDICO"/>
      <sheetName val="DimEspecialidad"/>
      <sheetName val="DimCentroMedico"/>
      <sheetName val="DimGeografia"/>
      <sheetName val="FactMedicoInput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codigo_id</v>
          </cell>
          <cell r="D1" t="str">
            <v>nombre</v>
          </cell>
          <cell r="E1" t="str">
            <v>linea_id</v>
          </cell>
          <cell r="F1" t="str">
            <v>gerente_id</v>
          </cell>
        </row>
        <row r="2">
          <cell r="C2" t="str">
            <v>VM-1</v>
          </cell>
          <cell r="D2" t="str">
            <v>FRANCIA MARTINEZ</v>
          </cell>
          <cell r="E2">
            <v>6</v>
          </cell>
          <cell r="F2">
            <v>12</v>
          </cell>
        </row>
        <row r="3">
          <cell r="C3" t="str">
            <v>VM-2</v>
          </cell>
          <cell r="D3" t="str">
            <v>RAMON MERAN</v>
          </cell>
          <cell r="E3">
            <v>10</v>
          </cell>
          <cell r="F3">
            <v>4</v>
          </cell>
        </row>
        <row r="4">
          <cell r="C4" t="str">
            <v>VM-3</v>
          </cell>
          <cell r="D4" t="str">
            <v>LEO HERRERA</v>
          </cell>
          <cell r="E4">
            <v>9</v>
          </cell>
          <cell r="F4">
            <v>8</v>
          </cell>
        </row>
        <row r="5">
          <cell r="C5" t="str">
            <v>VM-4</v>
          </cell>
          <cell r="D5" t="str">
            <v>SMARLIN HENRIQUEZ</v>
          </cell>
          <cell r="E5">
            <v>10</v>
          </cell>
          <cell r="F5">
            <v>8</v>
          </cell>
        </row>
        <row r="6">
          <cell r="C6" t="str">
            <v>VM-5</v>
          </cell>
          <cell r="D6" t="str">
            <v>MAYERLYN MEJIA</v>
          </cell>
          <cell r="E6">
            <v>9</v>
          </cell>
          <cell r="F6">
            <v>4</v>
          </cell>
        </row>
        <row r="7">
          <cell r="C7" t="str">
            <v>VM-6</v>
          </cell>
          <cell r="D7" t="str">
            <v>KALAJAN FERRERAS</v>
          </cell>
          <cell r="E7">
            <v>5</v>
          </cell>
          <cell r="F7">
            <v>12</v>
          </cell>
        </row>
        <row r="8">
          <cell r="C8" t="str">
            <v>VM-7</v>
          </cell>
          <cell r="D8" t="str">
            <v>JOSE MARTIN DEL RIO</v>
          </cell>
          <cell r="E8">
            <v>6</v>
          </cell>
          <cell r="F8">
            <v>2</v>
          </cell>
        </row>
        <row r="9">
          <cell r="C9" t="str">
            <v>VM-8</v>
          </cell>
          <cell r="D9" t="str">
            <v>MILQUI ACEVEDO</v>
          </cell>
          <cell r="E9">
            <v>1</v>
          </cell>
          <cell r="F9">
            <v>12</v>
          </cell>
        </row>
        <row r="10">
          <cell r="C10" t="str">
            <v>VM-9</v>
          </cell>
          <cell r="D10" t="str">
            <v>ELEONOR DOMINGUEZ</v>
          </cell>
          <cell r="E10">
            <v>1</v>
          </cell>
          <cell r="F10">
            <v>12</v>
          </cell>
        </row>
        <row r="11">
          <cell r="C11" t="str">
            <v>VM-10</v>
          </cell>
          <cell r="D11" t="str">
            <v>SAGRARIO DE LEON</v>
          </cell>
          <cell r="E11">
            <v>9</v>
          </cell>
          <cell r="F11">
            <v>4</v>
          </cell>
        </row>
        <row r="12">
          <cell r="C12" t="str">
            <v>VM-11</v>
          </cell>
          <cell r="D12" t="str">
            <v>CARLOS MORENO</v>
          </cell>
          <cell r="E12">
            <v>2</v>
          </cell>
          <cell r="F12">
            <v>4</v>
          </cell>
        </row>
        <row r="13">
          <cell r="C13" t="str">
            <v>VM-12</v>
          </cell>
          <cell r="D13" t="str">
            <v>ZULEIKA VASQUEZ</v>
          </cell>
          <cell r="E13">
            <v>2</v>
          </cell>
          <cell r="F13">
            <v>8</v>
          </cell>
        </row>
        <row r="14">
          <cell r="C14" t="str">
            <v>VM-13</v>
          </cell>
          <cell r="D14" t="str">
            <v>DENVER PAULINO</v>
          </cell>
          <cell r="E14">
            <v>9</v>
          </cell>
          <cell r="F14">
            <v>8</v>
          </cell>
        </row>
        <row r="15">
          <cell r="C15" t="str">
            <v>VM-14</v>
          </cell>
          <cell r="D15" t="str">
            <v>LUIS GOMEZ</v>
          </cell>
          <cell r="E15">
            <v>8</v>
          </cell>
          <cell r="F15">
            <v>8</v>
          </cell>
        </row>
        <row r="16">
          <cell r="C16" t="str">
            <v>VM-15</v>
          </cell>
          <cell r="D16" t="str">
            <v>BIELKA ESTEVEZ</v>
          </cell>
          <cell r="E16">
            <v>8</v>
          </cell>
          <cell r="F16">
            <v>8</v>
          </cell>
        </row>
        <row r="17">
          <cell r="C17" t="str">
            <v>VM-16</v>
          </cell>
          <cell r="D17" t="str">
            <v>JOSE LUIS FERNANDEZ</v>
          </cell>
          <cell r="E17">
            <v>9</v>
          </cell>
          <cell r="F17">
            <v>8</v>
          </cell>
        </row>
        <row r="18">
          <cell r="C18" t="str">
            <v>VM-17</v>
          </cell>
          <cell r="D18" t="str">
            <v>MADELIN REYES</v>
          </cell>
          <cell r="E18">
            <v>10</v>
          </cell>
          <cell r="F18">
            <v>8</v>
          </cell>
        </row>
        <row r="19">
          <cell r="C19" t="str">
            <v>VM-18</v>
          </cell>
          <cell r="D19" t="str">
            <v>LUCRECIA JIMENEZ</v>
          </cell>
          <cell r="E19">
            <v>6</v>
          </cell>
          <cell r="F19">
            <v>2</v>
          </cell>
        </row>
        <row r="20">
          <cell r="C20" t="str">
            <v>VM-19</v>
          </cell>
          <cell r="D20" t="str">
            <v>EMILIO PEGUERO</v>
          </cell>
          <cell r="E20">
            <v>7</v>
          </cell>
          <cell r="F20">
            <v>2</v>
          </cell>
        </row>
        <row r="21">
          <cell r="C21" t="str">
            <v>VM-20</v>
          </cell>
          <cell r="D21" t="str">
            <v>JOSE ESTEVES MARTINEZ</v>
          </cell>
          <cell r="E21">
            <v>6</v>
          </cell>
          <cell r="F21">
            <v>2</v>
          </cell>
        </row>
        <row r="22">
          <cell r="C22" t="str">
            <v>VM-21</v>
          </cell>
          <cell r="D22" t="str">
            <v>WILSON VASQUEZ</v>
          </cell>
          <cell r="E22">
            <v>2</v>
          </cell>
          <cell r="F22">
            <v>8</v>
          </cell>
        </row>
        <row r="23">
          <cell r="C23" t="str">
            <v>VM-22</v>
          </cell>
          <cell r="D23" t="str">
            <v>OLIMPIA MOREL</v>
          </cell>
          <cell r="E23">
            <v>9</v>
          </cell>
          <cell r="F23">
            <v>4</v>
          </cell>
        </row>
        <row r="24">
          <cell r="C24" t="str">
            <v>VM-23</v>
          </cell>
          <cell r="D24" t="str">
            <v>LEONEL VELEZ</v>
          </cell>
          <cell r="E24">
            <v>4</v>
          </cell>
          <cell r="F24">
            <v>4</v>
          </cell>
        </row>
        <row r="25">
          <cell r="C25" t="str">
            <v>VM-24</v>
          </cell>
          <cell r="D25" t="str">
            <v>NAIROBY POLANCO</v>
          </cell>
          <cell r="E25">
            <v>6</v>
          </cell>
          <cell r="F25">
            <v>12</v>
          </cell>
        </row>
        <row r="26">
          <cell r="C26" t="str">
            <v>VM-25</v>
          </cell>
          <cell r="D26" t="str">
            <v>RAYNNER MENDEZ</v>
          </cell>
          <cell r="E26">
            <v>10</v>
          </cell>
          <cell r="F26">
            <v>4</v>
          </cell>
        </row>
        <row r="27">
          <cell r="C27" t="str">
            <v>VM-26</v>
          </cell>
          <cell r="D27" t="str">
            <v>ALVIS PAULINO</v>
          </cell>
          <cell r="E27">
            <v>7</v>
          </cell>
          <cell r="F27">
            <v>12</v>
          </cell>
        </row>
        <row r="28">
          <cell r="C28" t="str">
            <v>VM-27</v>
          </cell>
          <cell r="D28" t="str">
            <v>JONATHAN ARIAS</v>
          </cell>
          <cell r="E28">
            <v>8</v>
          </cell>
          <cell r="F28">
            <v>4</v>
          </cell>
        </row>
        <row r="29">
          <cell r="C29" t="str">
            <v>VM-28</v>
          </cell>
          <cell r="D29" t="str">
            <v>HEIDY CONTRERAS</v>
          </cell>
          <cell r="E29">
            <v>7</v>
          </cell>
          <cell r="F29">
            <v>12</v>
          </cell>
        </row>
        <row r="30">
          <cell r="C30" t="str">
            <v>VM-29</v>
          </cell>
          <cell r="D30" t="str">
            <v>ORLANDO JIMENEZ</v>
          </cell>
          <cell r="E30">
            <v>1</v>
          </cell>
          <cell r="F30">
            <v>12</v>
          </cell>
        </row>
        <row r="31">
          <cell r="C31" t="str">
            <v>VM-30</v>
          </cell>
          <cell r="D31" t="str">
            <v>PABLO FERNANDEZ</v>
          </cell>
          <cell r="E31">
            <v>8</v>
          </cell>
          <cell r="F31">
            <v>4</v>
          </cell>
        </row>
        <row r="32">
          <cell r="C32" t="str">
            <v>VM-31</v>
          </cell>
          <cell r="D32" t="str">
            <v>NELLYS VALDEZ</v>
          </cell>
          <cell r="E32">
            <v>10</v>
          </cell>
          <cell r="F32">
            <v>4</v>
          </cell>
        </row>
        <row r="33">
          <cell r="C33" t="str">
            <v>VM-32</v>
          </cell>
          <cell r="D33" t="str">
            <v>BERNI CASTRO</v>
          </cell>
          <cell r="E33">
            <v>2</v>
          </cell>
          <cell r="F33">
            <v>4</v>
          </cell>
        </row>
        <row r="34">
          <cell r="C34" t="str">
            <v>VM-33</v>
          </cell>
          <cell r="D34" t="str">
            <v>JOSE EDUARDO RODRIGUEZ</v>
          </cell>
          <cell r="E34">
            <v>5</v>
          </cell>
          <cell r="F34">
            <v>12</v>
          </cell>
        </row>
        <row r="35">
          <cell r="C35" t="str">
            <v>VM-34</v>
          </cell>
          <cell r="D35" t="str">
            <v>PAUL MATOS</v>
          </cell>
          <cell r="E35">
            <v>8</v>
          </cell>
          <cell r="F35">
            <v>4</v>
          </cell>
        </row>
        <row r="36">
          <cell r="C36" t="str">
            <v>VM-35</v>
          </cell>
          <cell r="D36" t="str">
            <v>YAIRA SUERO</v>
          </cell>
          <cell r="E36">
            <v>7</v>
          </cell>
          <cell r="F36">
            <v>2</v>
          </cell>
        </row>
        <row r="37">
          <cell r="C37" t="str">
            <v>VM-36</v>
          </cell>
          <cell r="D37" t="str">
            <v>FRANCIA OVIEDO</v>
          </cell>
          <cell r="E37">
            <v>1</v>
          </cell>
          <cell r="F37">
            <v>2</v>
          </cell>
        </row>
        <row r="38">
          <cell r="C38" t="str">
            <v>VM-37</v>
          </cell>
          <cell r="D38" t="str">
            <v>FRANCHESCA HICHEZ</v>
          </cell>
          <cell r="E38">
            <v>10</v>
          </cell>
          <cell r="F38">
            <v>8</v>
          </cell>
        </row>
        <row r="39">
          <cell r="C39" t="str">
            <v>VM-38</v>
          </cell>
          <cell r="D39" t="str">
            <v>ORQUIDEA RAMIREZ</v>
          </cell>
          <cell r="E39">
            <v>10</v>
          </cell>
          <cell r="F39">
            <v>4</v>
          </cell>
        </row>
        <row r="40">
          <cell r="C40" t="str">
            <v>VM-39</v>
          </cell>
          <cell r="D40" t="str">
            <v>ZARINA COLON</v>
          </cell>
          <cell r="E40">
            <v>1</v>
          </cell>
          <cell r="F40">
            <v>12</v>
          </cell>
        </row>
        <row r="41">
          <cell r="C41" t="str">
            <v>VM-40</v>
          </cell>
          <cell r="D41" t="str">
            <v>SANTA MENDEZ</v>
          </cell>
          <cell r="E41">
            <v>5</v>
          </cell>
          <cell r="F41">
            <v>12</v>
          </cell>
        </row>
        <row r="42">
          <cell r="C42" t="str">
            <v>VM-41</v>
          </cell>
          <cell r="D42" t="str">
            <v>JOEL DURAN</v>
          </cell>
          <cell r="E42">
            <v>1</v>
          </cell>
          <cell r="F42">
            <v>2</v>
          </cell>
        </row>
        <row r="43">
          <cell r="C43" t="str">
            <v>VM-42</v>
          </cell>
          <cell r="D43" t="str">
            <v>EDWARD GRULLON</v>
          </cell>
          <cell r="E43">
            <v>10</v>
          </cell>
          <cell r="F43">
            <v>8</v>
          </cell>
        </row>
        <row r="44">
          <cell r="C44" t="str">
            <v>VM-43</v>
          </cell>
          <cell r="D44" t="str">
            <v>LEONELA REYES</v>
          </cell>
          <cell r="E44">
            <v>10</v>
          </cell>
          <cell r="F44">
            <v>8</v>
          </cell>
        </row>
        <row r="45">
          <cell r="C45" t="str">
            <v>VM-44</v>
          </cell>
          <cell r="D45" t="str">
            <v>JOSE LUIS DUARTE</v>
          </cell>
          <cell r="E45">
            <v>1</v>
          </cell>
          <cell r="F45">
            <v>2</v>
          </cell>
        </row>
        <row r="46">
          <cell r="C46" t="str">
            <v>VM-45</v>
          </cell>
          <cell r="D46" t="str">
            <v>FRANCISCO JIMENEZ</v>
          </cell>
          <cell r="E46">
            <v>7</v>
          </cell>
          <cell r="F46">
            <v>2</v>
          </cell>
        </row>
      </sheetData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blDashboardGD" displayName="tblDashboardGD" ref="A6:N9">
  <tableColumns count="14">
    <tableColumn id="1" xr3:uid="{00000000-0010-0000-0000-000001000000}" name="VM"/>
    <tableColumn id="2" xr3:uid="{00000000-0010-0000-0000-000002000000}" name="Médicos Prog."/>
    <tableColumn id="3" xr3:uid="{00000000-0010-0000-0000-000003000000}" name="Visitados únicos"/>
    <tableColumn id="4" xr3:uid="{00000000-0010-0000-0000-000004000000}" name="Cobertura actual"/>
    <tableColumn id="5" xr3:uid="{00000000-0010-0000-0000-000005000000}" name="Proyección cierre"/>
    <tableColumn id="6" xr3:uid="{00000000-0010-0000-0000-000006000000}" name="Meta"/>
    <tableColumn id="7" xr3:uid="{00000000-0010-0000-0000-000007000000}" name="Obj. contactos diarios"/>
    <tableColumn id="8" xr3:uid="{00000000-0010-0000-0000-000008000000}" name="Contactos realizados"/>
    <tableColumn id="9" xr3:uid="{00000000-0010-0000-0000-000009000000}" name="Contactos dejados de hacer"/>
    <tableColumn id="10" xr3:uid="{00000000-0010-0000-0000-00000A000000}" name="Contactos diarios requeridos"/>
    <tableColumn id="11" xr3:uid="{00000000-0010-0000-0000-00000B000000}" name="Médicos dejados de ver"/>
    <tableColumn id="12" xr3:uid="{00000000-0010-0000-0000-00000C000000}" name="Médicos diarios requeridos"/>
    <tableColumn id="13" xr3:uid="{00000000-0010-0000-0000-00000D000000}" name="Aceleración requerida"/>
    <tableColumn id="14" xr3:uid="{00000000-0010-0000-0000-00000E000000}" name="Mensaje / lectura accion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MotorCobertura" displayName="tblMotorCobertura" ref="A3:AD6">
  <tableColumns count="30">
    <tableColumn id="1" xr3:uid="{00000000-0010-0000-0100-000001000000}" name="VM ID"/>
    <tableColumn id="2" xr3:uid="{00000000-0010-0000-0100-000002000000}" name="Nombre VM"/>
    <tableColumn id="3" xr3:uid="{00000000-0010-0000-0100-000003000000}" name="Línea"/>
    <tableColumn id="4" xr3:uid="{00000000-0010-0000-0100-000004000000}" name="Ciclo"/>
    <tableColumn id="5" xr3:uid="{00000000-0010-0000-0100-000005000000}" name="Fecha inicio"/>
    <tableColumn id="6" xr3:uid="{00000000-0010-0000-0100-000006000000}" name="Fecha fin"/>
    <tableColumn id="7" xr3:uid="{00000000-0010-0000-0100-000007000000}" name="Fecha corte"/>
    <tableColumn id="8" xr3:uid="{00000000-0010-0000-0100-000008000000}" name="Meta cobertura"/>
    <tableColumn id="9" xr3:uid="{00000000-0010-0000-0100-000009000000}" name="Meta contactos ciclo"/>
    <tableColumn id="10" xr3:uid="{00000000-0010-0000-0100-00000A000000}" name="Médicos programados"/>
    <tableColumn id="11" xr3:uid="{00000000-0010-0000-0100-00000B000000}" name="Médicos requeridos meta"/>
    <tableColumn id="12" xr3:uid="{00000000-0010-0000-0100-00000C000000}" name="Médicos únicos visitados"/>
    <tableColumn id="13" xr3:uid="{00000000-0010-0000-0100-00000D000000}" name="Contactos realizados"/>
    <tableColumn id="14" xr3:uid="{00000000-0010-0000-0100-00000E000000}" name="Días hábiles ciclo"/>
    <tableColumn id="15" xr3:uid="{00000000-0010-0000-0100-00000F000000}" name="Días hábiles transcurridos"/>
    <tableColumn id="16" xr3:uid="{00000000-0010-0000-0100-000010000000}" name="Días hábiles restantes"/>
    <tableColumn id="17" xr3:uid="{00000000-0010-0000-0100-000011000000}" name="Objetivo médicos diarios"/>
    <tableColumn id="18" xr3:uid="{00000000-0010-0000-0100-000012000000}" name="Médicos esperados al corte"/>
    <tableColumn id="19" xr3:uid="{00000000-0010-0000-0100-000013000000}" name="Médicos dejados de ver"/>
    <tableColumn id="20" xr3:uid="{00000000-0010-0000-0100-000014000000}" name="Aceleración requerida"/>
    <tableColumn id="21" xr3:uid="{00000000-0010-0000-0100-000015000000}" name="Médicos diarios requeridos"/>
    <tableColumn id="22" xr3:uid="{00000000-0010-0000-0100-000016000000}" name="Objetivo contactos diarios"/>
    <tableColumn id="23" xr3:uid="{00000000-0010-0000-0100-000017000000}" name="Contactos esperados al corte"/>
    <tableColumn id="24" xr3:uid="{00000000-0010-0000-0100-000018000000}" name="Contactos dejados de hacer"/>
    <tableColumn id="25" xr3:uid="{00000000-0010-0000-0100-000019000000}" name="Contactos diarios requeridos"/>
    <tableColumn id="26" xr3:uid="{00000000-0010-0000-0100-00001A000000}" name="Cobertura actual"/>
    <tableColumn id="27" xr3:uid="{00000000-0010-0000-0100-00001B000000}" name="Cobertura proyectada"/>
    <tableColumn id="28" xr3:uid="{00000000-0010-0000-0100-00001C000000}" name="Estado cobertura"/>
    <tableColumn id="29" xr3:uid="{00000000-0010-0000-0100-00001D000000}" name="Estado PSP"/>
    <tableColumn id="30" xr3:uid="{00000000-0010-0000-0100-00001E000000}" name="Lectura G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TargetMedicos" displayName="tblTargetMedicos" ref="A1:I2801">
  <tableColumns count="9">
    <tableColumn id="1" xr3:uid="{00000000-0010-0000-0200-000001000000}" name="medico_id"/>
    <tableColumn id="2" xr3:uid="{00000000-0010-0000-0200-000002000000}" name="codigo_id"/>
    <tableColumn id="3" xr3:uid="{00000000-0010-0000-0200-000003000000}" name="nombre"/>
    <tableColumn id="4" xr3:uid="{00000000-0010-0000-0200-000004000000}" name="gerente_id">
      <calculatedColumnFormula>VLOOKUP(tblTargetMedicos[[#This Row],[codigo_id]],[1]DIM_REPRESENTANTE_MEDICO!$C:$F,4,0)</calculatedColumnFormula>
    </tableColumn>
    <tableColumn id="5" xr3:uid="{00000000-0010-0000-0200-000005000000}" name="linea_id"/>
    <tableColumn id="6" xr3:uid="{00000000-0010-0000-0200-000006000000}" name="Ciclo"/>
    <tableColumn id="7" xr3:uid="{00000000-0010-0000-0200-000007000000}" name="Especialidad"/>
    <tableColumn id="8" xr3:uid="{00000000-0010-0000-0200-000008000000}" name="potencial"/>
    <tableColumn id="9" xr3:uid="{00000000-0010-0000-0200-000009000000}" name="programado_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FactVisitas" displayName="tblFactVisitas" ref="A1:H2801">
  <tableColumns count="8">
    <tableColumn id="1" xr3:uid="{00000000-0010-0000-0300-000001000000}" name="visita_id"/>
    <tableColumn id="2" xr3:uid="{00000000-0010-0000-0300-000002000000}" name="fecha_visita" dataDxfId="1"/>
    <tableColumn id="3" xr3:uid="{00000000-0010-0000-0300-000003000000}" name="Ciclo"/>
    <tableColumn id="4" xr3:uid="{00000000-0010-0000-0300-000004000000}" name="codigo_id"/>
    <tableColumn id="5" xr3:uid="{00000000-0010-0000-0300-000005000000}" name="medico_id"/>
    <tableColumn id="6" xr3:uid="{00000000-0010-0000-0300-000006000000}" name="tipo_contacto"/>
    <tableColumn id="7" xr3:uid="{00000000-0010-0000-0300-000007000000}" name="estado_visita"/>
    <tableColumn id="9" xr3:uid="{18868622-E630-4103-A350-200C6DB56207}" name="producto_fo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opLeftCell="A7" workbookViewId="0">
      <selection sqref="A1:C1"/>
    </sheetView>
  </sheetViews>
  <sheetFormatPr baseColWidth="10" defaultColWidth="8.75" defaultRowHeight="14.25"/>
  <cols>
    <col min="1" max="1" width="26" customWidth="1"/>
    <col min="2" max="2" width="34" customWidth="1"/>
    <col min="3" max="3" width="55" customWidth="1"/>
  </cols>
  <sheetData>
    <row r="1" spans="1:3">
      <c r="A1" s="28" t="s">
        <v>0</v>
      </c>
      <c r="B1" s="29"/>
      <c r="C1" s="29"/>
    </row>
    <row r="2" spans="1:3">
      <c r="A2" s="15"/>
    </row>
    <row r="3" spans="1:3" ht="15">
      <c r="A3" s="22" t="s">
        <v>1</v>
      </c>
      <c r="B3" s="1" t="s">
        <v>2</v>
      </c>
      <c r="C3" s="1" t="s">
        <v>3</v>
      </c>
    </row>
    <row r="4" spans="1:3">
      <c r="A4" s="15" t="s">
        <v>4</v>
      </c>
      <c r="B4" s="5">
        <v>0.9</v>
      </c>
      <c r="C4" t="s">
        <v>5</v>
      </c>
    </row>
    <row r="5" spans="1:3">
      <c r="A5" s="15" t="s">
        <v>6</v>
      </c>
      <c r="B5" t="s">
        <v>7</v>
      </c>
      <c r="C5" t="s">
        <v>8</v>
      </c>
    </row>
    <row r="6" spans="1:3">
      <c r="A6" s="15" t="s">
        <v>9</v>
      </c>
      <c r="B6" s="4">
        <v>46174</v>
      </c>
      <c r="C6" t="s">
        <v>10</v>
      </c>
    </row>
    <row r="7" spans="1:3">
      <c r="A7" s="15" t="s">
        <v>11</v>
      </c>
      <c r="B7" s="4">
        <v>46198</v>
      </c>
      <c r="C7" t="s">
        <v>12</v>
      </c>
    </row>
    <row r="8" spans="1:3">
      <c r="A8" s="15" t="s">
        <v>13</v>
      </c>
      <c r="B8" s="4">
        <v>46185</v>
      </c>
      <c r="C8" t="s">
        <v>14</v>
      </c>
    </row>
    <row r="9" spans="1:3">
      <c r="A9" s="15" t="s">
        <v>15</v>
      </c>
      <c r="B9" s="6">
        <f>NETWORKDAYS(B6,B7,B17:B25)</f>
        <v>19</v>
      </c>
      <c r="C9" t="s">
        <v>16</v>
      </c>
    </row>
    <row r="10" spans="1:3">
      <c r="A10" s="15" t="s">
        <v>17</v>
      </c>
      <c r="B10" s="6">
        <v>12</v>
      </c>
      <c r="C10" t="s">
        <v>18</v>
      </c>
    </row>
    <row r="11" spans="1:3">
      <c r="A11" s="15"/>
    </row>
    <row r="12" spans="1:3">
      <c r="A12" s="15" t="s">
        <v>19</v>
      </c>
    </row>
    <row r="13" spans="1:3">
      <c r="A13" s="15" t="s">
        <v>20</v>
      </c>
      <c r="B13" t="s">
        <v>21</v>
      </c>
      <c r="C13" t="s">
        <v>22</v>
      </c>
    </row>
    <row r="14" spans="1:3">
      <c r="A14" s="15" t="s">
        <v>23</v>
      </c>
      <c r="B14" t="s">
        <v>24</v>
      </c>
      <c r="C14" t="s">
        <v>25</v>
      </c>
    </row>
    <row r="15" spans="1:3">
      <c r="A15" s="15"/>
    </row>
    <row r="16" spans="1:3" ht="15">
      <c r="A16" s="19" t="s">
        <v>26</v>
      </c>
      <c r="B16" s="2" t="s">
        <v>27</v>
      </c>
      <c r="C16" s="2" t="s">
        <v>28</v>
      </c>
    </row>
    <row r="17" spans="1:3">
      <c r="A17" s="15"/>
    </row>
    <row r="18" spans="1:3">
      <c r="A18" s="15"/>
    </row>
    <row r="19" spans="1:3">
      <c r="A19" s="15"/>
    </row>
    <row r="20" spans="1:3">
      <c r="A20" s="15"/>
    </row>
    <row r="21" spans="1:3">
      <c r="A21" s="15"/>
    </row>
    <row r="22" spans="1:3">
      <c r="A22" s="15"/>
    </row>
    <row r="23" spans="1:3">
      <c r="A23" s="15"/>
    </row>
    <row r="24" spans="1:3">
      <c r="A24" s="15"/>
    </row>
    <row r="25" spans="1:3">
      <c r="A25" s="15"/>
    </row>
    <row r="26" spans="1:3">
      <c r="A26" s="15"/>
    </row>
    <row r="27" spans="1:3">
      <c r="A27" s="15" t="s">
        <v>29</v>
      </c>
    </row>
    <row r="28" spans="1:3" ht="15">
      <c r="A28" s="19" t="s">
        <v>30</v>
      </c>
      <c r="B28" s="2" t="s">
        <v>31</v>
      </c>
      <c r="C28" s="2" t="s">
        <v>32</v>
      </c>
    </row>
    <row r="29" spans="1:3">
      <c r="A29" s="15" t="s">
        <v>33</v>
      </c>
      <c r="B29" t="s">
        <v>34</v>
      </c>
      <c r="C29" t="s">
        <v>35</v>
      </c>
    </row>
    <row r="30" spans="1:3">
      <c r="A30" s="15" t="s">
        <v>36</v>
      </c>
      <c r="B30" t="s">
        <v>37</v>
      </c>
      <c r="C30" t="s">
        <v>38</v>
      </c>
    </row>
    <row r="31" spans="1:3">
      <c r="A31" s="15" t="s">
        <v>39</v>
      </c>
      <c r="B31" t="s">
        <v>40</v>
      </c>
      <c r="C31" t="s">
        <v>41</v>
      </c>
    </row>
    <row r="32" spans="1:3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A4" workbookViewId="0">
      <selection activeCell="N9" sqref="N9"/>
    </sheetView>
  </sheetViews>
  <sheetFormatPr baseColWidth="10" defaultColWidth="8.75" defaultRowHeight="14.25"/>
  <cols>
    <col min="1" max="1" width="18" customWidth="1"/>
    <col min="2" max="2" width="13" customWidth="1"/>
    <col min="3" max="5" width="14" customWidth="1"/>
    <col min="6" max="6" width="10" customWidth="1"/>
    <col min="7" max="7" width="15" customWidth="1"/>
    <col min="8" max="8" width="14" customWidth="1"/>
    <col min="9" max="10" width="16" customWidth="1"/>
    <col min="11" max="11" width="15" customWidth="1"/>
    <col min="12" max="12" width="16" customWidth="1"/>
    <col min="13" max="13" width="15" customWidth="1"/>
    <col min="14" max="14" width="70" customWidth="1"/>
  </cols>
  <sheetData>
    <row r="1" spans="1:14" ht="18">
      <c r="A1" s="28" t="s">
        <v>42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>
      <c r="A2" s="15"/>
    </row>
    <row r="3" spans="1:14" ht="30">
      <c r="A3" s="16" t="s">
        <v>13</v>
      </c>
      <c r="B3" s="13">
        <f>Parametros!$B$8</f>
        <v>46185</v>
      </c>
      <c r="C3" s="11" t="s">
        <v>43</v>
      </c>
      <c r="D3" s="11"/>
      <c r="E3" s="11" t="s">
        <v>6</v>
      </c>
      <c r="F3" s="11" t="str">
        <f>Parametros!$B$5</f>
        <v>2026-06</v>
      </c>
      <c r="G3" s="11" t="s">
        <v>44</v>
      </c>
      <c r="H3" s="11">
        <f>Parametros!$B$9</f>
        <v>19</v>
      </c>
      <c r="I3" s="11" t="s">
        <v>4</v>
      </c>
      <c r="J3" s="11">
        <f>Parametros!$B$4</f>
        <v>0.9</v>
      </c>
    </row>
    <row r="4" spans="1:14" ht="165">
      <c r="A4" s="16" t="s">
        <v>45</v>
      </c>
      <c r="B4" s="11" t="s">
        <v>46</v>
      </c>
      <c r="C4" s="11"/>
      <c r="D4" s="11"/>
      <c r="E4" s="11"/>
      <c r="F4" s="11"/>
      <c r="G4" s="11"/>
      <c r="H4" s="11"/>
      <c r="I4" s="11"/>
      <c r="J4" s="11"/>
    </row>
    <row r="5" spans="1:14">
      <c r="A5" s="15"/>
    </row>
    <row r="6" spans="1:14" ht="45">
      <c r="A6" s="17" t="s">
        <v>47</v>
      </c>
      <c r="B6" s="12" t="s">
        <v>48</v>
      </c>
      <c r="C6" s="12" t="s">
        <v>49</v>
      </c>
      <c r="D6" s="12" t="s">
        <v>50</v>
      </c>
      <c r="E6" s="12" t="s">
        <v>51</v>
      </c>
      <c r="F6" s="12" t="s">
        <v>52</v>
      </c>
      <c r="G6" s="12" t="s">
        <v>53</v>
      </c>
      <c r="H6" s="12" t="s">
        <v>54</v>
      </c>
      <c r="I6" s="12" t="s">
        <v>55</v>
      </c>
      <c r="J6" s="12" t="s">
        <v>20</v>
      </c>
      <c r="K6" s="12" t="s">
        <v>56</v>
      </c>
      <c r="L6" s="12" t="s">
        <v>57</v>
      </c>
      <c r="M6" s="12" t="s">
        <v>23</v>
      </c>
      <c r="N6" s="12" t="s">
        <v>58</v>
      </c>
    </row>
    <row r="7" spans="1:14" ht="57">
      <c r="A7" s="15" t="str">
        <f>Motor_Formulas!B4</f>
        <v>Ana Martínez</v>
      </c>
      <c r="B7">
        <f>Motor_Formulas!J4</f>
        <v>0</v>
      </c>
      <c r="C7">
        <f>Motor_Formulas!L4</f>
        <v>70</v>
      </c>
      <c r="D7" s="10">
        <f>Motor_Formulas!Z4</f>
        <v>0</v>
      </c>
      <c r="E7" s="10">
        <f>Motor_Formulas!AA4</f>
        <v>0</v>
      </c>
      <c r="F7" s="10">
        <f>Motor_Formulas!H4</f>
        <v>0.9</v>
      </c>
      <c r="G7" s="9">
        <f>Motor_Formulas!V4</f>
        <v>0</v>
      </c>
      <c r="H7">
        <f>Motor_Formulas!M4</f>
        <v>0</v>
      </c>
      <c r="I7" s="9">
        <f>Motor_Formulas!X4</f>
        <v>0</v>
      </c>
      <c r="J7">
        <f>Motor_Formulas!Y4</f>
        <v>0</v>
      </c>
      <c r="K7">
        <f>Motor_Formulas!S4</f>
        <v>0</v>
      </c>
      <c r="L7">
        <f>Motor_Formulas!U4</f>
        <v>0</v>
      </c>
      <c r="M7">
        <f>CEILING(Motor_Formulas!T4,1)</f>
        <v>0</v>
      </c>
      <c r="N7" s="3" t="str">
        <f>Motor_Formulas!AD4</f>
        <v>Su número de contactos diario requerido es 0. Este número es la suma del objetivo diario base (0.0) + los contactos dejados de hacer (0.0) repartidos en 9 días hábiles restantes. Para cobertura debe ver 0 médicos diarios; aceleración requerida: +0 médicos adicionales/día.</v>
      </c>
    </row>
    <row r="8" spans="1:14" ht="57">
      <c r="A8" s="15" t="str">
        <f>Motor_Formulas!B5</f>
        <v>Carlos Pérez</v>
      </c>
      <c r="B8">
        <f>Motor_Formulas!J5</f>
        <v>0</v>
      </c>
      <c r="C8">
        <f>Motor_Formulas!L5</f>
        <v>90</v>
      </c>
      <c r="D8" s="10">
        <f>Motor_Formulas!Z5</f>
        <v>0</v>
      </c>
      <c r="E8" s="10">
        <f>Motor_Formulas!AA5</f>
        <v>0</v>
      </c>
      <c r="F8" s="10">
        <f>Motor_Formulas!H5</f>
        <v>0.9</v>
      </c>
      <c r="G8" s="9">
        <f>Motor_Formulas!V5</f>
        <v>0</v>
      </c>
      <c r="H8">
        <f>Motor_Formulas!M5</f>
        <v>0</v>
      </c>
      <c r="I8" s="9">
        <f>Motor_Formulas!X5</f>
        <v>0</v>
      </c>
      <c r="J8">
        <f>Motor_Formulas!Y5</f>
        <v>0</v>
      </c>
      <c r="K8">
        <f>Motor_Formulas!S5</f>
        <v>0</v>
      </c>
      <c r="L8">
        <f>Motor_Formulas!U5</f>
        <v>0</v>
      </c>
      <c r="M8">
        <f>CEILING(Motor_Formulas!T5,1)</f>
        <v>0</v>
      </c>
      <c r="N8" s="3" t="str">
        <f>Motor_Formulas!AD5</f>
        <v>Su número de contactos diario requerido es 0. Este número es la suma del objetivo diario base (0.0) + los contactos dejados de hacer (0.0) repartidos en 9 días hábiles restantes. Para cobertura debe ver 0 médicos diarios; aceleración requerida: +0 médicos adicionales/día.</v>
      </c>
    </row>
    <row r="9" spans="1:14" ht="57">
      <c r="A9" s="15" t="str">
        <f>Motor_Formulas!B6</f>
        <v>Laura Gómez</v>
      </c>
      <c r="B9">
        <f>Motor_Formulas!J6</f>
        <v>0</v>
      </c>
      <c r="C9">
        <f>Motor_Formulas!L6</f>
        <v>85</v>
      </c>
      <c r="D9" s="10">
        <f>Motor_Formulas!Z6</f>
        <v>0</v>
      </c>
      <c r="E9" s="10">
        <f>Motor_Formulas!AA6</f>
        <v>0</v>
      </c>
      <c r="F9" s="10">
        <f>Motor_Formulas!H6</f>
        <v>0.9</v>
      </c>
      <c r="G9" s="9">
        <f>Motor_Formulas!V6</f>
        <v>0</v>
      </c>
      <c r="H9">
        <f>Motor_Formulas!M6</f>
        <v>0</v>
      </c>
      <c r="I9" s="9">
        <f>Motor_Formulas!X6</f>
        <v>0</v>
      </c>
      <c r="J9">
        <f>Motor_Formulas!Y6</f>
        <v>0</v>
      </c>
      <c r="K9">
        <f>Motor_Formulas!S6</f>
        <v>0</v>
      </c>
      <c r="L9">
        <f>Motor_Formulas!U6</f>
        <v>0</v>
      </c>
      <c r="M9">
        <f>CEILING(Motor_Formulas!T6,1)</f>
        <v>0</v>
      </c>
      <c r="N9" s="3" t="str">
        <f>Motor_Formulas!AD6</f>
        <v>Su número de contactos diario requerido es 0. Este número es la suma del objetivo diario base (0.0) + los contactos dejados de hacer (0.0) repartidos en 9 días hábiles restantes. Para cobertura debe ver 0 médicos diarios; aceleración requerida: +0 médicos adicionales/día.</v>
      </c>
    </row>
    <row r="10" spans="1:14">
      <c r="A10" s="15"/>
    </row>
    <row r="11" spans="1:14" ht="15">
      <c r="A11" s="1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ht="15">
      <c r="A12" s="19" t="s">
        <v>59</v>
      </c>
    </row>
    <row r="13" spans="1:14" ht="15">
      <c r="A13" s="19" t="s">
        <v>53</v>
      </c>
      <c r="B13" t="s">
        <v>60</v>
      </c>
    </row>
    <row r="14" spans="1:14" ht="15">
      <c r="A14" s="19" t="s">
        <v>55</v>
      </c>
      <c r="B14" t="s">
        <v>61</v>
      </c>
    </row>
    <row r="15" spans="1:14" ht="15">
      <c r="A15" s="19" t="s">
        <v>20</v>
      </c>
      <c r="B15" t="s">
        <v>62</v>
      </c>
    </row>
    <row r="16" spans="1:14">
      <c r="A16" s="15" t="s">
        <v>23</v>
      </c>
      <c r="B16" t="s">
        <v>63</v>
      </c>
    </row>
    <row r="17" spans="1:1">
      <c r="A17" s="15"/>
    </row>
    <row r="18" spans="1:1">
      <c r="A18" s="15"/>
    </row>
    <row r="19" spans="1:1">
      <c r="A19" s="15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  <row r="25" spans="1:1">
      <c r="A25" s="15"/>
    </row>
    <row r="26" spans="1:1">
      <c r="A26" s="15"/>
    </row>
    <row r="27" spans="1:1">
      <c r="A27" s="15"/>
    </row>
    <row r="28" spans="1:1">
      <c r="A28" s="15"/>
    </row>
    <row r="29" spans="1:1">
      <c r="A29" s="15"/>
    </row>
    <row r="30" spans="1:1">
      <c r="A30" s="15"/>
    </row>
    <row r="31" spans="1:1">
      <c r="A31" s="15"/>
    </row>
    <row r="32" spans="1:1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</sheetData>
  <mergeCells count="1">
    <mergeCell ref="A1:N1"/>
  </mergeCells>
  <conditionalFormatting sqref="E7:E9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M7:M9">
    <cfRule type="dataBar" priority="2">
      <dataBar>
        <cfvo type="min"/>
        <cfvo type="max"/>
        <color rgb="FFF97316"/>
      </dataBar>
    </cfRule>
    <cfRule type="dataBar" priority="3">
      <dataBar>
        <cfvo type="min"/>
        <cfvo type="max"/>
        <color rgb="FFF97316"/>
      </dataBar>
      <extLst>
        <ext xmlns:x14="http://schemas.microsoft.com/office/spreadsheetml/2009/9/main" uri="{B025F937-C7B1-47D3-B67F-A62EFF666E3E}">
          <x14:id>{205D9F24-BE34-1F44-C618-CCA48FFAB9DB}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5D9F24-BE34-1F44-C618-CCA48FFAB9DB}">
            <x14:dataBar>
              <x14:cfvo type="min"/>
              <x14:cfvo type="max"/>
              <x14:negativeFillColor auto="1"/>
              <x14:axisColor auto="1"/>
            </x14:dataBar>
          </x14:cfRule>
          <xm:sqref>M7:M9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"/>
  <sheetViews>
    <sheetView workbookViewId="0">
      <selection activeCell="C11" sqref="C11"/>
    </sheetView>
  </sheetViews>
  <sheetFormatPr baseColWidth="10" defaultColWidth="8.75" defaultRowHeight="14.25"/>
  <cols>
    <col min="1" max="1" width="6" bestFit="1" customWidth="1"/>
    <col min="2" max="2" width="12" bestFit="1" customWidth="1"/>
    <col min="3" max="3" width="15.5" bestFit="1" customWidth="1"/>
    <col min="4" max="4" width="7.5" bestFit="1" customWidth="1"/>
    <col min="5" max="5" width="10.875" bestFit="1" customWidth="1"/>
    <col min="6" max="6" width="10.125" bestFit="1" customWidth="1"/>
    <col min="7" max="7" width="10.75" bestFit="1" customWidth="1"/>
    <col min="8" max="8" width="9" bestFit="1" customWidth="1"/>
    <col min="9" max="9" width="14.125" bestFit="1" customWidth="1"/>
    <col min="10" max="10" width="12.5" bestFit="1" customWidth="1"/>
    <col min="11" max="11" width="17.5" bestFit="1" customWidth="1"/>
    <col min="12" max="12" width="14" bestFit="1" customWidth="1"/>
    <col min="13" max="13" width="9.5" bestFit="1" customWidth="1"/>
    <col min="14" max="14" width="11.125" bestFit="1" customWidth="1"/>
    <col min="15" max="15" width="12.125" bestFit="1" customWidth="1"/>
    <col min="16" max="16" width="11.125" bestFit="1" customWidth="1"/>
    <col min="17" max="17" width="15.625" bestFit="1" customWidth="1"/>
    <col min="18" max="18" width="19.25" bestFit="1" customWidth="1"/>
    <col min="19" max="19" width="17.75" bestFit="1" customWidth="1"/>
    <col min="20" max="20" width="11.25" bestFit="1" customWidth="1"/>
    <col min="21" max="21" width="14" bestFit="1" customWidth="1"/>
    <col min="22" max="22" width="17" bestFit="1" customWidth="1"/>
    <col min="23" max="23" width="21" bestFit="1" customWidth="1"/>
    <col min="24" max="24" width="19.5" bestFit="1" customWidth="1"/>
    <col min="25" max="25" width="15.75" bestFit="1" customWidth="1"/>
    <col min="26" max="26" width="9.25" bestFit="1" customWidth="1"/>
    <col min="27" max="27" width="10.625" bestFit="1" customWidth="1"/>
    <col min="28" max="28" width="9" bestFit="1" customWidth="1"/>
    <col min="29" max="29" width="6.75" bestFit="1" customWidth="1"/>
    <col min="30" max="30" width="227.5" bestFit="1" customWidth="1"/>
  </cols>
  <sheetData>
    <row r="1" spans="1:30" ht="18">
      <c r="A1" s="28" t="s">
        <v>64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>
      <c r="A2" s="15"/>
    </row>
    <row r="3" spans="1:30" ht="60">
      <c r="A3" s="20" t="s">
        <v>65</v>
      </c>
      <c r="B3" s="8" t="s">
        <v>66</v>
      </c>
      <c r="C3" s="8" t="s">
        <v>67</v>
      </c>
      <c r="D3" s="8" t="s">
        <v>6</v>
      </c>
      <c r="E3" s="8" t="s">
        <v>68</v>
      </c>
      <c r="F3" s="8" t="s">
        <v>69</v>
      </c>
      <c r="G3" s="8" t="s">
        <v>70</v>
      </c>
      <c r="H3" s="8" t="s">
        <v>4</v>
      </c>
      <c r="I3" s="8" t="s">
        <v>71</v>
      </c>
      <c r="J3" s="8" t="s">
        <v>72</v>
      </c>
      <c r="K3" s="8" t="s">
        <v>73</v>
      </c>
      <c r="L3" s="8" t="s">
        <v>74</v>
      </c>
      <c r="M3" s="8" t="s">
        <v>54</v>
      </c>
      <c r="N3" s="8" t="s">
        <v>44</v>
      </c>
      <c r="O3" s="8" t="s">
        <v>75</v>
      </c>
      <c r="P3" s="8" t="s">
        <v>76</v>
      </c>
      <c r="Q3" s="8" t="s">
        <v>77</v>
      </c>
      <c r="R3" s="8" t="s">
        <v>78</v>
      </c>
      <c r="S3" s="8" t="s">
        <v>56</v>
      </c>
      <c r="T3" s="8" t="s">
        <v>23</v>
      </c>
      <c r="U3" s="8" t="s">
        <v>57</v>
      </c>
      <c r="V3" s="8" t="s">
        <v>79</v>
      </c>
      <c r="W3" s="8" t="s">
        <v>80</v>
      </c>
      <c r="X3" s="8" t="s">
        <v>55</v>
      </c>
      <c r="Y3" s="8" t="s">
        <v>20</v>
      </c>
      <c r="Z3" s="8" t="s">
        <v>50</v>
      </c>
      <c r="AA3" s="8" t="s">
        <v>81</v>
      </c>
      <c r="AB3" s="8" t="s">
        <v>82</v>
      </c>
      <c r="AC3" s="8" t="s">
        <v>83</v>
      </c>
      <c r="AD3" s="8" t="s">
        <v>84</v>
      </c>
    </row>
    <row r="4" spans="1:30">
      <c r="A4" s="15" t="s">
        <v>85</v>
      </c>
      <c r="B4" t="s">
        <v>86</v>
      </c>
      <c r="C4" t="s">
        <v>87</v>
      </c>
      <c r="D4" t="s">
        <v>7</v>
      </c>
      <c r="E4" s="4">
        <f>Parametros!$B$6</f>
        <v>46174</v>
      </c>
      <c r="F4" s="4">
        <f>Parametros!$B$7</f>
        <v>46198</v>
      </c>
      <c r="G4" s="4">
        <f>Parametros!$B$8</f>
        <v>46185</v>
      </c>
      <c r="H4" s="5">
        <f>Parametros!$B$4</f>
        <v>0.9</v>
      </c>
      <c r="I4">
        <f>J4</f>
        <v>0</v>
      </c>
      <c r="J4">
        <f>COUNTIFS(Target_Medicos!$B$2:$B$2801,$A4,Target_Medicos!$I$2:$I$2801,1)</f>
        <v>0</v>
      </c>
      <c r="K4">
        <f>CEILING(J4*H4,1)</f>
        <v>0</v>
      </c>
      <c r="L4">
        <v>70</v>
      </c>
      <c r="M4">
        <f>COUNTIFS(Fact_Visitas!$D$2:$D$2801,$A4,Fact_Visitas!$B$2:$B$2801,"&lt;="&amp;$G4,Fact_Visitas!$G$2:$G$2801,"Realizada")</f>
        <v>0</v>
      </c>
      <c r="N4">
        <f>Parametros!$B$9</f>
        <v>19</v>
      </c>
      <c r="O4">
        <f>IF($G4&lt;$E4,0,NETWORKDAYS($E4,MIN($G4,$F4),Parametros!$B$17:$B$25))</f>
        <v>10</v>
      </c>
      <c r="P4">
        <f>MAX(0,$N4-$O4)</f>
        <v>9</v>
      </c>
      <c r="Q4" s="9">
        <f>IFERROR($K4/$N4,0)</f>
        <v>0</v>
      </c>
      <c r="R4" s="9">
        <f>$Q4*$O4</f>
        <v>0</v>
      </c>
      <c r="S4" s="9">
        <f>MAX(0,$R4-$L4)</f>
        <v>0</v>
      </c>
      <c r="T4" s="9">
        <f>IF($P4&gt;0,$S4/$P4,0)</f>
        <v>0</v>
      </c>
      <c r="U4" s="9">
        <f>IF($P4&gt;0,CEILING($Q4+$T4,1),0)</f>
        <v>0</v>
      </c>
      <c r="V4" s="9">
        <f>IFERROR($I4/$N4,0)</f>
        <v>0</v>
      </c>
      <c r="W4" s="9">
        <f>$V4*$O4</f>
        <v>0</v>
      </c>
      <c r="X4" s="9">
        <f>MAX(0,$W4-$M4)</f>
        <v>0</v>
      </c>
      <c r="Y4" s="9">
        <f>IF($P4&gt;0,CEILING($V4+($X4/$P4),1),0)</f>
        <v>0</v>
      </c>
      <c r="Z4" s="10">
        <f>IFERROR($L4/$J4,0)</f>
        <v>0</v>
      </c>
      <c r="AA4" s="10">
        <f>MIN(1,IFERROR(($L4/$O4*$N4)/$J4,0))</f>
        <v>0</v>
      </c>
      <c r="AB4" t="str">
        <f>IF($AA4&gt;=$H4,"Verde",IF($AA4&gt;=0.85,"Amarillo","Rojo"))</f>
        <v>Rojo</v>
      </c>
      <c r="AC4" t="str">
        <f>IF(($M4/$O4*$N4)&gt;=$I4,"Verde",IF(($M4/$O4*$N4)&gt;=$I4*0.9,"Amarillo","Rojo"))</f>
        <v>Verde</v>
      </c>
      <c r="AD4" t="str">
        <f>"Su número de contactos diario requerido es "&amp;$Y4&amp;". Este número es la suma del objetivo diario base ("&amp;TEXT($V4,"0.0")&amp;") + los contactos dejados de hacer ("&amp;TEXT($X4,"0.0")&amp;") repartidos en "&amp;$P4&amp;" días hábiles restantes. Para cobertura debe ver "&amp;$U4&amp;" médicos diarios; aceleración requerida: +"&amp;CEILING($T4,1)&amp;" médicos adicionales/día."</f>
        <v>Su número de contactos diario requerido es 0. Este número es la suma del objetivo diario base (0.0) + los contactos dejados de hacer (0.0) repartidos en 9 días hábiles restantes. Para cobertura debe ver 0 médicos diarios; aceleración requerida: +0 médicos adicionales/día.</v>
      </c>
    </row>
    <row r="5" spans="1:30">
      <c r="A5" s="15" t="s">
        <v>88</v>
      </c>
      <c r="B5" t="s">
        <v>89</v>
      </c>
      <c r="C5" t="s">
        <v>87</v>
      </c>
      <c r="D5" t="s">
        <v>7</v>
      </c>
      <c r="E5" s="4">
        <f>Parametros!$B$6</f>
        <v>46174</v>
      </c>
      <c r="F5" s="4">
        <f>Parametros!$B$7</f>
        <v>46198</v>
      </c>
      <c r="G5" s="4">
        <f>Parametros!$B$8</f>
        <v>46185</v>
      </c>
      <c r="H5" s="5">
        <f>Parametros!$B$4</f>
        <v>0.9</v>
      </c>
      <c r="I5">
        <f>J5</f>
        <v>0</v>
      </c>
      <c r="J5">
        <f>COUNTIFS(Target_Medicos!$B$2:$B$2801,$A5,Target_Medicos!$I$2:$I$2801,1)</f>
        <v>0</v>
      </c>
      <c r="K5">
        <f>CEILING(J5*H5,1)</f>
        <v>0</v>
      </c>
      <c r="L5">
        <v>90</v>
      </c>
      <c r="M5">
        <f>COUNTIFS(Fact_Visitas!$D$2:$D$2801,$A5,Fact_Visitas!$B$2:$B$2801,"&lt;="&amp;$G5,Fact_Visitas!$G$2:$G$2801,"Realizada")</f>
        <v>0</v>
      </c>
      <c r="N5">
        <f>Parametros!$B$9</f>
        <v>19</v>
      </c>
      <c r="O5">
        <f>IF($G5&lt;$E5,0,NETWORKDAYS($E5,MIN($G5,$F5),Parametros!$B$17:$B$25))</f>
        <v>10</v>
      </c>
      <c r="P5">
        <f>MAX(0,$N5-$O5)</f>
        <v>9</v>
      </c>
      <c r="Q5" s="9">
        <f>IFERROR($K5/$N5,0)</f>
        <v>0</v>
      </c>
      <c r="R5" s="9">
        <f>$Q5*$O5</f>
        <v>0</v>
      </c>
      <c r="S5" s="9">
        <f>MAX(0,$R5-$L5)</f>
        <v>0</v>
      </c>
      <c r="T5" s="9">
        <f>IF($P5&gt;0,$S5/$P5,0)</f>
        <v>0</v>
      </c>
      <c r="U5" s="9">
        <f>IF($P5&gt;0,CEILING($Q5+$T5,1),0)</f>
        <v>0</v>
      </c>
      <c r="V5" s="9">
        <f>IFERROR($I5/$N5,0)</f>
        <v>0</v>
      </c>
      <c r="W5" s="9">
        <f>$V5*$O5</f>
        <v>0</v>
      </c>
      <c r="X5" s="9">
        <f>MAX(0,$W5-$M5)</f>
        <v>0</v>
      </c>
      <c r="Y5" s="9">
        <f>IF($P5&gt;0,CEILING($V5+($X5/$P5),1),0)</f>
        <v>0</v>
      </c>
      <c r="Z5" s="10">
        <f>IFERROR($L5/$J5,0)</f>
        <v>0</v>
      </c>
      <c r="AA5" s="10">
        <f>MIN(1,IFERROR(($L5/$O5*$N5)/$J5,0))</f>
        <v>0</v>
      </c>
      <c r="AB5" t="str">
        <f>IF($AA5&gt;=$H5,"Verde",IF($AA5&gt;=0.85,"Amarillo","Rojo"))</f>
        <v>Rojo</v>
      </c>
      <c r="AC5" t="str">
        <f>IF(($M5/$O5*$N5)&gt;=$I5,"Verde",IF(($M5/$O5*$N5)&gt;=$I5*0.9,"Amarillo","Rojo"))</f>
        <v>Verde</v>
      </c>
      <c r="AD5" t="str">
        <f>"Su número de contactos diario requerido es "&amp;$Y5&amp;". Este número es la suma del objetivo diario base ("&amp;TEXT($V5,"0.0")&amp;") + los contactos dejados de hacer ("&amp;TEXT($X5,"0.0")&amp;") repartidos en "&amp;$P5&amp;" días hábiles restantes. Para cobertura debe ver "&amp;$U5&amp;" médicos diarios; aceleración requerida: +"&amp;CEILING($T5,1)&amp;" médicos adicionales/día."</f>
        <v>Su número de contactos diario requerido es 0. Este número es la suma del objetivo diario base (0.0) + los contactos dejados de hacer (0.0) repartidos en 9 días hábiles restantes. Para cobertura debe ver 0 médicos diarios; aceleración requerida: +0 médicos adicionales/día.</v>
      </c>
    </row>
    <row r="6" spans="1:30">
      <c r="A6" s="15" t="s">
        <v>90</v>
      </c>
      <c r="B6" t="s">
        <v>91</v>
      </c>
      <c r="C6" t="s">
        <v>87</v>
      </c>
      <c r="D6" t="s">
        <v>7</v>
      </c>
      <c r="E6" s="4">
        <f>Parametros!$B$6</f>
        <v>46174</v>
      </c>
      <c r="F6" s="4">
        <f>Parametros!$B$7</f>
        <v>46198</v>
      </c>
      <c r="G6" s="4">
        <f>Parametros!$B$8</f>
        <v>46185</v>
      </c>
      <c r="H6" s="5">
        <f>Parametros!$B$4</f>
        <v>0.9</v>
      </c>
      <c r="I6">
        <f>J6</f>
        <v>0</v>
      </c>
      <c r="J6">
        <f>COUNTIFS(Target_Medicos!$B$2:$B$2801,$A6,Target_Medicos!$I$2:$I$2801,1)</f>
        <v>0</v>
      </c>
      <c r="K6">
        <f>CEILING(J6*H6,1)</f>
        <v>0</v>
      </c>
      <c r="L6">
        <v>85</v>
      </c>
      <c r="M6">
        <f>COUNTIFS(Fact_Visitas!$D$2:$D$2801,$A6,Fact_Visitas!$B$2:$B$2801,"&lt;="&amp;$G6,Fact_Visitas!$G$2:$G$2801,"Realizada")</f>
        <v>0</v>
      </c>
      <c r="N6">
        <f>Parametros!$B$9</f>
        <v>19</v>
      </c>
      <c r="O6">
        <f>IF($G6&lt;$E6,0,NETWORKDAYS($E6,MIN($G6,$F6),Parametros!$B$17:$B$25))</f>
        <v>10</v>
      </c>
      <c r="P6">
        <f>MAX(0,$N6-$O6)</f>
        <v>9</v>
      </c>
      <c r="Q6" s="9">
        <f>IFERROR($K6/$N6,0)</f>
        <v>0</v>
      </c>
      <c r="R6" s="9">
        <f>$Q6*$O6</f>
        <v>0</v>
      </c>
      <c r="S6" s="9">
        <f>MAX(0,$R6-$L6)</f>
        <v>0</v>
      </c>
      <c r="T6" s="9">
        <f>IF($P6&gt;0,$S6/$P6,0)</f>
        <v>0</v>
      </c>
      <c r="U6" s="9">
        <f>IF($P6&gt;0,CEILING($Q6+$T6,1),0)</f>
        <v>0</v>
      </c>
      <c r="V6" s="9">
        <f>IFERROR($I6/$N6,0)</f>
        <v>0</v>
      </c>
      <c r="W6" s="9">
        <f>$V6*$O6</f>
        <v>0</v>
      </c>
      <c r="X6" s="9">
        <f>MAX(0,$W6-$M6)</f>
        <v>0</v>
      </c>
      <c r="Y6" s="9">
        <f>IF($P6&gt;0,CEILING($V6+($X6/$P6),1),0)</f>
        <v>0</v>
      </c>
      <c r="Z6" s="10">
        <f>IFERROR($L6/$J6,0)</f>
        <v>0</v>
      </c>
      <c r="AA6" s="10">
        <f>MIN(1,IFERROR(($L6/$O6*$N6)/$J6,0))</f>
        <v>0</v>
      </c>
      <c r="AB6" t="str">
        <f>IF($AA6&gt;=$H6,"Verde",IF($AA6&gt;=0.85,"Amarillo","Rojo"))</f>
        <v>Rojo</v>
      </c>
      <c r="AC6" t="str">
        <f>IF(($M6/$O6*$N6)&gt;=$I6,"Verde",IF(($M6/$O6*$N6)&gt;=$I6*0.9,"Amarillo","Rojo"))</f>
        <v>Verde</v>
      </c>
      <c r="AD6" t="str">
        <f>"Su número de contactos diario requerido es "&amp;$Y6&amp;". Este número es la suma del objetivo diario base ("&amp;TEXT($V6,"0.0")&amp;") + los contactos dejados de hacer ("&amp;TEXT($X6,"0.0")&amp;") repartidos en "&amp;$P6&amp;" días hábiles restantes. Para cobertura debe ver "&amp;$U6&amp;" médicos diarios; aceleración requerida: +"&amp;CEILING($T6,1)&amp;" médicos adicionales/día."</f>
        <v>Su número de contactos diario requerido es 0. Este número es la suma del objetivo diario base (0.0) + los contactos dejados de hacer (0.0) repartidos en 9 días hábiles restantes. Para cobertura debe ver 0 médicos diarios; aceleración requerida: +0 médicos adicionales/día.</v>
      </c>
    </row>
    <row r="7" spans="1:30">
      <c r="A7" s="15"/>
    </row>
    <row r="8" spans="1:30">
      <c r="A8" s="15"/>
    </row>
    <row r="9" spans="1:30">
      <c r="A9" s="15"/>
    </row>
    <row r="10" spans="1:30">
      <c r="A10" s="15"/>
    </row>
    <row r="11" spans="1:30">
      <c r="A11" s="15"/>
    </row>
    <row r="12" spans="1:30">
      <c r="A12" s="15"/>
    </row>
    <row r="13" spans="1:30">
      <c r="A13" s="15"/>
    </row>
    <row r="14" spans="1:30">
      <c r="A14" s="15"/>
    </row>
    <row r="15" spans="1:30">
      <c r="A15" s="15"/>
    </row>
    <row r="16" spans="1:30">
      <c r="A16" s="15"/>
    </row>
    <row r="17" spans="1:1">
      <c r="A17" s="15"/>
    </row>
    <row r="18" spans="1:1">
      <c r="A18" s="15"/>
    </row>
    <row r="19" spans="1:1">
      <c r="A19" s="15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  <row r="25" spans="1:1">
      <c r="A25" s="15"/>
    </row>
    <row r="26" spans="1:1">
      <c r="A26" s="15"/>
    </row>
    <row r="27" spans="1:1">
      <c r="A27" s="15"/>
    </row>
    <row r="28" spans="1:1">
      <c r="A28" s="15"/>
    </row>
    <row r="29" spans="1:1">
      <c r="A29" s="15"/>
    </row>
    <row r="30" spans="1:1">
      <c r="A30" s="15"/>
    </row>
    <row r="31" spans="1:1">
      <c r="A31" s="15"/>
    </row>
    <row r="32" spans="1:1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</sheetData>
  <mergeCells count="1">
    <mergeCell ref="A1:A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01"/>
  <sheetViews>
    <sheetView workbookViewId="0">
      <selection sqref="A1:A2801"/>
    </sheetView>
  </sheetViews>
  <sheetFormatPr baseColWidth="10" defaultColWidth="19.375" defaultRowHeight="14.25"/>
  <cols>
    <col min="1" max="1" width="10" bestFit="1" customWidth="1"/>
    <col min="2" max="2" width="9.5" customWidth="1"/>
    <col min="3" max="3" width="16.875" customWidth="1"/>
    <col min="4" max="4" width="10.5" bestFit="1" customWidth="1"/>
    <col min="5" max="5" width="7.75" bestFit="1" customWidth="1"/>
    <col min="6" max="6" width="7.875" customWidth="1"/>
    <col min="7" max="7" width="21.75" customWidth="1"/>
    <col min="8" max="8" width="9" customWidth="1"/>
    <col min="9" max="9" width="15.75" bestFit="1" customWidth="1"/>
  </cols>
  <sheetData>
    <row r="1" spans="1:9" ht="15">
      <c r="A1" s="25" t="s">
        <v>92</v>
      </c>
      <c r="B1" s="26" t="s">
        <v>3217</v>
      </c>
      <c r="C1" s="26" t="s">
        <v>5763</v>
      </c>
      <c r="D1" s="26" t="s">
        <v>5795</v>
      </c>
      <c r="E1" s="26" t="s">
        <v>5794</v>
      </c>
      <c r="F1" s="26" t="s">
        <v>6</v>
      </c>
      <c r="G1" s="26" t="s">
        <v>5778</v>
      </c>
      <c r="H1" s="7" t="s">
        <v>93</v>
      </c>
      <c r="I1" s="7" t="s">
        <v>94</v>
      </c>
    </row>
    <row r="2" spans="1:9">
      <c r="A2" t="s">
        <v>417</v>
      </c>
      <c r="B2" s="27" t="s">
        <v>3218</v>
      </c>
      <c r="C2" s="27" t="s">
        <v>5764</v>
      </c>
      <c r="D2">
        <f>VLOOKUP(tblTargetMedicos[[#This Row],[codigo_id]],[1]DIM_REPRESENTANTE_MEDICO!$C:$F,4,0)</f>
        <v>12</v>
      </c>
      <c r="E2">
        <f>VLOOKUP(tblTargetMedicos[[#This Row],[codigo_id]],[1]DIM_REPRESENTANTE_MEDICO!$C:$F,3,0)</f>
        <v>6</v>
      </c>
      <c r="F2" s="27" t="s">
        <v>5796</v>
      </c>
      <c r="G2" s="27" t="s">
        <v>5779</v>
      </c>
      <c r="H2" s="27" t="s">
        <v>96</v>
      </c>
      <c r="I2">
        <v>1</v>
      </c>
    </row>
    <row r="3" spans="1:9">
      <c r="A3" t="s">
        <v>418</v>
      </c>
      <c r="B3" s="27" t="s">
        <v>3218</v>
      </c>
      <c r="C3" s="27" t="s">
        <v>5764</v>
      </c>
      <c r="D3">
        <f>VLOOKUP(tblTargetMedicos[[#This Row],[codigo_id]],[1]DIM_REPRESENTANTE_MEDICO!$C:$F,4,0)</f>
        <v>12</v>
      </c>
      <c r="E3">
        <f>VLOOKUP(tblTargetMedicos[[#This Row],[codigo_id]],[1]DIM_REPRESENTANTE_MEDICO!$C:$F,3,0)</f>
        <v>6</v>
      </c>
      <c r="F3" s="27" t="s">
        <v>5796</v>
      </c>
      <c r="G3" s="27" t="s">
        <v>5780</v>
      </c>
      <c r="H3" s="27" t="s">
        <v>96</v>
      </c>
      <c r="I3">
        <v>1</v>
      </c>
    </row>
    <row r="4" spans="1:9">
      <c r="A4" t="s">
        <v>419</v>
      </c>
      <c r="B4" s="27" t="s">
        <v>3218</v>
      </c>
      <c r="C4" s="27" t="s">
        <v>5764</v>
      </c>
      <c r="D4">
        <f>VLOOKUP(tblTargetMedicos[[#This Row],[codigo_id]],[1]DIM_REPRESENTANTE_MEDICO!$C:$F,4,0)</f>
        <v>12</v>
      </c>
      <c r="E4">
        <f>VLOOKUP(tblTargetMedicos[[#This Row],[codigo_id]],[1]DIM_REPRESENTANTE_MEDICO!$C:$F,3,0)</f>
        <v>6</v>
      </c>
      <c r="F4" s="27" t="s">
        <v>5796</v>
      </c>
      <c r="G4" s="27" t="s">
        <v>5781</v>
      </c>
      <c r="H4" s="27" t="s">
        <v>96</v>
      </c>
      <c r="I4">
        <v>1</v>
      </c>
    </row>
    <row r="5" spans="1:9">
      <c r="A5" t="s">
        <v>420</v>
      </c>
      <c r="B5" s="27" t="s">
        <v>3218</v>
      </c>
      <c r="C5" s="27" t="s">
        <v>5764</v>
      </c>
      <c r="D5">
        <f>VLOOKUP(tblTargetMedicos[[#This Row],[codigo_id]],[1]DIM_REPRESENTANTE_MEDICO!$C:$F,4,0)</f>
        <v>12</v>
      </c>
      <c r="E5">
        <f>VLOOKUP(tblTargetMedicos[[#This Row],[codigo_id]],[1]DIM_REPRESENTANTE_MEDICO!$C:$F,3,0)</f>
        <v>6</v>
      </c>
      <c r="F5" s="27" t="s">
        <v>5796</v>
      </c>
      <c r="G5" s="27" t="s">
        <v>5781</v>
      </c>
      <c r="H5" s="27" t="s">
        <v>96</v>
      </c>
      <c r="I5">
        <v>1</v>
      </c>
    </row>
    <row r="6" spans="1:9">
      <c r="A6" t="s">
        <v>421</v>
      </c>
      <c r="B6" s="27" t="s">
        <v>3218</v>
      </c>
      <c r="C6" s="27" t="s">
        <v>5764</v>
      </c>
      <c r="D6">
        <f>VLOOKUP(tblTargetMedicos[[#This Row],[codigo_id]],[1]DIM_REPRESENTANTE_MEDICO!$C:$F,4,0)</f>
        <v>12</v>
      </c>
      <c r="E6">
        <f>VLOOKUP(tblTargetMedicos[[#This Row],[codigo_id]],[1]DIM_REPRESENTANTE_MEDICO!$C:$F,3,0)</f>
        <v>6</v>
      </c>
      <c r="F6" s="27" t="s">
        <v>5796</v>
      </c>
      <c r="G6" s="27" t="s">
        <v>5779</v>
      </c>
      <c r="H6" s="27" t="s">
        <v>96</v>
      </c>
      <c r="I6">
        <v>1</v>
      </c>
    </row>
    <row r="7" spans="1:9">
      <c r="A7" t="s">
        <v>422</v>
      </c>
      <c r="B7" s="27" t="s">
        <v>3218</v>
      </c>
      <c r="C7" s="27" t="s">
        <v>5764</v>
      </c>
      <c r="D7">
        <f>VLOOKUP(tblTargetMedicos[[#This Row],[codigo_id]],[1]DIM_REPRESENTANTE_MEDICO!$C:$F,4,0)</f>
        <v>12</v>
      </c>
      <c r="E7">
        <f>VLOOKUP(tblTargetMedicos[[#This Row],[codigo_id]],[1]DIM_REPRESENTANTE_MEDICO!$C:$F,3,0)</f>
        <v>6</v>
      </c>
      <c r="F7" s="27" t="s">
        <v>5796</v>
      </c>
      <c r="G7" s="27" t="s">
        <v>5781</v>
      </c>
      <c r="H7" s="27" t="s">
        <v>96</v>
      </c>
      <c r="I7">
        <v>1</v>
      </c>
    </row>
    <row r="8" spans="1:9">
      <c r="A8" t="s">
        <v>423</v>
      </c>
      <c r="B8" s="27" t="s">
        <v>3218</v>
      </c>
      <c r="C8" s="27" t="s">
        <v>5764</v>
      </c>
      <c r="D8">
        <f>VLOOKUP(tblTargetMedicos[[#This Row],[codigo_id]],[1]DIM_REPRESENTANTE_MEDICO!$C:$F,4,0)</f>
        <v>12</v>
      </c>
      <c r="E8">
        <f>VLOOKUP(tblTargetMedicos[[#This Row],[codigo_id]],[1]DIM_REPRESENTANTE_MEDICO!$C:$F,3,0)</f>
        <v>6</v>
      </c>
      <c r="F8" s="27" t="s">
        <v>5796</v>
      </c>
      <c r="G8" s="27" t="s">
        <v>5782</v>
      </c>
      <c r="H8" s="27" t="s">
        <v>96</v>
      </c>
      <c r="I8">
        <v>1</v>
      </c>
    </row>
    <row r="9" spans="1:9">
      <c r="A9" t="s">
        <v>424</v>
      </c>
      <c r="B9" s="27" t="s">
        <v>3218</v>
      </c>
      <c r="C9" s="27" t="s">
        <v>5764</v>
      </c>
      <c r="D9">
        <f>VLOOKUP(tblTargetMedicos[[#This Row],[codigo_id]],[1]DIM_REPRESENTANTE_MEDICO!$C:$F,4,0)</f>
        <v>12</v>
      </c>
      <c r="E9">
        <f>VLOOKUP(tblTargetMedicos[[#This Row],[codigo_id]],[1]DIM_REPRESENTANTE_MEDICO!$C:$F,3,0)</f>
        <v>6</v>
      </c>
      <c r="F9" s="27" t="s">
        <v>5796</v>
      </c>
      <c r="G9" s="27" t="s">
        <v>5781</v>
      </c>
      <c r="H9" s="27" t="s">
        <v>96</v>
      </c>
      <c r="I9">
        <v>1</v>
      </c>
    </row>
    <row r="10" spans="1:9">
      <c r="A10" t="s">
        <v>425</v>
      </c>
      <c r="B10" s="27" t="s">
        <v>3218</v>
      </c>
      <c r="C10" s="27" t="s">
        <v>5764</v>
      </c>
      <c r="D10">
        <f>VLOOKUP(tblTargetMedicos[[#This Row],[codigo_id]],[1]DIM_REPRESENTANTE_MEDICO!$C:$F,4,0)</f>
        <v>12</v>
      </c>
      <c r="E10">
        <f>VLOOKUP(tblTargetMedicos[[#This Row],[codigo_id]],[1]DIM_REPRESENTANTE_MEDICO!$C:$F,3,0)</f>
        <v>6</v>
      </c>
      <c r="F10" s="27" t="s">
        <v>5796</v>
      </c>
      <c r="G10" s="27" t="s">
        <v>5780</v>
      </c>
      <c r="H10" s="27" t="s">
        <v>96</v>
      </c>
      <c r="I10">
        <v>1</v>
      </c>
    </row>
    <row r="11" spans="1:9">
      <c r="A11" t="s">
        <v>426</v>
      </c>
      <c r="B11" s="27" t="s">
        <v>3218</v>
      </c>
      <c r="C11" s="27" t="s">
        <v>5764</v>
      </c>
      <c r="D11">
        <f>VLOOKUP(tblTargetMedicos[[#This Row],[codigo_id]],[1]DIM_REPRESENTANTE_MEDICO!$C:$F,4,0)</f>
        <v>12</v>
      </c>
      <c r="E11">
        <f>VLOOKUP(tblTargetMedicos[[#This Row],[codigo_id]],[1]DIM_REPRESENTANTE_MEDICO!$C:$F,3,0)</f>
        <v>6</v>
      </c>
      <c r="F11" s="27" t="s">
        <v>5796</v>
      </c>
      <c r="G11" s="27" t="s">
        <v>5781</v>
      </c>
      <c r="H11" s="27" t="s">
        <v>96</v>
      </c>
      <c r="I11">
        <v>1</v>
      </c>
    </row>
    <row r="12" spans="1:9">
      <c r="A12" t="s">
        <v>427</v>
      </c>
      <c r="B12" s="27" t="s">
        <v>3218</v>
      </c>
      <c r="C12" s="27" t="s">
        <v>5764</v>
      </c>
      <c r="D12">
        <f>VLOOKUP(tblTargetMedicos[[#This Row],[codigo_id]],[1]DIM_REPRESENTANTE_MEDICO!$C:$F,4,0)</f>
        <v>12</v>
      </c>
      <c r="E12">
        <f>VLOOKUP(tblTargetMedicos[[#This Row],[codigo_id]],[1]DIM_REPRESENTANTE_MEDICO!$C:$F,3,0)</f>
        <v>6</v>
      </c>
      <c r="F12" s="27" t="s">
        <v>5796</v>
      </c>
      <c r="G12" s="27" t="s">
        <v>5783</v>
      </c>
      <c r="H12" s="27" t="s">
        <v>96</v>
      </c>
      <c r="I12">
        <v>1</v>
      </c>
    </row>
    <row r="13" spans="1:9">
      <c r="A13" t="s">
        <v>428</v>
      </c>
      <c r="B13" s="27" t="s">
        <v>3218</v>
      </c>
      <c r="C13" s="27" t="s">
        <v>5764</v>
      </c>
      <c r="D13">
        <f>VLOOKUP(tblTargetMedicos[[#This Row],[codigo_id]],[1]DIM_REPRESENTANTE_MEDICO!$C:$F,4,0)</f>
        <v>12</v>
      </c>
      <c r="E13">
        <f>VLOOKUP(tblTargetMedicos[[#This Row],[codigo_id]],[1]DIM_REPRESENTANTE_MEDICO!$C:$F,3,0)</f>
        <v>6</v>
      </c>
      <c r="F13" s="27" t="s">
        <v>5796</v>
      </c>
      <c r="G13" s="27" t="s">
        <v>5781</v>
      </c>
      <c r="H13" s="27" t="s">
        <v>96</v>
      </c>
      <c r="I13">
        <v>1</v>
      </c>
    </row>
    <row r="14" spans="1:9">
      <c r="A14" t="s">
        <v>429</v>
      </c>
      <c r="B14" s="27" t="s">
        <v>3218</v>
      </c>
      <c r="C14" s="27" t="s">
        <v>5764</v>
      </c>
      <c r="D14">
        <f>VLOOKUP(tblTargetMedicos[[#This Row],[codigo_id]],[1]DIM_REPRESENTANTE_MEDICO!$C:$F,4,0)</f>
        <v>12</v>
      </c>
      <c r="E14">
        <f>VLOOKUP(tblTargetMedicos[[#This Row],[codigo_id]],[1]DIM_REPRESENTANTE_MEDICO!$C:$F,3,0)</f>
        <v>6</v>
      </c>
      <c r="F14" s="27" t="s">
        <v>5796</v>
      </c>
      <c r="G14" s="27" t="s">
        <v>5783</v>
      </c>
      <c r="H14" s="27" t="s">
        <v>96</v>
      </c>
      <c r="I14">
        <v>1</v>
      </c>
    </row>
    <row r="15" spans="1:9">
      <c r="A15" t="s">
        <v>430</v>
      </c>
      <c r="B15" s="27" t="s">
        <v>3218</v>
      </c>
      <c r="C15" s="27" t="s">
        <v>5764</v>
      </c>
      <c r="D15">
        <f>VLOOKUP(tblTargetMedicos[[#This Row],[codigo_id]],[1]DIM_REPRESENTANTE_MEDICO!$C:$F,4,0)</f>
        <v>12</v>
      </c>
      <c r="E15">
        <f>VLOOKUP(tblTargetMedicos[[#This Row],[codigo_id]],[1]DIM_REPRESENTANTE_MEDICO!$C:$F,3,0)</f>
        <v>6</v>
      </c>
      <c r="F15" s="27" t="s">
        <v>5796</v>
      </c>
      <c r="G15" s="27" t="s">
        <v>5782</v>
      </c>
      <c r="H15" s="27" t="s">
        <v>96</v>
      </c>
      <c r="I15">
        <v>1</v>
      </c>
    </row>
    <row r="16" spans="1:9">
      <c r="A16" t="s">
        <v>431</v>
      </c>
      <c r="B16" s="27" t="s">
        <v>3218</v>
      </c>
      <c r="C16" s="27" t="s">
        <v>5764</v>
      </c>
      <c r="D16">
        <f>VLOOKUP(tblTargetMedicos[[#This Row],[codigo_id]],[1]DIM_REPRESENTANTE_MEDICO!$C:$F,4,0)</f>
        <v>12</v>
      </c>
      <c r="E16">
        <f>VLOOKUP(tblTargetMedicos[[#This Row],[codigo_id]],[1]DIM_REPRESENTANTE_MEDICO!$C:$F,3,0)</f>
        <v>6</v>
      </c>
      <c r="F16" s="27" t="s">
        <v>5796</v>
      </c>
      <c r="G16" s="27" t="s">
        <v>5779</v>
      </c>
      <c r="H16" s="27" t="s">
        <v>97</v>
      </c>
      <c r="I16">
        <v>1</v>
      </c>
    </row>
    <row r="17" spans="1:9">
      <c r="A17" t="s">
        <v>432</v>
      </c>
      <c r="B17" s="27" t="s">
        <v>3218</v>
      </c>
      <c r="C17" s="27" t="s">
        <v>5764</v>
      </c>
      <c r="D17">
        <f>VLOOKUP(tblTargetMedicos[[#This Row],[codigo_id]],[1]DIM_REPRESENTANTE_MEDICO!$C:$F,4,0)</f>
        <v>12</v>
      </c>
      <c r="E17">
        <f>VLOOKUP(tblTargetMedicos[[#This Row],[codigo_id]],[1]DIM_REPRESENTANTE_MEDICO!$C:$F,3,0)</f>
        <v>6</v>
      </c>
      <c r="F17" s="27" t="s">
        <v>5796</v>
      </c>
      <c r="G17" s="27" t="s">
        <v>5781</v>
      </c>
      <c r="H17" s="27" t="s">
        <v>96</v>
      </c>
      <c r="I17">
        <v>1</v>
      </c>
    </row>
    <row r="18" spans="1:9">
      <c r="A18" t="s">
        <v>433</v>
      </c>
      <c r="B18" s="27" t="s">
        <v>3218</v>
      </c>
      <c r="C18" s="27" t="s">
        <v>5764</v>
      </c>
      <c r="D18">
        <f>VLOOKUP(tblTargetMedicos[[#This Row],[codigo_id]],[1]DIM_REPRESENTANTE_MEDICO!$C:$F,4,0)</f>
        <v>12</v>
      </c>
      <c r="E18">
        <f>VLOOKUP(tblTargetMedicos[[#This Row],[codigo_id]],[1]DIM_REPRESENTANTE_MEDICO!$C:$F,3,0)</f>
        <v>6</v>
      </c>
      <c r="F18" s="27" t="s">
        <v>5796</v>
      </c>
      <c r="G18" s="27" t="s">
        <v>5781</v>
      </c>
      <c r="H18" s="27" t="s">
        <v>96</v>
      </c>
      <c r="I18">
        <v>1</v>
      </c>
    </row>
    <row r="19" spans="1:9">
      <c r="A19" t="s">
        <v>434</v>
      </c>
      <c r="B19" s="27" t="s">
        <v>3218</v>
      </c>
      <c r="C19" s="27" t="s">
        <v>5764</v>
      </c>
      <c r="D19">
        <f>VLOOKUP(tblTargetMedicos[[#This Row],[codigo_id]],[1]DIM_REPRESENTANTE_MEDICO!$C:$F,4,0)</f>
        <v>12</v>
      </c>
      <c r="E19">
        <f>VLOOKUP(tblTargetMedicos[[#This Row],[codigo_id]],[1]DIM_REPRESENTANTE_MEDICO!$C:$F,3,0)</f>
        <v>6</v>
      </c>
      <c r="F19" s="27" t="s">
        <v>5796</v>
      </c>
      <c r="G19" s="27" t="s">
        <v>5783</v>
      </c>
      <c r="H19" s="27" t="s">
        <v>96</v>
      </c>
      <c r="I19">
        <v>1</v>
      </c>
    </row>
    <row r="20" spans="1:9">
      <c r="A20" t="s">
        <v>435</v>
      </c>
      <c r="B20" s="27" t="s">
        <v>3218</v>
      </c>
      <c r="C20" s="27" t="s">
        <v>5764</v>
      </c>
      <c r="D20">
        <f>VLOOKUP(tblTargetMedicos[[#This Row],[codigo_id]],[1]DIM_REPRESENTANTE_MEDICO!$C:$F,4,0)</f>
        <v>12</v>
      </c>
      <c r="E20">
        <f>VLOOKUP(tblTargetMedicos[[#This Row],[codigo_id]],[1]DIM_REPRESENTANTE_MEDICO!$C:$F,3,0)</f>
        <v>6</v>
      </c>
      <c r="F20" s="27" t="s">
        <v>5796</v>
      </c>
      <c r="G20" s="27" t="s">
        <v>5784</v>
      </c>
      <c r="H20" s="27" t="s">
        <v>96</v>
      </c>
      <c r="I20">
        <v>1</v>
      </c>
    </row>
    <row r="21" spans="1:9">
      <c r="A21" t="s">
        <v>436</v>
      </c>
      <c r="B21" s="27" t="s">
        <v>3218</v>
      </c>
      <c r="C21" s="27" t="s">
        <v>5764</v>
      </c>
      <c r="D21">
        <f>VLOOKUP(tblTargetMedicos[[#This Row],[codigo_id]],[1]DIM_REPRESENTANTE_MEDICO!$C:$F,4,0)</f>
        <v>12</v>
      </c>
      <c r="E21">
        <f>VLOOKUP(tblTargetMedicos[[#This Row],[codigo_id]],[1]DIM_REPRESENTANTE_MEDICO!$C:$F,3,0)</f>
        <v>6</v>
      </c>
      <c r="F21" s="27" t="s">
        <v>5796</v>
      </c>
      <c r="G21" s="27" t="s">
        <v>5785</v>
      </c>
      <c r="H21" s="27" t="s">
        <v>96</v>
      </c>
      <c r="I21">
        <v>1</v>
      </c>
    </row>
    <row r="22" spans="1:9">
      <c r="A22" t="s">
        <v>437</v>
      </c>
      <c r="B22" s="27" t="s">
        <v>3218</v>
      </c>
      <c r="C22" s="27" t="s">
        <v>5764</v>
      </c>
      <c r="D22">
        <f>VLOOKUP(tblTargetMedicos[[#This Row],[codigo_id]],[1]DIM_REPRESENTANTE_MEDICO!$C:$F,4,0)</f>
        <v>12</v>
      </c>
      <c r="E22">
        <f>VLOOKUP(tblTargetMedicos[[#This Row],[codigo_id]],[1]DIM_REPRESENTANTE_MEDICO!$C:$F,3,0)</f>
        <v>6</v>
      </c>
      <c r="F22" s="27" t="s">
        <v>5796</v>
      </c>
      <c r="G22" s="27" t="s">
        <v>5779</v>
      </c>
      <c r="H22" s="27" t="s">
        <v>96</v>
      </c>
      <c r="I22">
        <v>1</v>
      </c>
    </row>
    <row r="23" spans="1:9">
      <c r="A23" t="s">
        <v>438</v>
      </c>
      <c r="B23" s="27" t="s">
        <v>3218</v>
      </c>
      <c r="C23" s="27" t="s">
        <v>5764</v>
      </c>
      <c r="D23">
        <f>VLOOKUP(tblTargetMedicos[[#This Row],[codigo_id]],[1]DIM_REPRESENTANTE_MEDICO!$C:$F,4,0)</f>
        <v>12</v>
      </c>
      <c r="E23">
        <f>VLOOKUP(tblTargetMedicos[[#This Row],[codigo_id]],[1]DIM_REPRESENTANTE_MEDICO!$C:$F,3,0)</f>
        <v>6</v>
      </c>
      <c r="F23" s="27" t="s">
        <v>5796</v>
      </c>
      <c r="G23" s="27" t="s">
        <v>5786</v>
      </c>
      <c r="H23" s="27" t="s">
        <v>96</v>
      </c>
      <c r="I23">
        <v>1</v>
      </c>
    </row>
    <row r="24" spans="1:9">
      <c r="A24" t="s">
        <v>439</v>
      </c>
      <c r="B24" s="27" t="s">
        <v>3218</v>
      </c>
      <c r="C24" s="27" t="s">
        <v>5764</v>
      </c>
      <c r="D24">
        <f>VLOOKUP(tblTargetMedicos[[#This Row],[codigo_id]],[1]DIM_REPRESENTANTE_MEDICO!$C:$F,4,0)</f>
        <v>12</v>
      </c>
      <c r="E24">
        <f>VLOOKUP(tblTargetMedicos[[#This Row],[codigo_id]],[1]DIM_REPRESENTANTE_MEDICO!$C:$F,3,0)</f>
        <v>6</v>
      </c>
      <c r="F24" s="27" t="s">
        <v>5796</v>
      </c>
      <c r="G24" s="27" t="s">
        <v>5785</v>
      </c>
      <c r="H24" s="27" t="s">
        <v>96</v>
      </c>
      <c r="I24">
        <v>1</v>
      </c>
    </row>
    <row r="25" spans="1:9">
      <c r="A25" t="s">
        <v>440</v>
      </c>
      <c r="B25" s="27" t="s">
        <v>3218</v>
      </c>
      <c r="C25" s="27" t="s">
        <v>5764</v>
      </c>
      <c r="D25">
        <f>VLOOKUP(tblTargetMedicos[[#This Row],[codigo_id]],[1]DIM_REPRESENTANTE_MEDICO!$C:$F,4,0)</f>
        <v>12</v>
      </c>
      <c r="E25">
        <f>VLOOKUP(tblTargetMedicos[[#This Row],[codigo_id]],[1]DIM_REPRESENTANTE_MEDICO!$C:$F,3,0)</f>
        <v>6</v>
      </c>
      <c r="F25" s="27" t="s">
        <v>5796</v>
      </c>
      <c r="G25" s="27" t="s">
        <v>5787</v>
      </c>
      <c r="H25" s="27" t="s">
        <v>96</v>
      </c>
      <c r="I25">
        <v>1</v>
      </c>
    </row>
    <row r="26" spans="1:9">
      <c r="A26" t="s">
        <v>441</v>
      </c>
      <c r="B26" s="27" t="s">
        <v>3218</v>
      </c>
      <c r="C26" s="27" t="s">
        <v>5764</v>
      </c>
      <c r="D26">
        <f>VLOOKUP(tblTargetMedicos[[#This Row],[codigo_id]],[1]DIM_REPRESENTANTE_MEDICO!$C:$F,4,0)</f>
        <v>12</v>
      </c>
      <c r="E26">
        <f>VLOOKUP(tblTargetMedicos[[#This Row],[codigo_id]],[1]DIM_REPRESENTANTE_MEDICO!$C:$F,3,0)</f>
        <v>6</v>
      </c>
      <c r="F26" s="27" t="s">
        <v>5796</v>
      </c>
      <c r="G26" s="27" t="s">
        <v>5779</v>
      </c>
      <c r="H26" s="27" t="s">
        <v>96</v>
      </c>
      <c r="I26">
        <v>1</v>
      </c>
    </row>
    <row r="27" spans="1:9">
      <c r="A27" t="s">
        <v>442</v>
      </c>
      <c r="B27" s="27" t="s">
        <v>3218</v>
      </c>
      <c r="C27" s="27" t="s">
        <v>5764</v>
      </c>
      <c r="D27">
        <f>VLOOKUP(tblTargetMedicos[[#This Row],[codigo_id]],[1]DIM_REPRESENTANTE_MEDICO!$C:$F,4,0)</f>
        <v>12</v>
      </c>
      <c r="E27">
        <f>VLOOKUP(tblTargetMedicos[[#This Row],[codigo_id]],[1]DIM_REPRESENTANTE_MEDICO!$C:$F,3,0)</f>
        <v>6</v>
      </c>
      <c r="F27" s="27" t="s">
        <v>5796</v>
      </c>
      <c r="G27" s="27" t="s">
        <v>5784</v>
      </c>
      <c r="H27" s="27" t="s">
        <v>96</v>
      </c>
      <c r="I27">
        <v>1</v>
      </c>
    </row>
    <row r="28" spans="1:9">
      <c r="A28" t="s">
        <v>443</v>
      </c>
      <c r="B28" s="27" t="s">
        <v>3218</v>
      </c>
      <c r="C28" s="27" t="s">
        <v>5764</v>
      </c>
      <c r="D28">
        <f>VLOOKUP(tblTargetMedicos[[#This Row],[codigo_id]],[1]DIM_REPRESENTANTE_MEDICO!$C:$F,4,0)</f>
        <v>12</v>
      </c>
      <c r="E28">
        <f>VLOOKUP(tblTargetMedicos[[#This Row],[codigo_id]],[1]DIM_REPRESENTANTE_MEDICO!$C:$F,3,0)</f>
        <v>6</v>
      </c>
      <c r="F28" s="27" t="s">
        <v>5796</v>
      </c>
      <c r="G28" s="27" t="s">
        <v>5784</v>
      </c>
      <c r="H28" s="27" t="s">
        <v>96</v>
      </c>
      <c r="I28">
        <v>1</v>
      </c>
    </row>
    <row r="29" spans="1:9">
      <c r="A29" t="s">
        <v>444</v>
      </c>
      <c r="B29" s="27" t="s">
        <v>3218</v>
      </c>
      <c r="C29" s="27" t="s">
        <v>5764</v>
      </c>
      <c r="D29">
        <f>VLOOKUP(tblTargetMedicos[[#This Row],[codigo_id]],[1]DIM_REPRESENTANTE_MEDICO!$C:$F,4,0)</f>
        <v>12</v>
      </c>
      <c r="E29">
        <f>VLOOKUP(tblTargetMedicos[[#This Row],[codigo_id]],[1]DIM_REPRESENTANTE_MEDICO!$C:$F,3,0)</f>
        <v>6</v>
      </c>
      <c r="F29" s="27" t="s">
        <v>5796</v>
      </c>
      <c r="G29" s="27" t="s">
        <v>5779</v>
      </c>
      <c r="H29" s="27" t="s">
        <v>96</v>
      </c>
      <c r="I29">
        <v>1</v>
      </c>
    </row>
    <row r="30" spans="1:9">
      <c r="A30" t="s">
        <v>445</v>
      </c>
      <c r="B30" s="27" t="s">
        <v>3218</v>
      </c>
      <c r="C30" s="27" t="s">
        <v>5764</v>
      </c>
      <c r="D30">
        <f>VLOOKUP(tblTargetMedicos[[#This Row],[codigo_id]],[1]DIM_REPRESENTANTE_MEDICO!$C:$F,4,0)</f>
        <v>12</v>
      </c>
      <c r="E30">
        <f>VLOOKUP(tblTargetMedicos[[#This Row],[codigo_id]],[1]DIM_REPRESENTANTE_MEDICO!$C:$F,3,0)</f>
        <v>6</v>
      </c>
      <c r="F30" s="27" t="s">
        <v>5796</v>
      </c>
      <c r="G30" s="27" t="s">
        <v>5785</v>
      </c>
      <c r="H30" s="27" t="s">
        <v>96</v>
      </c>
      <c r="I30">
        <v>1</v>
      </c>
    </row>
    <row r="31" spans="1:9">
      <c r="A31" t="s">
        <v>446</v>
      </c>
      <c r="B31" s="27" t="s">
        <v>3218</v>
      </c>
      <c r="C31" s="27" t="s">
        <v>5764</v>
      </c>
      <c r="D31">
        <f>VLOOKUP(tblTargetMedicos[[#This Row],[codigo_id]],[1]DIM_REPRESENTANTE_MEDICO!$C:$F,4,0)</f>
        <v>12</v>
      </c>
      <c r="E31">
        <f>VLOOKUP(tblTargetMedicos[[#This Row],[codigo_id]],[1]DIM_REPRESENTANTE_MEDICO!$C:$F,3,0)</f>
        <v>6</v>
      </c>
      <c r="F31" s="27" t="s">
        <v>5796</v>
      </c>
      <c r="G31" s="27" t="s">
        <v>5783</v>
      </c>
      <c r="H31" s="27" t="s">
        <v>96</v>
      </c>
      <c r="I31">
        <v>1</v>
      </c>
    </row>
    <row r="32" spans="1:9">
      <c r="A32" t="s">
        <v>447</v>
      </c>
      <c r="B32" s="27" t="s">
        <v>3218</v>
      </c>
      <c r="C32" s="27" t="s">
        <v>5764</v>
      </c>
      <c r="D32">
        <f>VLOOKUP(tblTargetMedicos[[#This Row],[codigo_id]],[1]DIM_REPRESENTANTE_MEDICO!$C:$F,4,0)</f>
        <v>12</v>
      </c>
      <c r="E32">
        <f>VLOOKUP(tblTargetMedicos[[#This Row],[codigo_id]],[1]DIM_REPRESENTANTE_MEDICO!$C:$F,3,0)</f>
        <v>6</v>
      </c>
      <c r="F32" s="27" t="s">
        <v>5796</v>
      </c>
      <c r="G32" s="27" t="s">
        <v>5786</v>
      </c>
      <c r="H32" s="27" t="s">
        <v>96</v>
      </c>
      <c r="I32">
        <v>1</v>
      </c>
    </row>
    <row r="33" spans="1:9">
      <c r="A33" t="s">
        <v>448</v>
      </c>
      <c r="B33" s="27" t="s">
        <v>3218</v>
      </c>
      <c r="C33" s="27" t="s">
        <v>5764</v>
      </c>
      <c r="D33">
        <f>VLOOKUP(tblTargetMedicos[[#This Row],[codigo_id]],[1]DIM_REPRESENTANTE_MEDICO!$C:$F,4,0)</f>
        <v>12</v>
      </c>
      <c r="E33">
        <f>VLOOKUP(tblTargetMedicos[[#This Row],[codigo_id]],[1]DIM_REPRESENTANTE_MEDICO!$C:$F,3,0)</f>
        <v>6</v>
      </c>
      <c r="F33" s="27" t="s">
        <v>5796</v>
      </c>
      <c r="G33" s="27" t="s">
        <v>5787</v>
      </c>
      <c r="H33" s="27" t="s">
        <v>97</v>
      </c>
      <c r="I33">
        <v>1</v>
      </c>
    </row>
    <row r="34" spans="1:9">
      <c r="A34" t="s">
        <v>449</v>
      </c>
      <c r="B34" s="27" t="s">
        <v>3218</v>
      </c>
      <c r="C34" s="27" t="s">
        <v>5764</v>
      </c>
      <c r="D34">
        <f>VLOOKUP(tblTargetMedicos[[#This Row],[codigo_id]],[1]DIM_REPRESENTANTE_MEDICO!$C:$F,4,0)</f>
        <v>12</v>
      </c>
      <c r="E34">
        <f>VLOOKUP(tblTargetMedicos[[#This Row],[codigo_id]],[1]DIM_REPRESENTANTE_MEDICO!$C:$F,3,0)</f>
        <v>6</v>
      </c>
      <c r="F34" s="27" t="s">
        <v>5796</v>
      </c>
      <c r="G34" s="27" t="s">
        <v>5784</v>
      </c>
      <c r="H34" s="27" t="s">
        <v>96</v>
      </c>
      <c r="I34">
        <v>1</v>
      </c>
    </row>
    <row r="35" spans="1:9">
      <c r="A35" t="s">
        <v>450</v>
      </c>
      <c r="B35" s="27" t="s">
        <v>3218</v>
      </c>
      <c r="C35" s="27" t="s">
        <v>5764</v>
      </c>
      <c r="D35">
        <f>VLOOKUP(tblTargetMedicos[[#This Row],[codigo_id]],[1]DIM_REPRESENTANTE_MEDICO!$C:$F,4,0)</f>
        <v>12</v>
      </c>
      <c r="E35">
        <f>VLOOKUP(tblTargetMedicos[[#This Row],[codigo_id]],[1]DIM_REPRESENTANTE_MEDICO!$C:$F,3,0)</f>
        <v>6</v>
      </c>
      <c r="F35" s="27" t="s">
        <v>5796</v>
      </c>
      <c r="G35" s="27" t="s">
        <v>5786</v>
      </c>
      <c r="H35" s="27" t="s">
        <v>96</v>
      </c>
      <c r="I35">
        <v>1</v>
      </c>
    </row>
    <row r="36" spans="1:9">
      <c r="A36" t="s">
        <v>451</v>
      </c>
      <c r="B36" s="27" t="s">
        <v>3218</v>
      </c>
      <c r="C36" s="27" t="s">
        <v>5764</v>
      </c>
      <c r="D36">
        <f>VLOOKUP(tblTargetMedicos[[#This Row],[codigo_id]],[1]DIM_REPRESENTANTE_MEDICO!$C:$F,4,0)</f>
        <v>12</v>
      </c>
      <c r="E36">
        <f>VLOOKUP(tblTargetMedicos[[#This Row],[codigo_id]],[1]DIM_REPRESENTANTE_MEDICO!$C:$F,3,0)</f>
        <v>6</v>
      </c>
      <c r="F36" s="27" t="s">
        <v>5796</v>
      </c>
      <c r="G36" s="27" t="s">
        <v>5786</v>
      </c>
      <c r="H36" s="27" t="s">
        <v>96</v>
      </c>
      <c r="I36">
        <v>1</v>
      </c>
    </row>
    <row r="37" spans="1:9">
      <c r="A37" t="s">
        <v>452</v>
      </c>
      <c r="B37" s="27" t="s">
        <v>3218</v>
      </c>
      <c r="C37" s="27" t="s">
        <v>5764</v>
      </c>
      <c r="D37">
        <f>VLOOKUP(tblTargetMedicos[[#This Row],[codigo_id]],[1]DIM_REPRESENTANTE_MEDICO!$C:$F,4,0)</f>
        <v>12</v>
      </c>
      <c r="E37">
        <f>VLOOKUP(tblTargetMedicos[[#This Row],[codigo_id]],[1]DIM_REPRESENTANTE_MEDICO!$C:$F,3,0)</f>
        <v>6</v>
      </c>
      <c r="F37" s="27" t="s">
        <v>5796</v>
      </c>
      <c r="G37" s="27" t="s">
        <v>5785</v>
      </c>
      <c r="H37" s="27" t="s">
        <v>96</v>
      </c>
      <c r="I37">
        <v>1</v>
      </c>
    </row>
    <row r="38" spans="1:9">
      <c r="A38" t="s">
        <v>453</v>
      </c>
      <c r="B38" s="27" t="s">
        <v>3218</v>
      </c>
      <c r="C38" s="27" t="s">
        <v>5764</v>
      </c>
      <c r="D38">
        <f>VLOOKUP(tblTargetMedicos[[#This Row],[codigo_id]],[1]DIM_REPRESENTANTE_MEDICO!$C:$F,4,0)</f>
        <v>12</v>
      </c>
      <c r="E38">
        <f>VLOOKUP(tblTargetMedicos[[#This Row],[codigo_id]],[1]DIM_REPRESENTANTE_MEDICO!$C:$F,3,0)</f>
        <v>6</v>
      </c>
      <c r="F38" s="27" t="s">
        <v>5796</v>
      </c>
      <c r="G38" s="27" t="s">
        <v>5785</v>
      </c>
      <c r="H38" s="27" t="s">
        <v>96</v>
      </c>
      <c r="I38">
        <v>1</v>
      </c>
    </row>
    <row r="39" spans="1:9">
      <c r="A39" t="s">
        <v>454</v>
      </c>
      <c r="B39" s="27" t="s">
        <v>3218</v>
      </c>
      <c r="C39" s="27" t="s">
        <v>5764</v>
      </c>
      <c r="D39">
        <f>VLOOKUP(tblTargetMedicos[[#This Row],[codigo_id]],[1]DIM_REPRESENTANTE_MEDICO!$C:$F,4,0)</f>
        <v>12</v>
      </c>
      <c r="E39">
        <f>VLOOKUP(tblTargetMedicos[[#This Row],[codigo_id]],[1]DIM_REPRESENTANTE_MEDICO!$C:$F,3,0)</f>
        <v>6</v>
      </c>
      <c r="F39" s="27" t="s">
        <v>5796</v>
      </c>
      <c r="G39" s="27" t="s">
        <v>5783</v>
      </c>
      <c r="H39" s="27" t="s">
        <v>96</v>
      </c>
      <c r="I39">
        <v>1</v>
      </c>
    </row>
    <row r="40" spans="1:9">
      <c r="A40" t="s">
        <v>455</v>
      </c>
      <c r="B40" s="27" t="s">
        <v>3218</v>
      </c>
      <c r="C40" s="27" t="s">
        <v>5764</v>
      </c>
      <c r="D40">
        <f>VLOOKUP(tblTargetMedicos[[#This Row],[codigo_id]],[1]DIM_REPRESENTANTE_MEDICO!$C:$F,4,0)</f>
        <v>12</v>
      </c>
      <c r="E40">
        <f>VLOOKUP(tblTargetMedicos[[#This Row],[codigo_id]],[1]DIM_REPRESENTANTE_MEDICO!$C:$F,3,0)</f>
        <v>6</v>
      </c>
      <c r="F40" s="27" t="s">
        <v>5796</v>
      </c>
      <c r="G40" s="27" t="s">
        <v>5787</v>
      </c>
      <c r="H40" s="27" t="s">
        <v>96</v>
      </c>
      <c r="I40">
        <v>1</v>
      </c>
    </row>
    <row r="41" spans="1:9">
      <c r="A41" t="s">
        <v>456</v>
      </c>
      <c r="B41" s="27" t="s">
        <v>3218</v>
      </c>
      <c r="C41" s="27" t="s">
        <v>5764</v>
      </c>
      <c r="D41">
        <f>VLOOKUP(tblTargetMedicos[[#This Row],[codigo_id]],[1]DIM_REPRESENTANTE_MEDICO!$C:$F,4,0)</f>
        <v>12</v>
      </c>
      <c r="E41">
        <f>VLOOKUP(tblTargetMedicos[[#This Row],[codigo_id]],[1]DIM_REPRESENTANTE_MEDICO!$C:$F,3,0)</f>
        <v>6</v>
      </c>
      <c r="F41" s="27" t="s">
        <v>5796</v>
      </c>
      <c r="G41" s="27" t="s">
        <v>5784</v>
      </c>
      <c r="H41" s="27" t="s">
        <v>96</v>
      </c>
      <c r="I41">
        <v>1</v>
      </c>
    </row>
    <row r="42" spans="1:9">
      <c r="A42" t="s">
        <v>457</v>
      </c>
      <c r="B42" s="27" t="s">
        <v>3218</v>
      </c>
      <c r="C42" s="27" t="s">
        <v>5764</v>
      </c>
      <c r="D42">
        <f>VLOOKUP(tblTargetMedicos[[#This Row],[codigo_id]],[1]DIM_REPRESENTANTE_MEDICO!$C:$F,4,0)</f>
        <v>12</v>
      </c>
      <c r="E42">
        <f>VLOOKUP(tblTargetMedicos[[#This Row],[codigo_id]],[1]DIM_REPRESENTANTE_MEDICO!$C:$F,3,0)</f>
        <v>6</v>
      </c>
      <c r="F42" s="27" t="s">
        <v>5796</v>
      </c>
      <c r="G42" s="27" t="s">
        <v>5784</v>
      </c>
      <c r="H42" s="27" t="s">
        <v>96</v>
      </c>
      <c r="I42">
        <v>1</v>
      </c>
    </row>
    <row r="43" spans="1:9">
      <c r="A43" t="s">
        <v>458</v>
      </c>
      <c r="B43" s="27" t="s">
        <v>3218</v>
      </c>
      <c r="C43" s="27" t="s">
        <v>5764</v>
      </c>
      <c r="D43">
        <f>VLOOKUP(tblTargetMedicos[[#This Row],[codigo_id]],[1]DIM_REPRESENTANTE_MEDICO!$C:$F,4,0)</f>
        <v>12</v>
      </c>
      <c r="E43">
        <f>VLOOKUP(tblTargetMedicos[[#This Row],[codigo_id]],[1]DIM_REPRESENTANTE_MEDICO!$C:$F,3,0)</f>
        <v>6</v>
      </c>
      <c r="F43" s="27" t="s">
        <v>5796</v>
      </c>
      <c r="G43" s="27" t="s">
        <v>5784</v>
      </c>
      <c r="H43" s="27" t="s">
        <v>96</v>
      </c>
      <c r="I43">
        <v>1</v>
      </c>
    </row>
    <row r="44" spans="1:9">
      <c r="A44" t="s">
        <v>459</v>
      </c>
      <c r="B44" s="27" t="s">
        <v>3218</v>
      </c>
      <c r="C44" s="27" t="s">
        <v>5764</v>
      </c>
      <c r="D44">
        <f>VLOOKUP(tblTargetMedicos[[#This Row],[codigo_id]],[1]DIM_REPRESENTANTE_MEDICO!$C:$F,4,0)</f>
        <v>12</v>
      </c>
      <c r="E44">
        <f>VLOOKUP(tblTargetMedicos[[#This Row],[codigo_id]],[1]DIM_REPRESENTANTE_MEDICO!$C:$F,3,0)</f>
        <v>6</v>
      </c>
      <c r="F44" s="27" t="s">
        <v>5796</v>
      </c>
      <c r="G44" s="27" t="s">
        <v>5786</v>
      </c>
      <c r="H44" s="27" t="s">
        <v>97</v>
      </c>
      <c r="I44">
        <v>1</v>
      </c>
    </row>
    <row r="45" spans="1:9">
      <c r="A45" t="s">
        <v>460</v>
      </c>
      <c r="B45" s="27" t="s">
        <v>3218</v>
      </c>
      <c r="C45" s="27" t="s">
        <v>5764</v>
      </c>
      <c r="D45">
        <f>VLOOKUP(tblTargetMedicos[[#This Row],[codigo_id]],[1]DIM_REPRESENTANTE_MEDICO!$C:$F,4,0)</f>
        <v>12</v>
      </c>
      <c r="E45">
        <f>VLOOKUP(tblTargetMedicos[[#This Row],[codigo_id]],[1]DIM_REPRESENTANTE_MEDICO!$C:$F,3,0)</f>
        <v>6</v>
      </c>
      <c r="F45" s="27" t="s">
        <v>5796</v>
      </c>
      <c r="G45" s="27" t="s">
        <v>5787</v>
      </c>
      <c r="H45" s="27" t="s">
        <v>96</v>
      </c>
      <c r="I45">
        <v>1</v>
      </c>
    </row>
    <row r="46" spans="1:9">
      <c r="A46" t="s">
        <v>461</v>
      </c>
      <c r="B46" s="27" t="s">
        <v>3218</v>
      </c>
      <c r="C46" s="27" t="s">
        <v>5764</v>
      </c>
      <c r="D46">
        <f>VLOOKUP(tblTargetMedicos[[#This Row],[codigo_id]],[1]DIM_REPRESENTANTE_MEDICO!$C:$F,4,0)</f>
        <v>12</v>
      </c>
      <c r="E46">
        <f>VLOOKUP(tblTargetMedicos[[#This Row],[codigo_id]],[1]DIM_REPRESENTANTE_MEDICO!$C:$F,3,0)</f>
        <v>6</v>
      </c>
      <c r="F46" s="27" t="s">
        <v>5796</v>
      </c>
      <c r="G46" s="27" t="s">
        <v>5784</v>
      </c>
      <c r="H46" s="27" t="s">
        <v>96</v>
      </c>
      <c r="I46">
        <v>1</v>
      </c>
    </row>
    <row r="47" spans="1:9">
      <c r="A47" t="s">
        <v>462</v>
      </c>
      <c r="B47" s="27" t="s">
        <v>3218</v>
      </c>
      <c r="C47" s="27" t="s">
        <v>5764</v>
      </c>
      <c r="D47">
        <f>VLOOKUP(tblTargetMedicos[[#This Row],[codigo_id]],[1]DIM_REPRESENTANTE_MEDICO!$C:$F,4,0)</f>
        <v>12</v>
      </c>
      <c r="E47">
        <f>VLOOKUP(tblTargetMedicos[[#This Row],[codigo_id]],[1]DIM_REPRESENTANTE_MEDICO!$C:$F,3,0)</f>
        <v>6</v>
      </c>
      <c r="F47" s="27" t="s">
        <v>5796</v>
      </c>
      <c r="G47" s="27" t="s">
        <v>5779</v>
      </c>
      <c r="H47" s="27" t="s">
        <v>96</v>
      </c>
      <c r="I47">
        <v>1</v>
      </c>
    </row>
    <row r="48" spans="1:9">
      <c r="A48" t="s">
        <v>463</v>
      </c>
      <c r="B48" s="27" t="s">
        <v>3218</v>
      </c>
      <c r="C48" s="27" t="s">
        <v>5764</v>
      </c>
      <c r="D48">
        <f>VLOOKUP(tblTargetMedicos[[#This Row],[codigo_id]],[1]DIM_REPRESENTANTE_MEDICO!$C:$F,4,0)</f>
        <v>12</v>
      </c>
      <c r="E48">
        <f>VLOOKUP(tblTargetMedicos[[#This Row],[codigo_id]],[1]DIM_REPRESENTANTE_MEDICO!$C:$F,3,0)</f>
        <v>6</v>
      </c>
      <c r="F48" s="27" t="s">
        <v>5796</v>
      </c>
      <c r="G48" s="27" t="s">
        <v>5784</v>
      </c>
      <c r="H48" s="27" t="s">
        <v>96</v>
      </c>
      <c r="I48">
        <v>1</v>
      </c>
    </row>
    <row r="49" spans="1:9">
      <c r="A49" t="s">
        <v>464</v>
      </c>
      <c r="B49" s="27" t="s">
        <v>3218</v>
      </c>
      <c r="C49" s="27" t="s">
        <v>5764</v>
      </c>
      <c r="D49">
        <f>VLOOKUP(tblTargetMedicos[[#This Row],[codigo_id]],[1]DIM_REPRESENTANTE_MEDICO!$C:$F,4,0)</f>
        <v>12</v>
      </c>
      <c r="E49">
        <f>VLOOKUP(tblTargetMedicos[[#This Row],[codigo_id]],[1]DIM_REPRESENTANTE_MEDICO!$C:$F,3,0)</f>
        <v>6</v>
      </c>
      <c r="F49" s="27" t="s">
        <v>5796</v>
      </c>
      <c r="G49" s="27" t="s">
        <v>5787</v>
      </c>
      <c r="H49" s="27" t="s">
        <v>96</v>
      </c>
      <c r="I49">
        <v>1</v>
      </c>
    </row>
    <row r="50" spans="1:9">
      <c r="A50" t="s">
        <v>465</v>
      </c>
      <c r="B50" s="27" t="s">
        <v>3218</v>
      </c>
      <c r="C50" s="27" t="s">
        <v>5764</v>
      </c>
      <c r="D50">
        <f>VLOOKUP(tblTargetMedicos[[#This Row],[codigo_id]],[1]DIM_REPRESENTANTE_MEDICO!$C:$F,4,0)</f>
        <v>12</v>
      </c>
      <c r="E50">
        <f>VLOOKUP(tblTargetMedicos[[#This Row],[codigo_id]],[1]DIM_REPRESENTANTE_MEDICO!$C:$F,3,0)</f>
        <v>6</v>
      </c>
      <c r="F50" s="27" t="s">
        <v>5796</v>
      </c>
      <c r="G50" s="27" t="s">
        <v>5787</v>
      </c>
      <c r="H50" s="27" t="s">
        <v>96</v>
      </c>
      <c r="I50">
        <v>1</v>
      </c>
    </row>
    <row r="51" spans="1:9">
      <c r="A51" t="s">
        <v>466</v>
      </c>
      <c r="B51" s="27" t="s">
        <v>3218</v>
      </c>
      <c r="C51" s="27" t="s">
        <v>5764</v>
      </c>
      <c r="D51">
        <f>VLOOKUP(tblTargetMedicos[[#This Row],[codigo_id]],[1]DIM_REPRESENTANTE_MEDICO!$C:$F,4,0)</f>
        <v>12</v>
      </c>
      <c r="E51">
        <f>VLOOKUP(tblTargetMedicos[[#This Row],[codigo_id]],[1]DIM_REPRESENTANTE_MEDICO!$C:$F,3,0)</f>
        <v>6</v>
      </c>
      <c r="F51" s="27" t="s">
        <v>5796</v>
      </c>
      <c r="G51" s="27" t="s">
        <v>5784</v>
      </c>
      <c r="H51" s="27" t="s">
        <v>96</v>
      </c>
      <c r="I51">
        <v>1</v>
      </c>
    </row>
    <row r="52" spans="1:9">
      <c r="A52" t="s">
        <v>467</v>
      </c>
      <c r="B52" s="27" t="s">
        <v>3218</v>
      </c>
      <c r="C52" s="27" t="s">
        <v>5764</v>
      </c>
      <c r="D52">
        <f>VLOOKUP(tblTargetMedicos[[#This Row],[codigo_id]],[1]DIM_REPRESENTANTE_MEDICO!$C:$F,4,0)</f>
        <v>12</v>
      </c>
      <c r="E52">
        <f>VLOOKUP(tblTargetMedicos[[#This Row],[codigo_id]],[1]DIM_REPRESENTANTE_MEDICO!$C:$F,3,0)</f>
        <v>6</v>
      </c>
      <c r="F52" s="27" t="s">
        <v>5796</v>
      </c>
      <c r="G52" s="27" t="s">
        <v>5784</v>
      </c>
      <c r="H52" s="27" t="s">
        <v>96</v>
      </c>
      <c r="I52">
        <v>1</v>
      </c>
    </row>
    <row r="53" spans="1:9">
      <c r="A53" t="s">
        <v>468</v>
      </c>
      <c r="B53" s="27" t="s">
        <v>3218</v>
      </c>
      <c r="C53" s="27" t="s">
        <v>5764</v>
      </c>
      <c r="D53">
        <f>VLOOKUP(tblTargetMedicos[[#This Row],[codigo_id]],[1]DIM_REPRESENTANTE_MEDICO!$C:$F,4,0)</f>
        <v>12</v>
      </c>
      <c r="E53">
        <f>VLOOKUP(tblTargetMedicos[[#This Row],[codigo_id]],[1]DIM_REPRESENTANTE_MEDICO!$C:$F,3,0)</f>
        <v>6</v>
      </c>
      <c r="F53" s="27" t="s">
        <v>5796</v>
      </c>
      <c r="G53" s="27" t="s">
        <v>5784</v>
      </c>
      <c r="H53" s="27" t="s">
        <v>96</v>
      </c>
      <c r="I53">
        <v>1</v>
      </c>
    </row>
    <row r="54" spans="1:9">
      <c r="A54" t="s">
        <v>469</v>
      </c>
      <c r="B54" s="27" t="s">
        <v>3218</v>
      </c>
      <c r="C54" s="27" t="s">
        <v>5764</v>
      </c>
      <c r="D54">
        <f>VLOOKUP(tblTargetMedicos[[#This Row],[codigo_id]],[1]DIM_REPRESENTANTE_MEDICO!$C:$F,4,0)</f>
        <v>12</v>
      </c>
      <c r="E54">
        <f>VLOOKUP(tblTargetMedicos[[#This Row],[codigo_id]],[1]DIM_REPRESENTANTE_MEDICO!$C:$F,3,0)</f>
        <v>6</v>
      </c>
      <c r="F54" s="27" t="s">
        <v>5796</v>
      </c>
      <c r="G54" s="27" t="s">
        <v>5779</v>
      </c>
      <c r="H54" s="27" t="s">
        <v>96</v>
      </c>
      <c r="I54">
        <v>1</v>
      </c>
    </row>
    <row r="55" spans="1:9">
      <c r="A55" t="s">
        <v>470</v>
      </c>
      <c r="B55" s="27" t="s">
        <v>3218</v>
      </c>
      <c r="C55" s="27" t="s">
        <v>5764</v>
      </c>
      <c r="D55">
        <f>VLOOKUP(tblTargetMedicos[[#This Row],[codigo_id]],[1]DIM_REPRESENTANTE_MEDICO!$C:$F,4,0)</f>
        <v>12</v>
      </c>
      <c r="E55">
        <f>VLOOKUP(tblTargetMedicos[[#This Row],[codigo_id]],[1]DIM_REPRESENTANTE_MEDICO!$C:$F,3,0)</f>
        <v>6</v>
      </c>
      <c r="F55" s="27" t="s">
        <v>5796</v>
      </c>
      <c r="G55" s="27" t="s">
        <v>5784</v>
      </c>
      <c r="H55" s="27" t="s">
        <v>96</v>
      </c>
      <c r="I55">
        <v>1</v>
      </c>
    </row>
    <row r="56" spans="1:9">
      <c r="A56" t="s">
        <v>471</v>
      </c>
      <c r="B56" s="27" t="s">
        <v>3218</v>
      </c>
      <c r="C56" s="27" t="s">
        <v>5764</v>
      </c>
      <c r="D56">
        <f>VLOOKUP(tblTargetMedicos[[#This Row],[codigo_id]],[1]DIM_REPRESENTANTE_MEDICO!$C:$F,4,0)</f>
        <v>12</v>
      </c>
      <c r="E56">
        <f>VLOOKUP(tblTargetMedicos[[#This Row],[codigo_id]],[1]DIM_REPRESENTANTE_MEDICO!$C:$F,3,0)</f>
        <v>6</v>
      </c>
      <c r="F56" s="27" t="s">
        <v>5796</v>
      </c>
      <c r="G56" s="27" t="s">
        <v>5784</v>
      </c>
      <c r="H56" s="27" t="s">
        <v>96</v>
      </c>
      <c r="I56">
        <v>1</v>
      </c>
    </row>
    <row r="57" spans="1:9">
      <c r="A57" t="s">
        <v>472</v>
      </c>
      <c r="B57" s="27" t="s">
        <v>3218</v>
      </c>
      <c r="C57" s="27" t="s">
        <v>5764</v>
      </c>
      <c r="D57">
        <f>VLOOKUP(tblTargetMedicos[[#This Row],[codigo_id]],[1]DIM_REPRESENTANTE_MEDICO!$C:$F,4,0)</f>
        <v>12</v>
      </c>
      <c r="E57">
        <f>VLOOKUP(tblTargetMedicos[[#This Row],[codigo_id]],[1]DIM_REPRESENTANTE_MEDICO!$C:$F,3,0)</f>
        <v>6</v>
      </c>
      <c r="F57" s="27" t="s">
        <v>5796</v>
      </c>
      <c r="G57" s="27" t="s">
        <v>5784</v>
      </c>
      <c r="H57" s="27" t="s">
        <v>96</v>
      </c>
      <c r="I57">
        <v>1</v>
      </c>
    </row>
    <row r="58" spans="1:9">
      <c r="A58" t="s">
        <v>473</v>
      </c>
      <c r="B58" s="27" t="s">
        <v>3218</v>
      </c>
      <c r="C58" s="27" t="s">
        <v>5764</v>
      </c>
      <c r="D58">
        <f>VLOOKUP(tblTargetMedicos[[#This Row],[codigo_id]],[1]DIM_REPRESENTANTE_MEDICO!$C:$F,4,0)</f>
        <v>12</v>
      </c>
      <c r="E58">
        <f>VLOOKUP(tblTargetMedicos[[#This Row],[codigo_id]],[1]DIM_REPRESENTANTE_MEDICO!$C:$F,3,0)</f>
        <v>6</v>
      </c>
      <c r="F58" s="27" t="s">
        <v>5796</v>
      </c>
      <c r="G58" s="27" t="s">
        <v>5783</v>
      </c>
      <c r="H58" s="27" t="s">
        <v>96</v>
      </c>
      <c r="I58">
        <v>1</v>
      </c>
    </row>
    <row r="59" spans="1:9">
      <c r="A59" t="s">
        <v>474</v>
      </c>
      <c r="B59" s="27" t="s">
        <v>3218</v>
      </c>
      <c r="C59" s="27" t="s">
        <v>5764</v>
      </c>
      <c r="D59">
        <f>VLOOKUP(tblTargetMedicos[[#This Row],[codigo_id]],[1]DIM_REPRESENTANTE_MEDICO!$C:$F,4,0)</f>
        <v>12</v>
      </c>
      <c r="E59">
        <f>VLOOKUP(tblTargetMedicos[[#This Row],[codigo_id]],[1]DIM_REPRESENTANTE_MEDICO!$C:$F,3,0)</f>
        <v>6</v>
      </c>
      <c r="F59" s="27" t="s">
        <v>5796</v>
      </c>
      <c r="G59" s="27" t="s">
        <v>5784</v>
      </c>
      <c r="H59" s="27" t="s">
        <v>97</v>
      </c>
      <c r="I59">
        <v>1</v>
      </c>
    </row>
    <row r="60" spans="1:9">
      <c r="A60" t="s">
        <v>475</v>
      </c>
      <c r="B60" s="27" t="s">
        <v>3218</v>
      </c>
      <c r="C60" s="27" t="s">
        <v>5764</v>
      </c>
      <c r="D60">
        <f>VLOOKUP(tblTargetMedicos[[#This Row],[codigo_id]],[1]DIM_REPRESENTANTE_MEDICO!$C:$F,4,0)</f>
        <v>12</v>
      </c>
      <c r="E60">
        <f>VLOOKUP(tblTargetMedicos[[#This Row],[codigo_id]],[1]DIM_REPRESENTANTE_MEDICO!$C:$F,3,0)</f>
        <v>6</v>
      </c>
      <c r="F60" s="27" t="s">
        <v>5796</v>
      </c>
      <c r="G60" s="27" t="s">
        <v>5783</v>
      </c>
      <c r="H60" s="27" t="s">
        <v>97</v>
      </c>
      <c r="I60">
        <v>1</v>
      </c>
    </row>
    <row r="61" spans="1:9">
      <c r="A61" t="s">
        <v>476</v>
      </c>
      <c r="B61" s="27" t="s">
        <v>3218</v>
      </c>
      <c r="C61" s="27" t="s">
        <v>5764</v>
      </c>
      <c r="D61">
        <f>VLOOKUP(tblTargetMedicos[[#This Row],[codigo_id]],[1]DIM_REPRESENTANTE_MEDICO!$C:$F,4,0)</f>
        <v>12</v>
      </c>
      <c r="E61">
        <f>VLOOKUP(tblTargetMedicos[[#This Row],[codigo_id]],[1]DIM_REPRESENTANTE_MEDICO!$C:$F,3,0)</f>
        <v>6</v>
      </c>
      <c r="F61" s="27" t="s">
        <v>5796</v>
      </c>
      <c r="G61" s="27" t="s">
        <v>5786</v>
      </c>
      <c r="H61" s="27" t="s">
        <v>97</v>
      </c>
      <c r="I61">
        <v>1</v>
      </c>
    </row>
    <row r="62" spans="1:9">
      <c r="A62" t="s">
        <v>477</v>
      </c>
      <c r="B62" s="27" t="s">
        <v>3218</v>
      </c>
      <c r="C62" s="27" t="s">
        <v>5764</v>
      </c>
      <c r="D62">
        <f>VLOOKUP(tblTargetMedicos[[#This Row],[codigo_id]],[1]DIM_REPRESENTANTE_MEDICO!$C:$F,4,0)</f>
        <v>12</v>
      </c>
      <c r="E62">
        <f>VLOOKUP(tblTargetMedicos[[#This Row],[codigo_id]],[1]DIM_REPRESENTANTE_MEDICO!$C:$F,3,0)</f>
        <v>6</v>
      </c>
      <c r="F62" s="27" t="s">
        <v>5796</v>
      </c>
      <c r="G62" s="27" t="s">
        <v>5785</v>
      </c>
      <c r="H62" s="27" t="s">
        <v>97</v>
      </c>
      <c r="I62">
        <v>1</v>
      </c>
    </row>
    <row r="63" spans="1:9">
      <c r="A63" t="s">
        <v>478</v>
      </c>
      <c r="B63" s="27" t="s">
        <v>3218</v>
      </c>
      <c r="C63" s="27" t="s">
        <v>5764</v>
      </c>
      <c r="D63">
        <f>VLOOKUP(tblTargetMedicos[[#This Row],[codigo_id]],[1]DIM_REPRESENTANTE_MEDICO!$C:$F,4,0)</f>
        <v>12</v>
      </c>
      <c r="E63">
        <f>VLOOKUP(tblTargetMedicos[[#This Row],[codigo_id]],[1]DIM_REPRESENTANTE_MEDICO!$C:$F,3,0)</f>
        <v>6</v>
      </c>
      <c r="F63" s="27" t="s">
        <v>5796</v>
      </c>
      <c r="G63" s="27" t="s">
        <v>5786</v>
      </c>
      <c r="H63" s="27" t="s">
        <v>96</v>
      </c>
      <c r="I63">
        <v>1</v>
      </c>
    </row>
    <row r="64" spans="1:9">
      <c r="A64" t="s">
        <v>479</v>
      </c>
      <c r="B64" s="27" t="s">
        <v>3218</v>
      </c>
      <c r="C64" s="27" t="s">
        <v>5764</v>
      </c>
      <c r="D64">
        <f>VLOOKUP(tblTargetMedicos[[#This Row],[codigo_id]],[1]DIM_REPRESENTANTE_MEDICO!$C:$F,4,0)</f>
        <v>12</v>
      </c>
      <c r="E64">
        <f>VLOOKUP(tblTargetMedicos[[#This Row],[codigo_id]],[1]DIM_REPRESENTANTE_MEDICO!$C:$F,3,0)</f>
        <v>6</v>
      </c>
      <c r="F64" s="27" t="s">
        <v>5796</v>
      </c>
      <c r="G64" s="27" t="s">
        <v>5784</v>
      </c>
      <c r="H64" s="27" t="s">
        <v>96</v>
      </c>
      <c r="I64">
        <v>1</v>
      </c>
    </row>
    <row r="65" spans="1:9">
      <c r="A65" t="s">
        <v>480</v>
      </c>
      <c r="B65" s="27" t="s">
        <v>3218</v>
      </c>
      <c r="C65" s="27" t="s">
        <v>5764</v>
      </c>
      <c r="D65">
        <f>VLOOKUP(tblTargetMedicos[[#This Row],[codigo_id]],[1]DIM_REPRESENTANTE_MEDICO!$C:$F,4,0)</f>
        <v>12</v>
      </c>
      <c r="E65">
        <f>VLOOKUP(tblTargetMedicos[[#This Row],[codigo_id]],[1]DIM_REPRESENTANTE_MEDICO!$C:$F,3,0)</f>
        <v>6</v>
      </c>
      <c r="F65" s="27" t="s">
        <v>5796</v>
      </c>
      <c r="G65" s="27" t="s">
        <v>5784</v>
      </c>
      <c r="H65" s="27" t="s">
        <v>96</v>
      </c>
      <c r="I65">
        <v>1</v>
      </c>
    </row>
    <row r="66" spans="1:9">
      <c r="A66" t="s">
        <v>481</v>
      </c>
      <c r="B66" s="27" t="s">
        <v>3218</v>
      </c>
      <c r="C66" s="27" t="s">
        <v>5764</v>
      </c>
      <c r="D66">
        <f>VLOOKUP(tblTargetMedicos[[#This Row],[codigo_id]],[1]DIM_REPRESENTANTE_MEDICO!$C:$F,4,0)</f>
        <v>12</v>
      </c>
      <c r="E66">
        <f>VLOOKUP(tblTargetMedicos[[#This Row],[codigo_id]],[1]DIM_REPRESENTANTE_MEDICO!$C:$F,3,0)</f>
        <v>6</v>
      </c>
      <c r="F66" s="27" t="s">
        <v>5796</v>
      </c>
      <c r="G66" s="27" t="s">
        <v>5784</v>
      </c>
      <c r="H66" s="27" t="s">
        <v>96</v>
      </c>
      <c r="I66">
        <v>1</v>
      </c>
    </row>
    <row r="67" spans="1:9">
      <c r="A67" t="s">
        <v>482</v>
      </c>
      <c r="B67" s="27" t="s">
        <v>3218</v>
      </c>
      <c r="C67" s="27" t="s">
        <v>5764</v>
      </c>
      <c r="D67">
        <f>VLOOKUP(tblTargetMedicos[[#This Row],[codigo_id]],[1]DIM_REPRESENTANTE_MEDICO!$C:$F,4,0)</f>
        <v>12</v>
      </c>
      <c r="E67">
        <f>VLOOKUP(tblTargetMedicos[[#This Row],[codigo_id]],[1]DIM_REPRESENTANTE_MEDICO!$C:$F,3,0)</f>
        <v>6</v>
      </c>
      <c r="F67" s="27" t="s">
        <v>5796</v>
      </c>
      <c r="G67" s="27" t="s">
        <v>5785</v>
      </c>
      <c r="H67" s="27" t="s">
        <v>96</v>
      </c>
      <c r="I67">
        <v>1</v>
      </c>
    </row>
    <row r="68" spans="1:9">
      <c r="A68" t="s">
        <v>483</v>
      </c>
      <c r="B68" s="27" t="s">
        <v>3218</v>
      </c>
      <c r="C68" s="27" t="s">
        <v>5764</v>
      </c>
      <c r="D68">
        <f>VLOOKUP(tblTargetMedicos[[#This Row],[codigo_id]],[1]DIM_REPRESENTANTE_MEDICO!$C:$F,4,0)</f>
        <v>12</v>
      </c>
      <c r="E68">
        <f>VLOOKUP(tblTargetMedicos[[#This Row],[codigo_id]],[1]DIM_REPRESENTANTE_MEDICO!$C:$F,3,0)</f>
        <v>6</v>
      </c>
      <c r="F68" s="27" t="s">
        <v>5796</v>
      </c>
      <c r="G68" s="27" t="s">
        <v>5784</v>
      </c>
      <c r="H68" s="27" t="s">
        <v>96</v>
      </c>
      <c r="I68">
        <v>1</v>
      </c>
    </row>
    <row r="69" spans="1:9">
      <c r="A69" t="s">
        <v>484</v>
      </c>
      <c r="B69" s="27" t="s">
        <v>3218</v>
      </c>
      <c r="C69" s="27" t="s">
        <v>5764</v>
      </c>
      <c r="D69">
        <f>VLOOKUP(tblTargetMedicos[[#This Row],[codigo_id]],[1]DIM_REPRESENTANTE_MEDICO!$C:$F,4,0)</f>
        <v>12</v>
      </c>
      <c r="E69">
        <f>VLOOKUP(tblTargetMedicos[[#This Row],[codigo_id]],[1]DIM_REPRESENTANTE_MEDICO!$C:$F,3,0)</f>
        <v>6</v>
      </c>
      <c r="F69" s="27" t="s">
        <v>5796</v>
      </c>
      <c r="G69" s="27" t="s">
        <v>5784</v>
      </c>
      <c r="H69" s="27" t="s">
        <v>96</v>
      </c>
      <c r="I69">
        <v>1</v>
      </c>
    </row>
    <row r="70" spans="1:9">
      <c r="A70" t="s">
        <v>485</v>
      </c>
      <c r="B70" s="27" t="s">
        <v>3218</v>
      </c>
      <c r="C70" s="27" t="s">
        <v>5764</v>
      </c>
      <c r="D70">
        <f>VLOOKUP(tblTargetMedicos[[#This Row],[codigo_id]],[1]DIM_REPRESENTANTE_MEDICO!$C:$F,4,0)</f>
        <v>12</v>
      </c>
      <c r="E70">
        <f>VLOOKUP(tblTargetMedicos[[#This Row],[codigo_id]],[1]DIM_REPRESENTANTE_MEDICO!$C:$F,3,0)</f>
        <v>6</v>
      </c>
      <c r="F70" s="27" t="s">
        <v>5796</v>
      </c>
      <c r="G70" s="27" t="s">
        <v>5785</v>
      </c>
      <c r="H70" s="27" t="s">
        <v>96</v>
      </c>
      <c r="I70">
        <v>1</v>
      </c>
    </row>
    <row r="71" spans="1:9">
      <c r="A71" t="s">
        <v>486</v>
      </c>
      <c r="B71" s="27" t="s">
        <v>3218</v>
      </c>
      <c r="C71" s="27" t="s">
        <v>5764</v>
      </c>
      <c r="D71">
        <f>VLOOKUP(tblTargetMedicos[[#This Row],[codigo_id]],[1]DIM_REPRESENTANTE_MEDICO!$C:$F,4,0)</f>
        <v>12</v>
      </c>
      <c r="E71">
        <f>VLOOKUP(tblTargetMedicos[[#This Row],[codigo_id]],[1]DIM_REPRESENTANTE_MEDICO!$C:$F,3,0)</f>
        <v>6</v>
      </c>
      <c r="F71" s="27" t="s">
        <v>5796</v>
      </c>
      <c r="G71" s="27" t="s">
        <v>5782</v>
      </c>
      <c r="H71" s="27" t="s">
        <v>97</v>
      </c>
      <c r="I71">
        <v>1</v>
      </c>
    </row>
    <row r="72" spans="1:9">
      <c r="A72" t="s">
        <v>487</v>
      </c>
      <c r="B72" s="27" t="s">
        <v>3218</v>
      </c>
      <c r="C72" s="27" t="s">
        <v>5764</v>
      </c>
      <c r="D72">
        <f>VLOOKUP(tblTargetMedicos[[#This Row],[codigo_id]],[1]DIM_REPRESENTANTE_MEDICO!$C:$F,4,0)</f>
        <v>12</v>
      </c>
      <c r="E72">
        <f>VLOOKUP(tblTargetMedicos[[#This Row],[codigo_id]],[1]DIM_REPRESENTANTE_MEDICO!$C:$F,3,0)</f>
        <v>6</v>
      </c>
      <c r="F72" s="27" t="s">
        <v>5796</v>
      </c>
      <c r="G72" s="27" t="s">
        <v>5784</v>
      </c>
      <c r="H72" s="27" t="s">
        <v>96</v>
      </c>
      <c r="I72">
        <v>1</v>
      </c>
    </row>
    <row r="73" spans="1:9">
      <c r="A73" t="s">
        <v>488</v>
      </c>
      <c r="B73" s="27" t="s">
        <v>3218</v>
      </c>
      <c r="C73" s="27" t="s">
        <v>5764</v>
      </c>
      <c r="D73">
        <f>VLOOKUP(tblTargetMedicos[[#This Row],[codigo_id]],[1]DIM_REPRESENTANTE_MEDICO!$C:$F,4,0)</f>
        <v>12</v>
      </c>
      <c r="E73">
        <f>VLOOKUP(tblTargetMedicos[[#This Row],[codigo_id]],[1]DIM_REPRESENTANTE_MEDICO!$C:$F,3,0)</f>
        <v>6</v>
      </c>
      <c r="F73" s="27" t="s">
        <v>5796</v>
      </c>
      <c r="G73" s="27" t="s">
        <v>5787</v>
      </c>
      <c r="H73" s="27" t="s">
        <v>96</v>
      </c>
      <c r="I73">
        <v>1</v>
      </c>
    </row>
    <row r="74" spans="1:9">
      <c r="A74" t="s">
        <v>489</v>
      </c>
      <c r="B74" s="27" t="s">
        <v>3218</v>
      </c>
      <c r="C74" s="27" t="s">
        <v>5764</v>
      </c>
      <c r="D74">
        <f>VLOOKUP(tblTargetMedicos[[#This Row],[codigo_id]],[1]DIM_REPRESENTANTE_MEDICO!$C:$F,4,0)</f>
        <v>12</v>
      </c>
      <c r="E74">
        <f>VLOOKUP(tblTargetMedicos[[#This Row],[codigo_id]],[1]DIM_REPRESENTANTE_MEDICO!$C:$F,3,0)</f>
        <v>6</v>
      </c>
      <c r="F74" s="27" t="s">
        <v>5796</v>
      </c>
      <c r="G74" s="27" t="s">
        <v>5786</v>
      </c>
      <c r="H74" s="27" t="s">
        <v>96</v>
      </c>
      <c r="I74">
        <v>1</v>
      </c>
    </row>
    <row r="75" spans="1:9">
      <c r="A75" t="s">
        <v>490</v>
      </c>
      <c r="B75" s="27" t="s">
        <v>3218</v>
      </c>
      <c r="C75" s="27" t="s">
        <v>5764</v>
      </c>
      <c r="D75">
        <f>VLOOKUP(tblTargetMedicos[[#This Row],[codigo_id]],[1]DIM_REPRESENTANTE_MEDICO!$C:$F,4,0)</f>
        <v>12</v>
      </c>
      <c r="E75">
        <f>VLOOKUP(tblTargetMedicos[[#This Row],[codigo_id]],[1]DIM_REPRESENTANTE_MEDICO!$C:$F,3,0)</f>
        <v>6</v>
      </c>
      <c r="F75" s="27" t="s">
        <v>5796</v>
      </c>
      <c r="G75" s="27" t="s">
        <v>5784</v>
      </c>
      <c r="H75" s="27" t="s">
        <v>96</v>
      </c>
      <c r="I75">
        <v>1</v>
      </c>
    </row>
    <row r="76" spans="1:9">
      <c r="A76" t="s">
        <v>491</v>
      </c>
      <c r="B76" s="27" t="s">
        <v>3218</v>
      </c>
      <c r="C76" s="27" t="s">
        <v>5764</v>
      </c>
      <c r="D76">
        <f>VLOOKUP(tblTargetMedicos[[#This Row],[codigo_id]],[1]DIM_REPRESENTANTE_MEDICO!$C:$F,4,0)</f>
        <v>12</v>
      </c>
      <c r="E76">
        <f>VLOOKUP(tblTargetMedicos[[#This Row],[codigo_id]],[1]DIM_REPRESENTANTE_MEDICO!$C:$F,3,0)</f>
        <v>6</v>
      </c>
      <c r="F76" s="27" t="s">
        <v>5796</v>
      </c>
      <c r="G76" s="27" t="s">
        <v>5783</v>
      </c>
      <c r="H76" s="27" t="s">
        <v>96</v>
      </c>
      <c r="I76">
        <v>1</v>
      </c>
    </row>
    <row r="77" spans="1:9">
      <c r="A77" t="s">
        <v>492</v>
      </c>
      <c r="B77" s="27" t="s">
        <v>3218</v>
      </c>
      <c r="C77" s="27" t="s">
        <v>5764</v>
      </c>
      <c r="D77">
        <f>VLOOKUP(tblTargetMedicos[[#This Row],[codigo_id]],[1]DIM_REPRESENTANTE_MEDICO!$C:$F,4,0)</f>
        <v>12</v>
      </c>
      <c r="E77">
        <f>VLOOKUP(tblTargetMedicos[[#This Row],[codigo_id]],[1]DIM_REPRESENTANTE_MEDICO!$C:$F,3,0)</f>
        <v>6</v>
      </c>
      <c r="F77" s="27" t="s">
        <v>5796</v>
      </c>
      <c r="G77" s="27" t="s">
        <v>5786</v>
      </c>
      <c r="H77" s="27" t="s">
        <v>96</v>
      </c>
      <c r="I77">
        <v>1</v>
      </c>
    </row>
    <row r="78" spans="1:9">
      <c r="A78" t="s">
        <v>493</v>
      </c>
      <c r="B78" s="27" t="s">
        <v>3218</v>
      </c>
      <c r="C78" s="27" t="s">
        <v>5764</v>
      </c>
      <c r="D78">
        <f>VLOOKUP(tblTargetMedicos[[#This Row],[codigo_id]],[1]DIM_REPRESENTANTE_MEDICO!$C:$F,4,0)</f>
        <v>12</v>
      </c>
      <c r="E78">
        <f>VLOOKUP(tblTargetMedicos[[#This Row],[codigo_id]],[1]DIM_REPRESENTANTE_MEDICO!$C:$F,3,0)</f>
        <v>6</v>
      </c>
      <c r="F78" s="27" t="s">
        <v>5796</v>
      </c>
      <c r="G78" s="27" t="s">
        <v>5784</v>
      </c>
      <c r="H78" s="27" t="s">
        <v>96</v>
      </c>
      <c r="I78">
        <v>1</v>
      </c>
    </row>
    <row r="79" spans="1:9">
      <c r="A79" t="s">
        <v>494</v>
      </c>
      <c r="B79" s="27" t="s">
        <v>3218</v>
      </c>
      <c r="C79" s="27" t="s">
        <v>5764</v>
      </c>
      <c r="D79">
        <f>VLOOKUP(tblTargetMedicos[[#This Row],[codigo_id]],[1]DIM_REPRESENTANTE_MEDICO!$C:$F,4,0)</f>
        <v>12</v>
      </c>
      <c r="E79">
        <f>VLOOKUP(tblTargetMedicos[[#This Row],[codigo_id]],[1]DIM_REPRESENTANTE_MEDICO!$C:$F,3,0)</f>
        <v>6</v>
      </c>
      <c r="F79" s="27" t="s">
        <v>5796</v>
      </c>
      <c r="G79" s="27" t="s">
        <v>5784</v>
      </c>
      <c r="H79" s="27" t="s">
        <v>96</v>
      </c>
      <c r="I79">
        <v>1</v>
      </c>
    </row>
    <row r="80" spans="1:9">
      <c r="A80" t="s">
        <v>495</v>
      </c>
      <c r="B80" s="27" t="s">
        <v>3218</v>
      </c>
      <c r="C80" s="27" t="s">
        <v>5764</v>
      </c>
      <c r="D80">
        <f>VLOOKUP(tblTargetMedicos[[#This Row],[codigo_id]],[1]DIM_REPRESENTANTE_MEDICO!$C:$F,4,0)</f>
        <v>12</v>
      </c>
      <c r="E80">
        <f>VLOOKUP(tblTargetMedicos[[#This Row],[codigo_id]],[1]DIM_REPRESENTANTE_MEDICO!$C:$F,3,0)</f>
        <v>6</v>
      </c>
      <c r="F80" s="27" t="s">
        <v>5796</v>
      </c>
      <c r="G80" s="27" t="s">
        <v>5779</v>
      </c>
      <c r="H80" s="27" t="s">
        <v>96</v>
      </c>
      <c r="I80">
        <v>1</v>
      </c>
    </row>
    <row r="81" spans="1:9">
      <c r="A81" t="s">
        <v>496</v>
      </c>
      <c r="B81" s="27" t="s">
        <v>3218</v>
      </c>
      <c r="C81" s="27" t="s">
        <v>5764</v>
      </c>
      <c r="D81">
        <f>VLOOKUP(tblTargetMedicos[[#This Row],[codigo_id]],[1]DIM_REPRESENTANTE_MEDICO!$C:$F,4,0)</f>
        <v>12</v>
      </c>
      <c r="E81">
        <f>VLOOKUP(tblTargetMedicos[[#This Row],[codigo_id]],[1]DIM_REPRESENTANTE_MEDICO!$C:$F,3,0)</f>
        <v>6</v>
      </c>
      <c r="F81" s="27" t="s">
        <v>5796</v>
      </c>
      <c r="G81" s="27" t="s">
        <v>5786</v>
      </c>
      <c r="H81" s="27" t="s">
        <v>97</v>
      </c>
      <c r="I81">
        <v>1</v>
      </c>
    </row>
    <row r="82" spans="1:9">
      <c r="A82" t="s">
        <v>497</v>
      </c>
      <c r="B82" s="27" t="s">
        <v>3218</v>
      </c>
      <c r="C82" s="27" t="s">
        <v>5764</v>
      </c>
      <c r="D82">
        <f>VLOOKUP(tblTargetMedicos[[#This Row],[codigo_id]],[1]DIM_REPRESENTANTE_MEDICO!$C:$F,4,0)</f>
        <v>12</v>
      </c>
      <c r="E82">
        <f>VLOOKUP(tblTargetMedicos[[#This Row],[codigo_id]],[1]DIM_REPRESENTANTE_MEDICO!$C:$F,3,0)</f>
        <v>6</v>
      </c>
      <c r="F82" s="27" t="s">
        <v>5796</v>
      </c>
      <c r="G82" s="27" t="s">
        <v>5782</v>
      </c>
      <c r="H82" s="27" t="s">
        <v>97</v>
      </c>
      <c r="I82">
        <v>1</v>
      </c>
    </row>
    <row r="83" spans="1:9">
      <c r="A83" t="s">
        <v>498</v>
      </c>
      <c r="B83" s="27" t="s">
        <v>3218</v>
      </c>
      <c r="C83" s="27" t="s">
        <v>5764</v>
      </c>
      <c r="D83">
        <f>VLOOKUP(tblTargetMedicos[[#This Row],[codigo_id]],[1]DIM_REPRESENTANTE_MEDICO!$C:$F,4,0)</f>
        <v>12</v>
      </c>
      <c r="E83">
        <f>VLOOKUP(tblTargetMedicos[[#This Row],[codigo_id]],[1]DIM_REPRESENTANTE_MEDICO!$C:$F,3,0)</f>
        <v>6</v>
      </c>
      <c r="F83" s="27" t="s">
        <v>5796</v>
      </c>
      <c r="G83" s="27" t="s">
        <v>5784</v>
      </c>
      <c r="H83" s="27" t="s">
        <v>97</v>
      </c>
      <c r="I83">
        <v>1</v>
      </c>
    </row>
    <row r="84" spans="1:9">
      <c r="A84" t="s">
        <v>499</v>
      </c>
      <c r="B84" s="27" t="s">
        <v>3218</v>
      </c>
      <c r="C84" s="27" t="s">
        <v>5764</v>
      </c>
      <c r="D84">
        <f>VLOOKUP(tblTargetMedicos[[#This Row],[codigo_id]],[1]DIM_REPRESENTANTE_MEDICO!$C:$F,4,0)</f>
        <v>12</v>
      </c>
      <c r="E84">
        <f>VLOOKUP(tblTargetMedicos[[#This Row],[codigo_id]],[1]DIM_REPRESENTANTE_MEDICO!$C:$F,3,0)</f>
        <v>6</v>
      </c>
      <c r="F84" s="27" t="s">
        <v>5796</v>
      </c>
      <c r="G84" s="27" t="s">
        <v>5787</v>
      </c>
      <c r="H84" s="27" t="s">
        <v>97</v>
      </c>
      <c r="I84">
        <v>1</v>
      </c>
    </row>
    <row r="85" spans="1:9">
      <c r="A85" t="s">
        <v>500</v>
      </c>
      <c r="B85" s="27" t="s">
        <v>3218</v>
      </c>
      <c r="C85" s="27" t="s">
        <v>5764</v>
      </c>
      <c r="D85">
        <f>VLOOKUP(tblTargetMedicos[[#This Row],[codigo_id]],[1]DIM_REPRESENTANTE_MEDICO!$C:$F,4,0)</f>
        <v>12</v>
      </c>
      <c r="E85">
        <f>VLOOKUP(tblTargetMedicos[[#This Row],[codigo_id]],[1]DIM_REPRESENTANTE_MEDICO!$C:$F,3,0)</f>
        <v>6</v>
      </c>
      <c r="F85" s="27" t="s">
        <v>5796</v>
      </c>
      <c r="G85" s="27" t="s">
        <v>5783</v>
      </c>
      <c r="H85" s="27" t="s">
        <v>96</v>
      </c>
      <c r="I85">
        <v>1</v>
      </c>
    </row>
    <row r="86" spans="1:9">
      <c r="A86" t="s">
        <v>501</v>
      </c>
      <c r="B86" s="27" t="s">
        <v>3218</v>
      </c>
      <c r="C86" s="27" t="s">
        <v>5764</v>
      </c>
      <c r="D86">
        <f>VLOOKUP(tblTargetMedicos[[#This Row],[codigo_id]],[1]DIM_REPRESENTANTE_MEDICO!$C:$F,4,0)</f>
        <v>12</v>
      </c>
      <c r="E86">
        <f>VLOOKUP(tblTargetMedicos[[#This Row],[codigo_id]],[1]DIM_REPRESENTANTE_MEDICO!$C:$F,3,0)</f>
        <v>6</v>
      </c>
      <c r="F86" s="27" t="s">
        <v>5796</v>
      </c>
      <c r="G86" s="27" t="s">
        <v>5786</v>
      </c>
      <c r="H86" s="27" t="s">
        <v>97</v>
      </c>
      <c r="I86">
        <v>1</v>
      </c>
    </row>
    <row r="87" spans="1:9">
      <c r="A87" t="s">
        <v>502</v>
      </c>
      <c r="B87" s="27" t="s">
        <v>3218</v>
      </c>
      <c r="C87" s="27" t="s">
        <v>5764</v>
      </c>
      <c r="D87">
        <f>VLOOKUP(tblTargetMedicos[[#This Row],[codigo_id]],[1]DIM_REPRESENTANTE_MEDICO!$C:$F,4,0)</f>
        <v>12</v>
      </c>
      <c r="E87">
        <f>VLOOKUP(tblTargetMedicos[[#This Row],[codigo_id]],[1]DIM_REPRESENTANTE_MEDICO!$C:$F,3,0)</f>
        <v>6</v>
      </c>
      <c r="F87" s="27" t="s">
        <v>5796</v>
      </c>
      <c r="G87" s="27" t="s">
        <v>5784</v>
      </c>
      <c r="H87" s="27" t="s">
        <v>97</v>
      </c>
      <c r="I87">
        <v>1</v>
      </c>
    </row>
    <row r="88" spans="1:9">
      <c r="A88" t="s">
        <v>503</v>
      </c>
      <c r="B88" s="27" t="s">
        <v>3218</v>
      </c>
      <c r="C88" s="27" t="s">
        <v>5764</v>
      </c>
      <c r="D88">
        <f>VLOOKUP(tblTargetMedicos[[#This Row],[codigo_id]],[1]DIM_REPRESENTANTE_MEDICO!$C:$F,4,0)</f>
        <v>12</v>
      </c>
      <c r="E88">
        <f>VLOOKUP(tblTargetMedicos[[#This Row],[codigo_id]],[1]DIM_REPRESENTANTE_MEDICO!$C:$F,3,0)</f>
        <v>6</v>
      </c>
      <c r="F88" s="27" t="s">
        <v>5796</v>
      </c>
      <c r="G88" s="27" t="s">
        <v>5787</v>
      </c>
      <c r="H88" s="27" t="s">
        <v>97</v>
      </c>
      <c r="I88">
        <v>1</v>
      </c>
    </row>
    <row r="89" spans="1:9">
      <c r="A89" t="s">
        <v>504</v>
      </c>
      <c r="B89" s="27" t="s">
        <v>3218</v>
      </c>
      <c r="C89" s="27" t="s">
        <v>5764</v>
      </c>
      <c r="D89">
        <f>VLOOKUP(tblTargetMedicos[[#This Row],[codigo_id]],[1]DIM_REPRESENTANTE_MEDICO!$C:$F,4,0)</f>
        <v>12</v>
      </c>
      <c r="E89">
        <f>VLOOKUP(tblTargetMedicos[[#This Row],[codigo_id]],[1]DIM_REPRESENTANTE_MEDICO!$C:$F,3,0)</f>
        <v>6</v>
      </c>
      <c r="F89" s="27" t="s">
        <v>5796</v>
      </c>
      <c r="G89" s="27" t="s">
        <v>5785</v>
      </c>
      <c r="H89" s="27" t="s">
        <v>97</v>
      </c>
      <c r="I89">
        <v>1</v>
      </c>
    </row>
    <row r="90" spans="1:9">
      <c r="A90" t="s">
        <v>505</v>
      </c>
      <c r="B90" s="27" t="s">
        <v>3218</v>
      </c>
      <c r="C90" s="27" t="s">
        <v>5764</v>
      </c>
      <c r="D90">
        <f>VLOOKUP(tblTargetMedicos[[#This Row],[codigo_id]],[1]DIM_REPRESENTANTE_MEDICO!$C:$F,4,0)</f>
        <v>12</v>
      </c>
      <c r="E90">
        <f>VLOOKUP(tblTargetMedicos[[#This Row],[codigo_id]],[1]DIM_REPRESENTANTE_MEDICO!$C:$F,3,0)</f>
        <v>6</v>
      </c>
      <c r="F90" s="27" t="s">
        <v>5796</v>
      </c>
      <c r="G90" s="27" t="s">
        <v>5784</v>
      </c>
      <c r="H90" s="27" t="s">
        <v>96</v>
      </c>
      <c r="I90">
        <v>1</v>
      </c>
    </row>
    <row r="91" spans="1:9">
      <c r="A91" t="s">
        <v>506</v>
      </c>
      <c r="B91" s="27" t="s">
        <v>3218</v>
      </c>
      <c r="C91" s="27" t="s">
        <v>5764</v>
      </c>
      <c r="D91">
        <f>VLOOKUP(tblTargetMedicos[[#This Row],[codigo_id]],[1]DIM_REPRESENTANTE_MEDICO!$C:$F,4,0)</f>
        <v>12</v>
      </c>
      <c r="E91">
        <f>VLOOKUP(tblTargetMedicos[[#This Row],[codigo_id]],[1]DIM_REPRESENTANTE_MEDICO!$C:$F,3,0)</f>
        <v>6</v>
      </c>
      <c r="F91" s="27" t="s">
        <v>5796</v>
      </c>
      <c r="G91" s="27" t="s">
        <v>5779</v>
      </c>
      <c r="H91" s="27" t="s">
        <v>97</v>
      </c>
      <c r="I91">
        <v>1</v>
      </c>
    </row>
    <row r="92" spans="1:9">
      <c r="A92" t="s">
        <v>507</v>
      </c>
      <c r="B92" s="27" t="s">
        <v>3218</v>
      </c>
      <c r="C92" s="27" t="s">
        <v>5764</v>
      </c>
      <c r="D92">
        <f>VLOOKUP(tblTargetMedicos[[#This Row],[codigo_id]],[1]DIM_REPRESENTANTE_MEDICO!$C:$F,4,0)</f>
        <v>12</v>
      </c>
      <c r="E92">
        <f>VLOOKUP(tblTargetMedicos[[#This Row],[codigo_id]],[1]DIM_REPRESENTANTE_MEDICO!$C:$F,3,0)</f>
        <v>6</v>
      </c>
      <c r="F92" s="27" t="s">
        <v>5796</v>
      </c>
      <c r="G92" s="27" t="s">
        <v>5784</v>
      </c>
      <c r="H92" s="27" t="s">
        <v>97</v>
      </c>
      <c r="I92">
        <v>1</v>
      </c>
    </row>
    <row r="93" spans="1:9">
      <c r="A93" t="s">
        <v>508</v>
      </c>
      <c r="B93" s="27" t="s">
        <v>3218</v>
      </c>
      <c r="C93" s="27" t="s">
        <v>5764</v>
      </c>
      <c r="D93">
        <f>VLOOKUP(tblTargetMedicos[[#This Row],[codigo_id]],[1]DIM_REPRESENTANTE_MEDICO!$C:$F,4,0)</f>
        <v>12</v>
      </c>
      <c r="E93">
        <f>VLOOKUP(tblTargetMedicos[[#This Row],[codigo_id]],[1]DIM_REPRESENTANTE_MEDICO!$C:$F,3,0)</f>
        <v>6</v>
      </c>
      <c r="F93" s="27" t="s">
        <v>5796</v>
      </c>
      <c r="G93" s="27" t="s">
        <v>5784</v>
      </c>
      <c r="H93" s="27" t="s">
        <v>97</v>
      </c>
      <c r="I93">
        <v>1</v>
      </c>
    </row>
    <row r="94" spans="1:9">
      <c r="A94" t="s">
        <v>509</v>
      </c>
      <c r="B94" s="27" t="s">
        <v>3218</v>
      </c>
      <c r="C94" s="27" t="s">
        <v>5764</v>
      </c>
      <c r="D94">
        <f>VLOOKUP(tblTargetMedicos[[#This Row],[codigo_id]],[1]DIM_REPRESENTANTE_MEDICO!$C:$F,4,0)</f>
        <v>12</v>
      </c>
      <c r="E94">
        <f>VLOOKUP(tblTargetMedicos[[#This Row],[codigo_id]],[1]DIM_REPRESENTANTE_MEDICO!$C:$F,3,0)</f>
        <v>6</v>
      </c>
      <c r="F94" s="27" t="s">
        <v>5796</v>
      </c>
      <c r="G94" s="27" t="s">
        <v>5783</v>
      </c>
      <c r="H94" s="27" t="s">
        <v>97</v>
      </c>
      <c r="I94">
        <v>1</v>
      </c>
    </row>
    <row r="95" spans="1:9">
      <c r="A95" t="s">
        <v>510</v>
      </c>
      <c r="B95" s="27" t="s">
        <v>3218</v>
      </c>
      <c r="C95" s="27" t="s">
        <v>5764</v>
      </c>
      <c r="D95">
        <f>VLOOKUP(tblTargetMedicos[[#This Row],[codigo_id]],[1]DIM_REPRESENTANTE_MEDICO!$C:$F,4,0)</f>
        <v>12</v>
      </c>
      <c r="E95">
        <f>VLOOKUP(tblTargetMedicos[[#This Row],[codigo_id]],[1]DIM_REPRESENTANTE_MEDICO!$C:$F,3,0)</f>
        <v>6</v>
      </c>
      <c r="F95" s="27" t="s">
        <v>5796</v>
      </c>
      <c r="G95" s="27" t="s">
        <v>5786</v>
      </c>
      <c r="H95" s="27" t="s">
        <v>96</v>
      </c>
      <c r="I95">
        <v>1</v>
      </c>
    </row>
    <row r="96" spans="1:9">
      <c r="A96" t="s">
        <v>511</v>
      </c>
      <c r="B96" s="27" t="s">
        <v>3218</v>
      </c>
      <c r="C96" s="27" t="s">
        <v>5764</v>
      </c>
      <c r="D96">
        <f>VLOOKUP(tblTargetMedicos[[#This Row],[codigo_id]],[1]DIM_REPRESENTANTE_MEDICO!$C:$F,4,0)</f>
        <v>12</v>
      </c>
      <c r="E96">
        <f>VLOOKUP(tblTargetMedicos[[#This Row],[codigo_id]],[1]DIM_REPRESENTANTE_MEDICO!$C:$F,3,0)</f>
        <v>6</v>
      </c>
      <c r="F96" s="27" t="s">
        <v>5796</v>
      </c>
      <c r="G96" s="27" t="s">
        <v>5783</v>
      </c>
      <c r="H96" s="27" t="s">
        <v>97</v>
      </c>
      <c r="I96">
        <v>1</v>
      </c>
    </row>
    <row r="97" spans="1:9">
      <c r="A97" t="s">
        <v>512</v>
      </c>
      <c r="B97" s="27" t="s">
        <v>3218</v>
      </c>
      <c r="C97" s="27" t="s">
        <v>5764</v>
      </c>
      <c r="D97">
        <f>VLOOKUP(tblTargetMedicos[[#This Row],[codigo_id]],[1]DIM_REPRESENTANTE_MEDICO!$C:$F,4,0)</f>
        <v>12</v>
      </c>
      <c r="E97">
        <f>VLOOKUP(tblTargetMedicos[[#This Row],[codigo_id]],[1]DIM_REPRESENTANTE_MEDICO!$C:$F,3,0)</f>
        <v>6</v>
      </c>
      <c r="F97" s="27" t="s">
        <v>5796</v>
      </c>
      <c r="G97" s="27" t="s">
        <v>5779</v>
      </c>
      <c r="H97" s="27" t="s">
        <v>97</v>
      </c>
      <c r="I97">
        <v>1</v>
      </c>
    </row>
    <row r="98" spans="1:9">
      <c r="A98" t="s">
        <v>513</v>
      </c>
      <c r="B98" s="27" t="s">
        <v>3218</v>
      </c>
      <c r="C98" s="27" t="s">
        <v>5764</v>
      </c>
      <c r="D98">
        <f>VLOOKUP(tblTargetMedicos[[#This Row],[codigo_id]],[1]DIM_REPRESENTANTE_MEDICO!$C:$F,4,0)</f>
        <v>12</v>
      </c>
      <c r="E98">
        <f>VLOOKUP(tblTargetMedicos[[#This Row],[codigo_id]],[1]DIM_REPRESENTANTE_MEDICO!$C:$F,3,0)</f>
        <v>6</v>
      </c>
      <c r="F98" s="27" t="s">
        <v>5796</v>
      </c>
      <c r="G98" s="27" t="s">
        <v>5783</v>
      </c>
      <c r="H98" s="27" t="s">
        <v>97</v>
      </c>
      <c r="I98">
        <v>1</v>
      </c>
    </row>
    <row r="99" spans="1:9">
      <c r="A99" t="s">
        <v>514</v>
      </c>
      <c r="B99" s="27" t="s">
        <v>3218</v>
      </c>
      <c r="C99" s="27" t="s">
        <v>5764</v>
      </c>
      <c r="D99">
        <f>VLOOKUP(tblTargetMedicos[[#This Row],[codigo_id]],[1]DIM_REPRESENTANTE_MEDICO!$C:$F,4,0)</f>
        <v>12</v>
      </c>
      <c r="E99">
        <f>VLOOKUP(tblTargetMedicos[[#This Row],[codigo_id]],[1]DIM_REPRESENTANTE_MEDICO!$C:$F,3,0)</f>
        <v>6</v>
      </c>
      <c r="F99" s="27" t="s">
        <v>5796</v>
      </c>
      <c r="G99" s="27" t="s">
        <v>5787</v>
      </c>
      <c r="H99" s="27" t="s">
        <v>97</v>
      </c>
      <c r="I99">
        <v>1</v>
      </c>
    </row>
    <row r="100" spans="1:9">
      <c r="A100" t="s">
        <v>515</v>
      </c>
      <c r="B100" s="27" t="s">
        <v>3218</v>
      </c>
      <c r="C100" s="27" t="s">
        <v>5764</v>
      </c>
      <c r="D100">
        <f>VLOOKUP(tblTargetMedicos[[#This Row],[codigo_id]],[1]DIM_REPRESENTANTE_MEDICO!$C:$F,4,0)</f>
        <v>12</v>
      </c>
      <c r="E100">
        <f>VLOOKUP(tblTargetMedicos[[#This Row],[codigo_id]],[1]DIM_REPRESENTANTE_MEDICO!$C:$F,3,0)</f>
        <v>6</v>
      </c>
      <c r="F100" s="27" t="s">
        <v>5796</v>
      </c>
      <c r="G100" s="27" t="s">
        <v>5783</v>
      </c>
      <c r="H100" s="27" t="s">
        <v>97</v>
      </c>
      <c r="I100">
        <v>1</v>
      </c>
    </row>
    <row r="101" spans="1:9">
      <c r="A101" t="s">
        <v>516</v>
      </c>
      <c r="B101" s="27" t="s">
        <v>3218</v>
      </c>
      <c r="C101" s="27" t="s">
        <v>5764</v>
      </c>
      <c r="D101">
        <f>VLOOKUP(tblTargetMedicos[[#This Row],[codigo_id]],[1]DIM_REPRESENTANTE_MEDICO!$C:$F,4,0)</f>
        <v>12</v>
      </c>
      <c r="E101">
        <f>VLOOKUP(tblTargetMedicos[[#This Row],[codigo_id]],[1]DIM_REPRESENTANTE_MEDICO!$C:$F,3,0)</f>
        <v>6</v>
      </c>
      <c r="F101" s="27" t="s">
        <v>5796</v>
      </c>
      <c r="G101" s="27" t="s">
        <v>5785</v>
      </c>
      <c r="H101" s="27" t="s">
        <v>97</v>
      </c>
      <c r="I101">
        <v>1</v>
      </c>
    </row>
    <row r="102" spans="1:9">
      <c r="A102" t="s">
        <v>517</v>
      </c>
      <c r="B102" s="27" t="s">
        <v>3218</v>
      </c>
      <c r="C102" s="27" t="s">
        <v>5764</v>
      </c>
      <c r="D102">
        <f>VLOOKUP(tblTargetMedicos[[#This Row],[codigo_id]],[1]DIM_REPRESENTANTE_MEDICO!$C:$F,4,0)</f>
        <v>12</v>
      </c>
      <c r="E102">
        <f>VLOOKUP(tblTargetMedicos[[#This Row],[codigo_id]],[1]DIM_REPRESENTANTE_MEDICO!$C:$F,3,0)</f>
        <v>6</v>
      </c>
      <c r="F102" s="27" t="s">
        <v>5796</v>
      </c>
      <c r="G102" s="27" t="s">
        <v>5783</v>
      </c>
      <c r="H102" s="27" t="s">
        <v>97</v>
      </c>
      <c r="I102">
        <v>1</v>
      </c>
    </row>
    <row r="103" spans="1:9">
      <c r="A103" t="s">
        <v>518</v>
      </c>
      <c r="B103" s="27" t="s">
        <v>3218</v>
      </c>
      <c r="C103" s="27" t="s">
        <v>5764</v>
      </c>
      <c r="D103">
        <f>VLOOKUP(tblTargetMedicos[[#This Row],[codigo_id]],[1]DIM_REPRESENTANTE_MEDICO!$C:$F,4,0)</f>
        <v>12</v>
      </c>
      <c r="E103">
        <f>VLOOKUP(tblTargetMedicos[[#This Row],[codigo_id]],[1]DIM_REPRESENTANTE_MEDICO!$C:$F,3,0)</f>
        <v>6</v>
      </c>
      <c r="F103" s="27" t="s">
        <v>5796</v>
      </c>
      <c r="G103" s="27" t="s">
        <v>5784</v>
      </c>
      <c r="H103" s="27" t="s">
        <v>97</v>
      </c>
      <c r="I103">
        <v>1</v>
      </c>
    </row>
    <row r="104" spans="1:9">
      <c r="A104" t="s">
        <v>519</v>
      </c>
      <c r="B104" s="27" t="s">
        <v>3218</v>
      </c>
      <c r="C104" s="27" t="s">
        <v>5764</v>
      </c>
      <c r="D104">
        <f>VLOOKUP(tblTargetMedicos[[#This Row],[codigo_id]],[1]DIM_REPRESENTANTE_MEDICO!$C:$F,4,0)</f>
        <v>12</v>
      </c>
      <c r="E104">
        <f>VLOOKUP(tblTargetMedicos[[#This Row],[codigo_id]],[1]DIM_REPRESENTANTE_MEDICO!$C:$F,3,0)</f>
        <v>6</v>
      </c>
      <c r="F104" s="27" t="s">
        <v>5796</v>
      </c>
      <c r="G104" s="27" t="s">
        <v>5782</v>
      </c>
      <c r="H104" s="27" t="s">
        <v>97</v>
      </c>
      <c r="I104">
        <v>1</v>
      </c>
    </row>
    <row r="105" spans="1:9">
      <c r="A105" t="s">
        <v>520</v>
      </c>
      <c r="B105" s="27" t="s">
        <v>3218</v>
      </c>
      <c r="C105" s="27" t="s">
        <v>5764</v>
      </c>
      <c r="D105">
        <f>VLOOKUP(tblTargetMedicos[[#This Row],[codigo_id]],[1]DIM_REPRESENTANTE_MEDICO!$C:$F,4,0)</f>
        <v>12</v>
      </c>
      <c r="E105">
        <f>VLOOKUP(tblTargetMedicos[[#This Row],[codigo_id]],[1]DIM_REPRESENTANTE_MEDICO!$C:$F,3,0)</f>
        <v>6</v>
      </c>
      <c r="F105" s="27" t="s">
        <v>5796</v>
      </c>
      <c r="G105" s="27" t="s">
        <v>5783</v>
      </c>
      <c r="H105" s="27" t="s">
        <v>97</v>
      </c>
      <c r="I105">
        <v>1</v>
      </c>
    </row>
    <row r="106" spans="1:9">
      <c r="A106" t="s">
        <v>521</v>
      </c>
      <c r="B106" s="27" t="s">
        <v>3218</v>
      </c>
      <c r="C106" s="27" t="s">
        <v>5764</v>
      </c>
      <c r="D106">
        <f>VLOOKUP(tblTargetMedicos[[#This Row],[codigo_id]],[1]DIM_REPRESENTANTE_MEDICO!$C:$F,4,0)</f>
        <v>12</v>
      </c>
      <c r="E106">
        <f>VLOOKUP(tblTargetMedicos[[#This Row],[codigo_id]],[1]DIM_REPRESENTANTE_MEDICO!$C:$F,3,0)</f>
        <v>6</v>
      </c>
      <c r="F106" s="27" t="s">
        <v>5796</v>
      </c>
      <c r="G106" s="27" t="s">
        <v>5784</v>
      </c>
      <c r="H106" s="27" t="s">
        <v>95</v>
      </c>
      <c r="I106">
        <v>1</v>
      </c>
    </row>
    <row r="107" spans="1:9">
      <c r="A107" t="s">
        <v>522</v>
      </c>
      <c r="B107" s="27" t="s">
        <v>3218</v>
      </c>
      <c r="C107" s="27" t="s">
        <v>5764</v>
      </c>
      <c r="D107">
        <f>VLOOKUP(tblTargetMedicos[[#This Row],[codigo_id]],[1]DIM_REPRESENTANTE_MEDICO!$C:$F,4,0)</f>
        <v>12</v>
      </c>
      <c r="E107">
        <f>VLOOKUP(tblTargetMedicos[[#This Row],[codigo_id]],[1]DIM_REPRESENTANTE_MEDICO!$C:$F,3,0)</f>
        <v>6</v>
      </c>
      <c r="F107" s="27" t="s">
        <v>5796</v>
      </c>
      <c r="G107" s="27" t="s">
        <v>5784</v>
      </c>
      <c r="H107" s="27" t="s">
        <v>95</v>
      </c>
      <c r="I107">
        <v>1</v>
      </c>
    </row>
    <row r="108" spans="1:9">
      <c r="A108" t="s">
        <v>523</v>
      </c>
      <c r="B108" s="27" t="s">
        <v>3218</v>
      </c>
      <c r="C108" s="27" t="s">
        <v>5764</v>
      </c>
      <c r="D108">
        <f>VLOOKUP(tblTargetMedicos[[#This Row],[codigo_id]],[1]DIM_REPRESENTANTE_MEDICO!$C:$F,4,0)</f>
        <v>12</v>
      </c>
      <c r="E108">
        <f>VLOOKUP(tblTargetMedicos[[#This Row],[codigo_id]],[1]DIM_REPRESENTANTE_MEDICO!$C:$F,3,0)</f>
        <v>6</v>
      </c>
      <c r="F108" s="27" t="s">
        <v>5796</v>
      </c>
      <c r="G108" s="27" t="s">
        <v>5779</v>
      </c>
      <c r="H108" s="27" t="s">
        <v>95</v>
      </c>
      <c r="I108">
        <v>1</v>
      </c>
    </row>
    <row r="109" spans="1:9">
      <c r="A109" t="s">
        <v>524</v>
      </c>
      <c r="B109" s="27" t="s">
        <v>3218</v>
      </c>
      <c r="C109" s="27" t="s">
        <v>5764</v>
      </c>
      <c r="D109">
        <f>VLOOKUP(tblTargetMedicos[[#This Row],[codigo_id]],[1]DIM_REPRESENTANTE_MEDICO!$C:$F,4,0)</f>
        <v>12</v>
      </c>
      <c r="E109">
        <f>VLOOKUP(tblTargetMedicos[[#This Row],[codigo_id]],[1]DIM_REPRESENTANTE_MEDICO!$C:$F,3,0)</f>
        <v>6</v>
      </c>
      <c r="F109" s="27" t="s">
        <v>5796</v>
      </c>
      <c r="G109" s="27" t="s">
        <v>5786</v>
      </c>
      <c r="H109" s="27" t="s">
        <v>96</v>
      </c>
      <c r="I109">
        <v>1</v>
      </c>
    </row>
    <row r="110" spans="1:9">
      <c r="A110" t="s">
        <v>525</v>
      </c>
      <c r="B110" s="27" t="s">
        <v>3218</v>
      </c>
      <c r="C110" s="27" t="s">
        <v>5764</v>
      </c>
      <c r="D110">
        <f>VLOOKUP(tblTargetMedicos[[#This Row],[codigo_id]],[1]DIM_REPRESENTANTE_MEDICO!$C:$F,4,0)</f>
        <v>12</v>
      </c>
      <c r="E110">
        <f>VLOOKUP(tblTargetMedicos[[#This Row],[codigo_id]],[1]DIM_REPRESENTANTE_MEDICO!$C:$F,3,0)</f>
        <v>6</v>
      </c>
      <c r="F110" s="27" t="s">
        <v>5796</v>
      </c>
      <c r="G110" s="27" t="s">
        <v>5779</v>
      </c>
      <c r="H110" s="27" t="s">
        <v>95</v>
      </c>
      <c r="I110">
        <v>1</v>
      </c>
    </row>
    <row r="111" spans="1:9">
      <c r="A111" t="s">
        <v>526</v>
      </c>
      <c r="B111" s="27" t="s">
        <v>3218</v>
      </c>
      <c r="C111" s="27" t="s">
        <v>5764</v>
      </c>
      <c r="D111">
        <f>VLOOKUP(tblTargetMedicos[[#This Row],[codigo_id]],[1]DIM_REPRESENTANTE_MEDICO!$C:$F,4,0)</f>
        <v>12</v>
      </c>
      <c r="E111">
        <f>VLOOKUP(tblTargetMedicos[[#This Row],[codigo_id]],[1]DIM_REPRESENTANTE_MEDICO!$C:$F,3,0)</f>
        <v>6</v>
      </c>
      <c r="F111" s="27" t="s">
        <v>5796</v>
      </c>
      <c r="G111" s="27" t="s">
        <v>5779</v>
      </c>
      <c r="H111" s="27" t="s">
        <v>95</v>
      </c>
      <c r="I111">
        <v>1</v>
      </c>
    </row>
    <row r="112" spans="1:9">
      <c r="A112" t="s">
        <v>527</v>
      </c>
      <c r="B112" s="27" t="s">
        <v>3218</v>
      </c>
      <c r="C112" s="27" t="s">
        <v>5764</v>
      </c>
      <c r="D112">
        <f>VLOOKUP(tblTargetMedicos[[#This Row],[codigo_id]],[1]DIM_REPRESENTANTE_MEDICO!$C:$F,4,0)</f>
        <v>12</v>
      </c>
      <c r="E112">
        <f>VLOOKUP(tblTargetMedicos[[#This Row],[codigo_id]],[1]DIM_REPRESENTANTE_MEDICO!$C:$F,3,0)</f>
        <v>6</v>
      </c>
      <c r="F112" s="27" t="s">
        <v>5796</v>
      </c>
      <c r="G112" s="27" t="s">
        <v>5784</v>
      </c>
      <c r="H112" s="27" t="s">
        <v>96</v>
      </c>
      <c r="I112">
        <v>1</v>
      </c>
    </row>
    <row r="113" spans="1:9">
      <c r="A113" t="s">
        <v>528</v>
      </c>
      <c r="B113" s="27" t="s">
        <v>3218</v>
      </c>
      <c r="C113" s="27" t="s">
        <v>5764</v>
      </c>
      <c r="D113">
        <f>VLOOKUP(tblTargetMedicos[[#This Row],[codigo_id]],[1]DIM_REPRESENTANTE_MEDICO!$C:$F,4,0)</f>
        <v>12</v>
      </c>
      <c r="E113">
        <f>VLOOKUP(tblTargetMedicos[[#This Row],[codigo_id]],[1]DIM_REPRESENTANTE_MEDICO!$C:$F,3,0)</f>
        <v>6</v>
      </c>
      <c r="F113" s="27" t="s">
        <v>5796</v>
      </c>
      <c r="G113" s="27" t="s">
        <v>5782</v>
      </c>
      <c r="H113" s="27" t="s">
        <v>97</v>
      </c>
      <c r="I113">
        <v>1</v>
      </c>
    </row>
    <row r="114" spans="1:9">
      <c r="A114" t="s">
        <v>529</v>
      </c>
      <c r="B114" s="27" t="s">
        <v>3218</v>
      </c>
      <c r="C114" s="27" t="s">
        <v>5764</v>
      </c>
      <c r="D114">
        <f>VLOOKUP(tblTargetMedicos[[#This Row],[codigo_id]],[1]DIM_REPRESENTANTE_MEDICO!$C:$F,4,0)</f>
        <v>12</v>
      </c>
      <c r="E114">
        <f>VLOOKUP(tblTargetMedicos[[#This Row],[codigo_id]],[1]DIM_REPRESENTANTE_MEDICO!$C:$F,3,0)</f>
        <v>6</v>
      </c>
      <c r="F114" s="27" t="s">
        <v>5796</v>
      </c>
      <c r="G114" s="27" t="s">
        <v>5785</v>
      </c>
      <c r="H114" s="27" t="s">
        <v>95</v>
      </c>
      <c r="I114">
        <v>1</v>
      </c>
    </row>
    <row r="115" spans="1:9">
      <c r="A115" t="s">
        <v>530</v>
      </c>
      <c r="B115" s="27" t="s">
        <v>3218</v>
      </c>
      <c r="C115" s="27" t="s">
        <v>5764</v>
      </c>
      <c r="D115">
        <f>VLOOKUP(tblTargetMedicos[[#This Row],[codigo_id]],[1]DIM_REPRESENTANTE_MEDICO!$C:$F,4,0)</f>
        <v>12</v>
      </c>
      <c r="E115">
        <f>VLOOKUP(tblTargetMedicos[[#This Row],[codigo_id]],[1]DIM_REPRESENTANTE_MEDICO!$C:$F,3,0)</f>
        <v>6</v>
      </c>
      <c r="F115" s="27" t="s">
        <v>5796</v>
      </c>
      <c r="G115" s="27" t="s">
        <v>5784</v>
      </c>
      <c r="H115" s="27" t="s">
        <v>96</v>
      </c>
      <c r="I115">
        <v>1</v>
      </c>
    </row>
    <row r="116" spans="1:9">
      <c r="A116" t="s">
        <v>531</v>
      </c>
      <c r="B116" s="27" t="s">
        <v>3218</v>
      </c>
      <c r="C116" s="27" t="s">
        <v>5764</v>
      </c>
      <c r="D116">
        <f>VLOOKUP(tblTargetMedicos[[#This Row],[codigo_id]],[1]DIM_REPRESENTANTE_MEDICO!$C:$F,4,0)</f>
        <v>12</v>
      </c>
      <c r="E116">
        <f>VLOOKUP(tblTargetMedicos[[#This Row],[codigo_id]],[1]DIM_REPRESENTANTE_MEDICO!$C:$F,3,0)</f>
        <v>6</v>
      </c>
      <c r="F116" s="27" t="s">
        <v>5796</v>
      </c>
      <c r="G116" s="27" t="s">
        <v>5788</v>
      </c>
      <c r="H116" s="27" t="s">
        <v>96</v>
      </c>
      <c r="I116">
        <v>1</v>
      </c>
    </row>
    <row r="117" spans="1:9">
      <c r="A117" t="s">
        <v>532</v>
      </c>
      <c r="B117" s="27" t="s">
        <v>3218</v>
      </c>
      <c r="C117" s="27" t="s">
        <v>5764</v>
      </c>
      <c r="D117">
        <f>VLOOKUP(tblTargetMedicos[[#This Row],[codigo_id]],[1]DIM_REPRESENTANTE_MEDICO!$C:$F,4,0)</f>
        <v>12</v>
      </c>
      <c r="E117">
        <f>VLOOKUP(tblTargetMedicos[[#This Row],[codigo_id]],[1]DIM_REPRESENTANTE_MEDICO!$C:$F,3,0)</f>
        <v>6</v>
      </c>
      <c r="F117" s="27" t="s">
        <v>5796</v>
      </c>
      <c r="G117" s="27" t="s">
        <v>5784</v>
      </c>
      <c r="H117" s="27" t="s">
        <v>95</v>
      </c>
      <c r="I117">
        <v>1</v>
      </c>
    </row>
    <row r="118" spans="1:9">
      <c r="A118" t="s">
        <v>533</v>
      </c>
      <c r="B118" s="27" t="s">
        <v>3218</v>
      </c>
      <c r="C118" s="27" t="s">
        <v>5764</v>
      </c>
      <c r="D118">
        <f>VLOOKUP(tblTargetMedicos[[#This Row],[codigo_id]],[1]DIM_REPRESENTANTE_MEDICO!$C:$F,4,0)</f>
        <v>12</v>
      </c>
      <c r="E118">
        <f>VLOOKUP(tblTargetMedicos[[#This Row],[codigo_id]],[1]DIM_REPRESENTANTE_MEDICO!$C:$F,3,0)</f>
        <v>6</v>
      </c>
      <c r="F118" s="27" t="s">
        <v>5796</v>
      </c>
      <c r="G118" s="27" t="s">
        <v>5786</v>
      </c>
      <c r="H118" s="27" t="s">
        <v>96</v>
      </c>
      <c r="I118">
        <v>1</v>
      </c>
    </row>
    <row r="119" spans="1:9">
      <c r="A119" t="s">
        <v>534</v>
      </c>
      <c r="B119" s="27" t="s">
        <v>3218</v>
      </c>
      <c r="C119" s="27" t="s">
        <v>5764</v>
      </c>
      <c r="D119">
        <f>VLOOKUP(tblTargetMedicos[[#This Row],[codigo_id]],[1]DIM_REPRESENTANTE_MEDICO!$C:$F,4,0)</f>
        <v>12</v>
      </c>
      <c r="E119">
        <f>VLOOKUP(tblTargetMedicos[[#This Row],[codigo_id]],[1]DIM_REPRESENTANTE_MEDICO!$C:$F,3,0)</f>
        <v>6</v>
      </c>
      <c r="F119" s="27" t="s">
        <v>5796</v>
      </c>
      <c r="G119" s="27" t="s">
        <v>5783</v>
      </c>
      <c r="H119" s="27" t="s">
        <v>95</v>
      </c>
      <c r="I119">
        <v>1</v>
      </c>
    </row>
    <row r="120" spans="1:9">
      <c r="A120" t="s">
        <v>535</v>
      </c>
      <c r="B120" s="27" t="s">
        <v>3218</v>
      </c>
      <c r="C120" s="27" t="s">
        <v>5764</v>
      </c>
      <c r="D120">
        <f>VLOOKUP(tblTargetMedicos[[#This Row],[codigo_id]],[1]DIM_REPRESENTANTE_MEDICO!$C:$F,4,0)</f>
        <v>12</v>
      </c>
      <c r="E120">
        <f>VLOOKUP(tblTargetMedicos[[#This Row],[codigo_id]],[1]DIM_REPRESENTANTE_MEDICO!$C:$F,3,0)</f>
        <v>6</v>
      </c>
      <c r="F120" s="27" t="s">
        <v>5796</v>
      </c>
      <c r="G120" s="27" t="s">
        <v>5784</v>
      </c>
      <c r="H120" s="27" t="s">
        <v>95</v>
      </c>
      <c r="I120">
        <v>1</v>
      </c>
    </row>
    <row r="121" spans="1:9">
      <c r="A121" t="s">
        <v>536</v>
      </c>
      <c r="B121" s="27" t="s">
        <v>3218</v>
      </c>
      <c r="C121" s="27" t="s">
        <v>5764</v>
      </c>
      <c r="D121">
        <f>VLOOKUP(tblTargetMedicos[[#This Row],[codigo_id]],[1]DIM_REPRESENTANTE_MEDICO!$C:$F,4,0)</f>
        <v>12</v>
      </c>
      <c r="E121">
        <f>VLOOKUP(tblTargetMedicos[[#This Row],[codigo_id]],[1]DIM_REPRESENTANTE_MEDICO!$C:$F,3,0)</f>
        <v>6</v>
      </c>
      <c r="F121" s="27" t="s">
        <v>5796</v>
      </c>
      <c r="G121" s="27" t="s">
        <v>5784</v>
      </c>
      <c r="H121" s="27" t="s">
        <v>97</v>
      </c>
      <c r="I121">
        <v>1</v>
      </c>
    </row>
    <row r="122" spans="1:9">
      <c r="A122" t="s">
        <v>537</v>
      </c>
      <c r="B122" s="27" t="s">
        <v>3218</v>
      </c>
      <c r="C122" s="27" t="s">
        <v>5764</v>
      </c>
      <c r="D122">
        <f>VLOOKUP(tblTargetMedicos[[#This Row],[codigo_id]],[1]DIM_REPRESENTANTE_MEDICO!$C:$F,4,0)</f>
        <v>12</v>
      </c>
      <c r="E122">
        <f>VLOOKUP(tblTargetMedicos[[#This Row],[codigo_id]],[1]DIM_REPRESENTANTE_MEDICO!$C:$F,3,0)</f>
        <v>6</v>
      </c>
      <c r="F122" s="27" t="s">
        <v>5796</v>
      </c>
      <c r="G122" s="27" t="s">
        <v>5779</v>
      </c>
      <c r="H122" s="27" t="s">
        <v>95</v>
      </c>
      <c r="I122">
        <v>1</v>
      </c>
    </row>
    <row r="123" spans="1:9">
      <c r="A123" t="s">
        <v>538</v>
      </c>
      <c r="B123" s="27" t="s">
        <v>3218</v>
      </c>
      <c r="C123" s="27" t="s">
        <v>5764</v>
      </c>
      <c r="D123">
        <f>VLOOKUP(tblTargetMedicos[[#This Row],[codigo_id]],[1]DIM_REPRESENTANTE_MEDICO!$C:$F,4,0)</f>
        <v>12</v>
      </c>
      <c r="E123">
        <f>VLOOKUP(tblTargetMedicos[[#This Row],[codigo_id]],[1]DIM_REPRESENTANTE_MEDICO!$C:$F,3,0)</f>
        <v>6</v>
      </c>
      <c r="F123" s="27" t="s">
        <v>5796</v>
      </c>
      <c r="G123" s="27" t="s">
        <v>5785</v>
      </c>
      <c r="H123" s="27" t="s">
        <v>95</v>
      </c>
      <c r="I123">
        <v>1</v>
      </c>
    </row>
    <row r="124" spans="1:9">
      <c r="A124" t="s">
        <v>539</v>
      </c>
      <c r="B124" s="27" t="s">
        <v>3218</v>
      </c>
      <c r="C124" s="27" t="s">
        <v>5764</v>
      </c>
      <c r="D124">
        <f>VLOOKUP(tblTargetMedicos[[#This Row],[codigo_id]],[1]DIM_REPRESENTANTE_MEDICO!$C:$F,4,0)</f>
        <v>12</v>
      </c>
      <c r="E124">
        <f>VLOOKUP(tblTargetMedicos[[#This Row],[codigo_id]],[1]DIM_REPRESENTANTE_MEDICO!$C:$F,3,0)</f>
        <v>6</v>
      </c>
      <c r="F124" s="27" t="s">
        <v>5796</v>
      </c>
      <c r="G124" s="27" t="s">
        <v>5784</v>
      </c>
      <c r="H124" s="27" t="s">
        <v>95</v>
      </c>
      <c r="I124">
        <v>1</v>
      </c>
    </row>
    <row r="125" spans="1:9">
      <c r="A125" t="s">
        <v>540</v>
      </c>
      <c r="B125" s="27" t="s">
        <v>3218</v>
      </c>
      <c r="C125" s="27" t="s">
        <v>5764</v>
      </c>
      <c r="D125">
        <f>VLOOKUP(tblTargetMedicos[[#This Row],[codigo_id]],[1]DIM_REPRESENTANTE_MEDICO!$C:$F,4,0)</f>
        <v>12</v>
      </c>
      <c r="E125">
        <f>VLOOKUP(tblTargetMedicos[[#This Row],[codigo_id]],[1]DIM_REPRESENTANTE_MEDICO!$C:$F,3,0)</f>
        <v>6</v>
      </c>
      <c r="F125" s="27" t="s">
        <v>5796</v>
      </c>
      <c r="G125" s="27" t="s">
        <v>5784</v>
      </c>
      <c r="H125" s="27" t="s">
        <v>95</v>
      </c>
      <c r="I125">
        <v>1</v>
      </c>
    </row>
    <row r="126" spans="1:9">
      <c r="A126" t="s">
        <v>541</v>
      </c>
      <c r="B126" s="27" t="s">
        <v>3218</v>
      </c>
      <c r="C126" s="27" t="s">
        <v>5764</v>
      </c>
      <c r="D126">
        <f>VLOOKUP(tblTargetMedicos[[#This Row],[codigo_id]],[1]DIM_REPRESENTANTE_MEDICO!$C:$F,4,0)</f>
        <v>12</v>
      </c>
      <c r="E126">
        <f>VLOOKUP(tblTargetMedicos[[#This Row],[codigo_id]],[1]DIM_REPRESENTANTE_MEDICO!$C:$F,3,0)</f>
        <v>6</v>
      </c>
      <c r="F126" s="27" t="s">
        <v>5796</v>
      </c>
      <c r="G126" s="27" t="s">
        <v>5784</v>
      </c>
      <c r="H126" s="27" t="s">
        <v>96</v>
      </c>
      <c r="I126">
        <v>1</v>
      </c>
    </row>
    <row r="127" spans="1:9">
      <c r="A127" t="s">
        <v>542</v>
      </c>
      <c r="B127" s="27" t="s">
        <v>3218</v>
      </c>
      <c r="C127" s="27" t="s">
        <v>5764</v>
      </c>
      <c r="D127">
        <f>VLOOKUP(tblTargetMedicos[[#This Row],[codigo_id]],[1]DIM_REPRESENTANTE_MEDICO!$C:$F,4,0)</f>
        <v>12</v>
      </c>
      <c r="E127">
        <f>VLOOKUP(tblTargetMedicos[[#This Row],[codigo_id]],[1]DIM_REPRESENTANTE_MEDICO!$C:$F,3,0)</f>
        <v>6</v>
      </c>
      <c r="F127" s="27" t="s">
        <v>5796</v>
      </c>
      <c r="G127" s="27" t="s">
        <v>5785</v>
      </c>
      <c r="H127" s="27" t="s">
        <v>96</v>
      </c>
      <c r="I127">
        <v>1</v>
      </c>
    </row>
    <row r="128" spans="1:9">
      <c r="A128" t="s">
        <v>543</v>
      </c>
      <c r="B128" s="27" t="s">
        <v>3218</v>
      </c>
      <c r="C128" s="27" t="s">
        <v>5764</v>
      </c>
      <c r="D128">
        <f>VLOOKUP(tblTargetMedicos[[#This Row],[codigo_id]],[1]DIM_REPRESENTANTE_MEDICO!$C:$F,4,0)</f>
        <v>12</v>
      </c>
      <c r="E128">
        <f>VLOOKUP(tblTargetMedicos[[#This Row],[codigo_id]],[1]DIM_REPRESENTANTE_MEDICO!$C:$F,3,0)</f>
        <v>6</v>
      </c>
      <c r="F128" s="27" t="s">
        <v>5796</v>
      </c>
      <c r="G128" s="27" t="s">
        <v>5779</v>
      </c>
      <c r="H128" s="27" t="s">
        <v>95</v>
      </c>
      <c r="I128">
        <v>1</v>
      </c>
    </row>
    <row r="129" spans="1:9">
      <c r="A129" t="s">
        <v>544</v>
      </c>
      <c r="B129" s="27" t="s">
        <v>3218</v>
      </c>
      <c r="C129" s="27" t="s">
        <v>5764</v>
      </c>
      <c r="D129">
        <f>VLOOKUP(tblTargetMedicos[[#This Row],[codigo_id]],[1]DIM_REPRESENTANTE_MEDICO!$C:$F,4,0)</f>
        <v>12</v>
      </c>
      <c r="E129">
        <f>VLOOKUP(tblTargetMedicos[[#This Row],[codigo_id]],[1]DIM_REPRESENTANTE_MEDICO!$C:$F,3,0)</f>
        <v>6</v>
      </c>
      <c r="F129" s="27" t="s">
        <v>5796</v>
      </c>
      <c r="G129" s="27" t="s">
        <v>5779</v>
      </c>
      <c r="H129" s="27" t="s">
        <v>96</v>
      </c>
      <c r="I129">
        <v>1</v>
      </c>
    </row>
    <row r="130" spans="1:9">
      <c r="A130" t="s">
        <v>545</v>
      </c>
      <c r="B130" s="27" t="s">
        <v>3218</v>
      </c>
      <c r="C130" s="27" t="s">
        <v>5764</v>
      </c>
      <c r="D130">
        <f>VLOOKUP(tblTargetMedicos[[#This Row],[codigo_id]],[1]DIM_REPRESENTANTE_MEDICO!$C:$F,4,0)</f>
        <v>12</v>
      </c>
      <c r="E130">
        <f>VLOOKUP(tblTargetMedicos[[#This Row],[codigo_id]],[1]DIM_REPRESENTANTE_MEDICO!$C:$F,3,0)</f>
        <v>6</v>
      </c>
      <c r="F130" s="27" t="s">
        <v>5796</v>
      </c>
      <c r="G130" s="27" t="s">
        <v>5784</v>
      </c>
      <c r="H130" s="27" t="s">
        <v>97</v>
      </c>
      <c r="I130">
        <v>1</v>
      </c>
    </row>
    <row r="131" spans="1:9">
      <c r="A131" t="s">
        <v>546</v>
      </c>
      <c r="B131" s="27" t="s">
        <v>3218</v>
      </c>
      <c r="C131" s="27" t="s">
        <v>5764</v>
      </c>
      <c r="D131">
        <f>VLOOKUP(tblTargetMedicos[[#This Row],[codigo_id]],[1]DIM_REPRESENTANTE_MEDICO!$C:$F,4,0)</f>
        <v>12</v>
      </c>
      <c r="E131">
        <f>VLOOKUP(tblTargetMedicos[[#This Row],[codigo_id]],[1]DIM_REPRESENTANTE_MEDICO!$C:$F,3,0)</f>
        <v>6</v>
      </c>
      <c r="F131" s="27" t="s">
        <v>5796</v>
      </c>
      <c r="G131" s="27" t="s">
        <v>5786</v>
      </c>
      <c r="H131" s="27" t="s">
        <v>96</v>
      </c>
      <c r="I131">
        <v>1</v>
      </c>
    </row>
    <row r="132" spans="1:9">
      <c r="A132" t="s">
        <v>547</v>
      </c>
      <c r="B132" s="27" t="s">
        <v>3218</v>
      </c>
      <c r="C132" s="27" t="s">
        <v>5764</v>
      </c>
      <c r="D132">
        <f>VLOOKUP(tblTargetMedicos[[#This Row],[codigo_id]],[1]DIM_REPRESENTANTE_MEDICO!$C:$F,4,0)</f>
        <v>12</v>
      </c>
      <c r="E132">
        <f>VLOOKUP(tblTargetMedicos[[#This Row],[codigo_id]],[1]DIM_REPRESENTANTE_MEDICO!$C:$F,3,0)</f>
        <v>6</v>
      </c>
      <c r="F132" s="27" t="s">
        <v>5796</v>
      </c>
      <c r="G132" s="27" t="s">
        <v>5786</v>
      </c>
      <c r="H132" s="27" t="s">
        <v>96</v>
      </c>
      <c r="I132">
        <v>1</v>
      </c>
    </row>
    <row r="133" spans="1:9">
      <c r="A133" t="s">
        <v>548</v>
      </c>
      <c r="B133" s="27" t="s">
        <v>3218</v>
      </c>
      <c r="C133" s="27" t="s">
        <v>5764</v>
      </c>
      <c r="D133">
        <f>VLOOKUP(tblTargetMedicos[[#This Row],[codigo_id]],[1]DIM_REPRESENTANTE_MEDICO!$C:$F,4,0)</f>
        <v>12</v>
      </c>
      <c r="E133">
        <f>VLOOKUP(tblTargetMedicos[[#This Row],[codigo_id]],[1]DIM_REPRESENTANTE_MEDICO!$C:$F,3,0)</f>
        <v>6</v>
      </c>
      <c r="F133" s="27" t="s">
        <v>5796</v>
      </c>
      <c r="G133" s="27" t="s">
        <v>5784</v>
      </c>
      <c r="H133" s="27" t="s">
        <v>96</v>
      </c>
      <c r="I133">
        <v>1</v>
      </c>
    </row>
    <row r="134" spans="1:9">
      <c r="A134" t="s">
        <v>549</v>
      </c>
      <c r="B134" s="27" t="s">
        <v>3218</v>
      </c>
      <c r="C134" s="27" t="s">
        <v>5764</v>
      </c>
      <c r="D134">
        <f>VLOOKUP(tblTargetMedicos[[#This Row],[codigo_id]],[1]DIM_REPRESENTANTE_MEDICO!$C:$F,4,0)</f>
        <v>12</v>
      </c>
      <c r="E134">
        <f>VLOOKUP(tblTargetMedicos[[#This Row],[codigo_id]],[1]DIM_REPRESENTANTE_MEDICO!$C:$F,3,0)</f>
        <v>6</v>
      </c>
      <c r="F134" s="27" t="s">
        <v>5796</v>
      </c>
      <c r="G134" s="27" t="s">
        <v>5784</v>
      </c>
      <c r="H134" s="27" t="s">
        <v>97</v>
      </c>
      <c r="I134">
        <v>1</v>
      </c>
    </row>
    <row r="135" spans="1:9">
      <c r="A135" t="s">
        <v>550</v>
      </c>
      <c r="B135" s="27" t="s">
        <v>3218</v>
      </c>
      <c r="C135" s="27" t="s">
        <v>5764</v>
      </c>
      <c r="D135">
        <f>VLOOKUP(tblTargetMedicos[[#This Row],[codigo_id]],[1]DIM_REPRESENTANTE_MEDICO!$C:$F,4,0)</f>
        <v>12</v>
      </c>
      <c r="E135">
        <f>VLOOKUP(tblTargetMedicos[[#This Row],[codigo_id]],[1]DIM_REPRESENTANTE_MEDICO!$C:$F,3,0)</f>
        <v>6</v>
      </c>
      <c r="F135" s="27" t="s">
        <v>5796</v>
      </c>
      <c r="G135" s="27" t="s">
        <v>5785</v>
      </c>
      <c r="H135" s="27" t="s">
        <v>97</v>
      </c>
      <c r="I135">
        <v>1</v>
      </c>
    </row>
    <row r="136" spans="1:9">
      <c r="A136" t="s">
        <v>551</v>
      </c>
      <c r="B136" s="27" t="s">
        <v>3218</v>
      </c>
      <c r="C136" s="27" t="s">
        <v>5764</v>
      </c>
      <c r="D136">
        <f>VLOOKUP(tblTargetMedicos[[#This Row],[codigo_id]],[1]DIM_REPRESENTANTE_MEDICO!$C:$F,4,0)</f>
        <v>12</v>
      </c>
      <c r="E136">
        <f>VLOOKUP(tblTargetMedicos[[#This Row],[codigo_id]],[1]DIM_REPRESENTANTE_MEDICO!$C:$F,3,0)</f>
        <v>6</v>
      </c>
      <c r="F136" s="27" t="s">
        <v>5796</v>
      </c>
      <c r="G136" s="27" t="s">
        <v>5784</v>
      </c>
      <c r="H136" s="27" t="s">
        <v>97</v>
      </c>
      <c r="I136">
        <v>1</v>
      </c>
    </row>
    <row r="137" spans="1:9">
      <c r="A137" t="s">
        <v>552</v>
      </c>
      <c r="B137" s="27" t="s">
        <v>3218</v>
      </c>
      <c r="C137" s="27" t="s">
        <v>5764</v>
      </c>
      <c r="D137">
        <f>VLOOKUP(tblTargetMedicos[[#This Row],[codigo_id]],[1]DIM_REPRESENTANTE_MEDICO!$C:$F,4,0)</f>
        <v>12</v>
      </c>
      <c r="E137">
        <f>VLOOKUP(tblTargetMedicos[[#This Row],[codigo_id]],[1]DIM_REPRESENTANTE_MEDICO!$C:$F,3,0)</f>
        <v>6</v>
      </c>
      <c r="F137" s="27" t="s">
        <v>5796</v>
      </c>
      <c r="G137" s="27" t="s">
        <v>5779</v>
      </c>
      <c r="H137" s="27" t="s">
        <v>97</v>
      </c>
      <c r="I137">
        <v>1</v>
      </c>
    </row>
    <row r="138" spans="1:9">
      <c r="A138" t="s">
        <v>553</v>
      </c>
      <c r="B138" s="27" t="s">
        <v>3218</v>
      </c>
      <c r="C138" s="27" t="s">
        <v>5764</v>
      </c>
      <c r="D138">
        <f>VLOOKUP(tblTargetMedicos[[#This Row],[codigo_id]],[1]DIM_REPRESENTANTE_MEDICO!$C:$F,4,0)</f>
        <v>12</v>
      </c>
      <c r="E138">
        <f>VLOOKUP(tblTargetMedicos[[#This Row],[codigo_id]],[1]DIM_REPRESENTANTE_MEDICO!$C:$F,3,0)</f>
        <v>6</v>
      </c>
      <c r="F138" s="27" t="s">
        <v>5796</v>
      </c>
      <c r="G138" s="27" t="s">
        <v>5786</v>
      </c>
      <c r="H138" s="27" t="s">
        <v>97</v>
      </c>
      <c r="I138">
        <v>1</v>
      </c>
    </row>
    <row r="139" spans="1:9">
      <c r="A139" t="s">
        <v>554</v>
      </c>
      <c r="B139" s="27" t="s">
        <v>3218</v>
      </c>
      <c r="C139" s="27" t="s">
        <v>5764</v>
      </c>
      <c r="D139">
        <f>VLOOKUP(tblTargetMedicos[[#This Row],[codigo_id]],[1]DIM_REPRESENTANTE_MEDICO!$C:$F,4,0)</f>
        <v>12</v>
      </c>
      <c r="E139">
        <f>VLOOKUP(tblTargetMedicos[[#This Row],[codigo_id]],[1]DIM_REPRESENTANTE_MEDICO!$C:$F,3,0)</f>
        <v>6</v>
      </c>
      <c r="F139" s="27" t="s">
        <v>5796</v>
      </c>
      <c r="G139" s="27" t="s">
        <v>5787</v>
      </c>
      <c r="H139" s="27" t="s">
        <v>97</v>
      </c>
      <c r="I139">
        <v>1</v>
      </c>
    </row>
    <row r="140" spans="1:9">
      <c r="A140" t="s">
        <v>555</v>
      </c>
      <c r="B140" s="27" t="s">
        <v>3218</v>
      </c>
      <c r="C140" s="27" t="s">
        <v>5764</v>
      </c>
      <c r="D140">
        <f>VLOOKUP(tblTargetMedicos[[#This Row],[codigo_id]],[1]DIM_REPRESENTANTE_MEDICO!$C:$F,4,0)</f>
        <v>12</v>
      </c>
      <c r="E140">
        <f>VLOOKUP(tblTargetMedicos[[#This Row],[codigo_id]],[1]DIM_REPRESENTANTE_MEDICO!$C:$F,3,0)</f>
        <v>6</v>
      </c>
      <c r="F140" s="27" t="s">
        <v>5796</v>
      </c>
      <c r="G140" s="27" t="s">
        <v>5785</v>
      </c>
      <c r="H140" s="27" t="s">
        <v>97</v>
      </c>
      <c r="I140">
        <v>1</v>
      </c>
    </row>
    <row r="141" spans="1:9">
      <c r="A141" t="s">
        <v>556</v>
      </c>
      <c r="B141" s="27" t="s">
        <v>3218</v>
      </c>
      <c r="C141" s="27" t="s">
        <v>5764</v>
      </c>
      <c r="D141">
        <f>VLOOKUP(tblTargetMedicos[[#This Row],[codigo_id]],[1]DIM_REPRESENTANTE_MEDICO!$C:$F,4,0)</f>
        <v>12</v>
      </c>
      <c r="E141">
        <f>VLOOKUP(tblTargetMedicos[[#This Row],[codigo_id]],[1]DIM_REPRESENTANTE_MEDICO!$C:$F,3,0)</f>
        <v>6</v>
      </c>
      <c r="F141" s="27" t="s">
        <v>5796</v>
      </c>
      <c r="G141" s="27" t="s">
        <v>5783</v>
      </c>
      <c r="H141" s="27" t="s">
        <v>97</v>
      </c>
      <c r="I141">
        <v>1</v>
      </c>
    </row>
    <row r="142" spans="1:9">
      <c r="A142" t="s">
        <v>557</v>
      </c>
      <c r="B142" s="27" t="s">
        <v>3218</v>
      </c>
      <c r="C142" s="27" t="s">
        <v>5764</v>
      </c>
      <c r="D142">
        <f>VLOOKUP(tblTargetMedicos[[#This Row],[codigo_id]],[1]DIM_REPRESENTANTE_MEDICO!$C:$F,4,0)</f>
        <v>12</v>
      </c>
      <c r="E142">
        <f>VLOOKUP(tblTargetMedicos[[#This Row],[codigo_id]],[1]DIM_REPRESENTANTE_MEDICO!$C:$F,3,0)</f>
        <v>6</v>
      </c>
      <c r="F142" s="27" t="s">
        <v>5796</v>
      </c>
      <c r="G142" s="27" t="s">
        <v>5786</v>
      </c>
      <c r="H142" s="27" t="s">
        <v>97</v>
      </c>
      <c r="I142">
        <v>1</v>
      </c>
    </row>
    <row r="143" spans="1:9">
      <c r="A143" t="s">
        <v>558</v>
      </c>
      <c r="B143" s="27" t="s">
        <v>3218</v>
      </c>
      <c r="C143" s="27" t="s">
        <v>5764</v>
      </c>
      <c r="D143">
        <f>VLOOKUP(tblTargetMedicos[[#This Row],[codigo_id]],[1]DIM_REPRESENTANTE_MEDICO!$C:$F,4,0)</f>
        <v>12</v>
      </c>
      <c r="E143">
        <f>VLOOKUP(tblTargetMedicos[[#This Row],[codigo_id]],[1]DIM_REPRESENTANTE_MEDICO!$C:$F,3,0)</f>
        <v>6</v>
      </c>
      <c r="F143" s="27" t="s">
        <v>5796</v>
      </c>
      <c r="G143" s="27" t="s">
        <v>5784</v>
      </c>
      <c r="H143" s="27" t="s">
        <v>97</v>
      </c>
      <c r="I143">
        <v>1</v>
      </c>
    </row>
    <row r="144" spans="1:9">
      <c r="A144" t="s">
        <v>559</v>
      </c>
      <c r="B144" s="27" t="s">
        <v>3218</v>
      </c>
      <c r="C144" s="27" t="s">
        <v>5764</v>
      </c>
      <c r="D144">
        <f>VLOOKUP(tblTargetMedicos[[#This Row],[codigo_id]],[1]DIM_REPRESENTANTE_MEDICO!$C:$F,4,0)</f>
        <v>12</v>
      </c>
      <c r="E144">
        <f>VLOOKUP(tblTargetMedicos[[#This Row],[codigo_id]],[1]DIM_REPRESENTANTE_MEDICO!$C:$F,3,0)</f>
        <v>6</v>
      </c>
      <c r="F144" s="27" t="s">
        <v>5796</v>
      </c>
      <c r="G144" s="27" t="s">
        <v>5786</v>
      </c>
      <c r="H144" s="27" t="s">
        <v>97</v>
      </c>
      <c r="I144">
        <v>1</v>
      </c>
    </row>
    <row r="145" spans="1:9">
      <c r="A145" t="s">
        <v>560</v>
      </c>
      <c r="B145" s="27" t="s">
        <v>3218</v>
      </c>
      <c r="C145" s="27" t="s">
        <v>5764</v>
      </c>
      <c r="D145">
        <f>VLOOKUP(tblTargetMedicos[[#This Row],[codigo_id]],[1]DIM_REPRESENTANTE_MEDICO!$C:$F,4,0)</f>
        <v>12</v>
      </c>
      <c r="E145">
        <f>VLOOKUP(tblTargetMedicos[[#This Row],[codigo_id]],[1]DIM_REPRESENTANTE_MEDICO!$C:$F,3,0)</f>
        <v>6</v>
      </c>
      <c r="F145" s="27" t="s">
        <v>5796</v>
      </c>
      <c r="G145" s="27" t="s">
        <v>5782</v>
      </c>
      <c r="H145" s="27" t="s">
        <v>97</v>
      </c>
      <c r="I145">
        <v>1</v>
      </c>
    </row>
    <row r="146" spans="1:9">
      <c r="A146" t="s">
        <v>561</v>
      </c>
      <c r="B146" s="27" t="s">
        <v>3218</v>
      </c>
      <c r="C146" s="27" t="s">
        <v>5764</v>
      </c>
      <c r="D146">
        <f>VLOOKUP(tblTargetMedicos[[#This Row],[codigo_id]],[1]DIM_REPRESENTANTE_MEDICO!$C:$F,4,0)</f>
        <v>12</v>
      </c>
      <c r="E146">
        <f>VLOOKUP(tblTargetMedicos[[#This Row],[codigo_id]],[1]DIM_REPRESENTANTE_MEDICO!$C:$F,3,0)</f>
        <v>6</v>
      </c>
      <c r="F146" s="27" t="s">
        <v>5796</v>
      </c>
      <c r="G146" s="27" t="s">
        <v>5788</v>
      </c>
      <c r="H146" s="27" t="s">
        <v>97</v>
      </c>
      <c r="I146">
        <v>1</v>
      </c>
    </row>
    <row r="147" spans="1:9">
      <c r="A147" t="s">
        <v>562</v>
      </c>
      <c r="B147" s="27" t="s">
        <v>3218</v>
      </c>
      <c r="C147" s="27" t="s">
        <v>5764</v>
      </c>
      <c r="D147">
        <f>VLOOKUP(tblTargetMedicos[[#This Row],[codigo_id]],[1]DIM_REPRESENTANTE_MEDICO!$C:$F,4,0)</f>
        <v>12</v>
      </c>
      <c r="E147">
        <f>VLOOKUP(tblTargetMedicos[[#This Row],[codigo_id]],[1]DIM_REPRESENTANTE_MEDICO!$C:$F,3,0)</f>
        <v>6</v>
      </c>
      <c r="F147" s="27" t="s">
        <v>5796</v>
      </c>
      <c r="G147" s="27" t="s">
        <v>5781</v>
      </c>
      <c r="H147" s="27" t="s">
        <v>97</v>
      </c>
      <c r="I147">
        <v>1</v>
      </c>
    </row>
    <row r="148" spans="1:9">
      <c r="A148" t="s">
        <v>563</v>
      </c>
      <c r="B148" s="27" t="s">
        <v>3218</v>
      </c>
      <c r="C148" s="27" t="s">
        <v>5764</v>
      </c>
      <c r="D148">
        <f>VLOOKUP(tblTargetMedicos[[#This Row],[codigo_id]],[1]DIM_REPRESENTANTE_MEDICO!$C:$F,4,0)</f>
        <v>12</v>
      </c>
      <c r="E148">
        <f>VLOOKUP(tblTargetMedicos[[#This Row],[codigo_id]],[1]DIM_REPRESENTANTE_MEDICO!$C:$F,3,0)</f>
        <v>6</v>
      </c>
      <c r="F148" s="27" t="s">
        <v>5796</v>
      </c>
      <c r="G148" s="27" t="s">
        <v>5783</v>
      </c>
      <c r="H148" s="27" t="s">
        <v>97</v>
      </c>
      <c r="I148">
        <v>1</v>
      </c>
    </row>
    <row r="149" spans="1:9">
      <c r="A149" t="s">
        <v>564</v>
      </c>
      <c r="B149" s="27" t="s">
        <v>3218</v>
      </c>
      <c r="C149" s="27" t="s">
        <v>5764</v>
      </c>
      <c r="D149">
        <f>VLOOKUP(tblTargetMedicos[[#This Row],[codigo_id]],[1]DIM_REPRESENTANTE_MEDICO!$C:$F,4,0)</f>
        <v>12</v>
      </c>
      <c r="E149">
        <f>VLOOKUP(tblTargetMedicos[[#This Row],[codigo_id]],[1]DIM_REPRESENTANTE_MEDICO!$C:$F,3,0)</f>
        <v>6</v>
      </c>
      <c r="F149" s="27" t="s">
        <v>5796</v>
      </c>
      <c r="G149" s="27" t="s">
        <v>5786</v>
      </c>
      <c r="H149" s="27" t="s">
        <v>97</v>
      </c>
      <c r="I149">
        <v>1</v>
      </c>
    </row>
    <row r="150" spans="1:9">
      <c r="A150" t="s">
        <v>565</v>
      </c>
      <c r="B150" s="27" t="s">
        <v>3218</v>
      </c>
      <c r="C150" s="27" t="s">
        <v>5764</v>
      </c>
      <c r="D150">
        <f>VLOOKUP(tblTargetMedicos[[#This Row],[codigo_id]],[1]DIM_REPRESENTANTE_MEDICO!$C:$F,4,0)</f>
        <v>12</v>
      </c>
      <c r="E150">
        <f>VLOOKUP(tblTargetMedicos[[#This Row],[codigo_id]],[1]DIM_REPRESENTANTE_MEDICO!$C:$F,3,0)</f>
        <v>6</v>
      </c>
      <c r="F150" s="27" t="s">
        <v>5796</v>
      </c>
      <c r="G150" s="27" t="s">
        <v>5786</v>
      </c>
      <c r="H150" s="27" t="s">
        <v>96</v>
      </c>
      <c r="I150">
        <v>1</v>
      </c>
    </row>
    <row r="151" spans="1:9">
      <c r="A151" t="s">
        <v>566</v>
      </c>
      <c r="B151" s="27" t="s">
        <v>3218</v>
      </c>
      <c r="C151" s="27" t="s">
        <v>5764</v>
      </c>
      <c r="D151">
        <f>VLOOKUP(tblTargetMedicos[[#This Row],[codigo_id]],[1]DIM_REPRESENTANTE_MEDICO!$C:$F,4,0)</f>
        <v>12</v>
      </c>
      <c r="E151">
        <f>VLOOKUP(tblTargetMedicos[[#This Row],[codigo_id]],[1]DIM_REPRESENTANTE_MEDICO!$C:$F,3,0)</f>
        <v>6</v>
      </c>
      <c r="F151" s="27" t="s">
        <v>5796</v>
      </c>
      <c r="G151" s="27" t="s">
        <v>5779</v>
      </c>
      <c r="H151" s="27" t="s">
        <v>96</v>
      </c>
      <c r="I151">
        <v>1</v>
      </c>
    </row>
    <row r="152" spans="1:9">
      <c r="A152" t="s">
        <v>567</v>
      </c>
      <c r="B152" s="27" t="s">
        <v>3218</v>
      </c>
      <c r="C152" s="27" t="s">
        <v>5764</v>
      </c>
      <c r="D152">
        <f>VLOOKUP(tblTargetMedicos[[#This Row],[codigo_id]],[1]DIM_REPRESENTANTE_MEDICO!$C:$F,4,0)</f>
        <v>12</v>
      </c>
      <c r="E152">
        <f>VLOOKUP(tblTargetMedicos[[#This Row],[codigo_id]],[1]DIM_REPRESENTANTE_MEDICO!$C:$F,3,0)</f>
        <v>6</v>
      </c>
      <c r="F152" s="27" t="s">
        <v>5796</v>
      </c>
      <c r="G152" s="27" t="s">
        <v>5782</v>
      </c>
      <c r="H152" s="27" t="s">
        <v>96</v>
      </c>
      <c r="I152">
        <v>1</v>
      </c>
    </row>
    <row r="153" spans="1:9">
      <c r="A153" t="s">
        <v>568</v>
      </c>
      <c r="B153" s="27" t="s">
        <v>3218</v>
      </c>
      <c r="C153" s="27" t="s">
        <v>5764</v>
      </c>
      <c r="D153">
        <f>VLOOKUP(tblTargetMedicos[[#This Row],[codigo_id]],[1]DIM_REPRESENTANTE_MEDICO!$C:$F,4,0)</f>
        <v>12</v>
      </c>
      <c r="E153">
        <f>VLOOKUP(tblTargetMedicos[[#This Row],[codigo_id]],[1]DIM_REPRESENTANTE_MEDICO!$C:$F,3,0)</f>
        <v>6</v>
      </c>
      <c r="F153" s="27" t="s">
        <v>5796</v>
      </c>
      <c r="G153" s="27" t="s">
        <v>5782</v>
      </c>
      <c r="H153" s="27" t="s">
        <v>96</v>
      </c>
      <c r="I153">
        <v>1</v>
      </c>
    </row>
    <row r="154" spans="1:9">
      <c r="A154" t="s">
        <v>569</v>
      </c>
      <c r="B154" s="27" t="s">
        <v>3218</v>
      </c>
      <c r="C154" s="27" t="s">
        <v>5764</v>
      </c>
      <c r="D154">
        <f>VLOOKUP(tblTargetMedicos[[#This Row],[codigo_id]],[1]DIM_REPRESENTANTE_MEDICO!$C:$F,4,0)</f>
        <v>12</v>
      </c>
      <c r="E154">
        <f>VLOOKUP(tblTargetMedicos[[#This Row],[codigo_id]],[1]DIM_REPRESENTANTE_MEDICO!$C:$F,3,0)</f>
        <v>6</v>
      </c>
      <c r="F154" s="27" t="s">
        <v>5796</v>
      </c>
      <c r="G154" s="27" t="s">
        <v>5782</v>
      </c>
      <c r="H154" s="27" t="s">
        <v>96</v>
      </c>
      <c r="I154">
        <v>1</v>
      </c>
    </row>
    <row r="155" spans="1:9">
      <c r="A155" t="s">
        <v>570</v>
      </c>
      <c r="B155" s="27" t="s">
        <v>3218</v>
      </c>
      <c r="C155" s="27" t="s">
        <v>5764</v>
      </c>
      <c r="D155">
        <f>VLOOKUP(tblTargetMedicos[[#This Row],[codigo_id]],[1]DIM_REPRESENTANTE_MEDICO!$C:$F,4,0)</f>
        <v>12</v>
      </c>
      <c r="E155">
        <f>VLOOKUP(tblTargetMedicos[[#This Row],[codigo_id]],[1]DIM_REPRESENTANTE_MEDICO!$C:$F,3,0)</f>
        <v>6</v>
      </c>
      <c r="F155" s="27" t="s">
        <v>5796</v>
      </c>
      <c r="G155" s="27" t="s">
        <v>5784</v>
      </c>
      <c r="H155" s="27" t="s">
        <v>96</v>
      </c>
      <c r="I155">
        <v>1</v>
      </c>
    </row>
    <row r="156" spans="1:9">
      <c r="A156" t="s">
        <v>571</v>
      </c>
      <c r="B156" s="27" t="s">
        <v>3218</v>
      </c>
      <c r="C156" s="27" t="s">
        <v>5764</v>
      </c>
      <c r="D156">
        <f>VLOOKUP(tblTargetMedicos[[#This Row],[codigo_id]],[1]DIM_REPRESENTANTE_MEDICO!$C:$F,4,0)</f>
        <v>12</v>
      </c>
      <c r="E156">
        <f>VLOOKUP(tblTargetMedicos[[#This Row],[codigo_id]],[1]DIM_REPRESENTANTE_MEDICO!$C:$F,3,0)</f>
        <v>6</v>
      </c>
      <c r="F156" s="27" t="s">
        <v>5796</v>
      </c>
      <c r="G156" s="27" t="s">
        <v>5788</v>
      </c>
      <c r="H156" s="27" t="s">
        <v>95</v>
      </c>
      <c r="I156">
        <v>1</v>
      </c>
    </row>
    <row r="157" spans="1:9">
      <c r="A157" t="s">
        <v>572</v>
      </c>
      <c r="B157" s="27" t="s">
        <v>3218</v>
      </c>
      <c r="C157" s="27" t="s">
        <v>5764</v>
      </c>
      <c r="D157">
        <f>VLOOKUP(tblTargetMedicos[[#This Row],[codigo_id]],[1]DIM_REPRESENTANTE_MEDICO!$C:$F,4,0)</f>
        <v>12</v>
      </c>
      <c r="E157">
        <f>VLOOKUP(tblTargetMedicos[[#This Row],[codigo_id]],[1]DIM_REPRESENTANTE_MEDICO!$C:$F,3,0)</f>
        <v>6</v>
      </c>
      <c r="F157" s="27" t="s">
        <v>5796</v>
      </c>
      <c r="G157" s="27" t="s">
        <v>5784</v>
      </c>
      <c r="H157" s="27" t="s">
        <v>95</v>
      </c>
      <c r="I157">
        <v>1</v>
      </c>
    </row>
    <row r="158" spans="1:9">
      <c r="A158" t="s">
        <v>573</v>
      </c>
      <c r="B158" s="27" t="s">
        <v>3218</v>
      </c>
      <c r="C158" s="27" t="s">
        <v>5764</v>
      </c>
      <c r="D158">
        <f>VLOOKUP(tblTargetMedicos[[#This Row],[codigo_id]],[1]DIM_REPRESENTANTE_MEDICO!$C:$F,4,0)</f>
        <v>12</v>
      </c>
      <c r="E158">
        <f>VLOOKUP(tblTargetMedicos[[#This Row],[codigo_id]],[1]DIM_REPRESENTANTE_MEDICO!$C:$F,3,0)</f>
        <v>6</v>
      </c>
      <c r="F158" s="27" t="s">
        <v>5796</v>
      </c>
      <c r="G158" s="27" t="s">
        <v>5784</v>
      </c>
      <c r="H158" s="27" t="s">
        <v>95</v>
      </c>
      <c r="I158">
        <v>1</v>
      </c>
    </row>
    <row r="159" spans="1:9">
      <c r="A159" t="s">
        <v>574</v>
      </c>
      <c r="B159" s="27" t="s">
        <v>3218</v>
      </c>
      <c r="C159" s="27" t="s">
        <v>5764</v>
      </c>
      <c r="D159">
        <f>VLOOKUP(tblTargetMedicos[[#This Row],[codigo_id]],[1]DIM_REPRESENTANTE_MEDICO!$C:$F,4,0)</f>
        <v>12</v>
      </c>
      <c r="E159">
        <f>VLOOKUP(tblTargetMedicos[[#This Row],[codigo_id]],[1]DIM_REPRESENTANTE_MEDICO!$C:$F,3,0)</f>
        <v>6</v>
      </c>
      <c r="F159" s="27" t="s">
        <v>5796</v>
      </c>
      <c r="G159" s="27" t="s">
        <v>5786</v>
      </c>
      <c r="H159" s="27" t="s">
        <v>95</v>
      </c>
      <c r="I159">
        <v>1</v>
      </c>
    </row>
    <row r="160" spans="1:9">
      <c r="A160" t="s">
        <v>575</v>
      </c>
      <c r="B160" s="27" t="s">
        <v>3218</v>
      </c>
      <c r="C160" s="27" t="s">
        <v>5764</v>
      </c>
      <c r="D160">
        <f>VLOOKUP(tblTargetMedicos[[#This Row],[codigo_id]],[1]DIM_REPRESENTANTE_MEDICO!$C:$F,4,0)</f>
        <v>12</v>
      </c>
      <c r="E160">
        <f>VLOOKUP(tblTargetMedicos[[#This Row],[codigo_id]],[1]DIM_REPRESENTANTE_MEDICO!$C:$F,3,0)</f>
        <v>6</v>
      </c>
      <c r="F160" s="27" t="s">
        <v>5796</v>
      </c>
      <c r="G160" s="27" t="s">
        <v>5787</v>
      </c>
      <c r="H160" s="27" t="s">
        <v>96</v>
      </c>
      <c r="I160">
        <v>1</v>
      </c>
    </row>
    <row r="161" spans="1:9">
      <c r="A161" t="s">
        <v>576</v>
      </c>
      <c r="B161" s="27" t="s">
        <v>3218</v>
      </c>
      <c r="C161" s="27" t="s">
        <v>5764</v>
      </c>
      <c r="D161">
        <f>VLOOKUP(tblTargetMedicos[[#This Row],[codigo_id]],[1]DIM_REPRESENTANTE_MEDICO!$C:$F,4,0)</f>
        <v>12</v>
      </c>
      <c r="E161">
        <f>VLOOKUP(tblTargetMedicos[[#This Row],[codigo_id]],[1]DIM_REPRESENTANTE_MEDICO!$C:$F,3,0)</f>
        <v>6</v>
      </c>
      <c r="F161" s="27" t="s">
        <v>5796</v>
      </c>
      <c r="G161" s="27" t="s">
        <v>5785</v>
      </c>
      <c r="H161" s="27" t="s">
        <v>96</v>
      </c>
      <c r="I161">
        <v>1</v>
      </c>
    </row>
    <row r="162" spans="1:9">
      <c r="A162" t="s">
        <v>577</v>
      </c>
      <c r="B162" s="27" t="s">
        <v>3218</v>
      </c>
      <c r="C162" s="27" t="s">
        <v>5764</v>
      </c>
      <c r="D162">
        <f>VLOOKUP(tblTargetMedicos[[#This Row],[codigo_id]],[1]DIM_REPRESENTANTE_MEDICO!$C:$F,4,0)</f>
        <v>12</v>
      </c>
      <c r="E162">
        <f>VLOOKUP(tblTargetMedicos[[#This Row],[codigo_id]],[1]DIM_REPRESENTANTE_MEDICO!$C:$F,3,0)</f>
        <v>6</v>
      </c>
      <c r="F162" s="27" t="s">
        <v>5796</v>
      </c>
      <c r="G162" s="27" t="s">
        <v>5784</v>
      </c>
      <c r="H162" s="27" t="s">
        <v>96</v>
      </c>
      <c r="I162">
        <v>1</v>
      </c>
    </row>
    <row r="163" spans="1:9">
      <c r="A163" t="s">
        <v>578</v>
      </c>
      <c r="B163" s="27" t="s">
        <v>3218</v>
      </c>
      <c r="C163" s="27" t="s">
        <v>5764</v>
      </c>
      <c r="D163">
        <f>VLOOKUP(tblTargetMedicos[[#This Row],[codigo_id]],[1]DIM_REPRESENTANTE_MEDICO!$C:$F,4,0)</f>
        <v>12</v>
      </c>
      <c r="E163">
        <f>VLOOKUP(tblTargetMedicos[[#This Row],[codigo_id]],[1]DIM_REPRESENTANTE_MEDICO!$C:$F,3,0)</f>
        <v>6</v>
      </c>
      <c r="F163" s="27" t="s">
        <v>5796</v>
      </c>
      <c r="G163" s="27" t="s">
        <v>5785</v>
      </c>
      <c r="H163" s="27" t="s">
        <v>96</v>
      </c>
      <c r="I163">
        <v>1</v>
      </c>
    </row>
    <row r="164" spans="1:9">
      <c r="A164" t="s">
        <v>579</v>
      </c>
      <c r="B164" s="27" t="s">
        <v>3218</v>
      </c>
      <c r="C164" s="27" t="s">
        <v>5764</v>
      </c>
      <c r="D164">
        <f>VLOOKUP(tblTargetMedicos[[#This Row],[codigo_id]],[1]DIM_REPRESENTANTE_MEDICO!$C:$F,4,0)</f>
        <v>12</v>
      </c>
      <c r="E164">
        <f>VLOOKUP(tblTargetMedicos[[#This Row],[codigo_id]],[1]DIM_REPRESENTANTE_MEDICO!$C:$F,3,0)</f>
        <v>6</v>
      </c>
      <c r="F164" s="27" t="s">
        <v>5796</v>
      </c>
      <c r="G164" s="27" t="s">
        <v>5784</v>
      </c>
      <c r="H164" s="27" t="s">
        <v>96</v>
      </c>
      <c r="I164">
        <v>1</v>
      </c>
    </row>
    <row r="165" spans="1:9">
      <c r="A165" t="s">
        <v>580</v>
      </c>
      <c r="B165" s="27" t="s">
        <v>3218</v>
      </c>
      <c r="C165" s="27" t="s">
        <v>5764</v>
      </c>
      <c r="D165">
        <f>VLOOKUP(tblTargetMedicos[[#This Row],[codigo_id]],[1]DIM_REPRESENTANTE_MEDICO!$C:$F,4,0)</f>
        <v>12</v>
      </c>
      <c r="E165">
        <f>VLOOKUP(tblTargetMedicos[[#This Row],[codigo_id]],[1]DIM_REPRESENTANTE_MEDICO!$C:$F,3,0)</f>
        <v>6</v>
      </c>
      <c r="F165" s="27" t="s">
        <v>5796</v>
      </c>
      <c r="G165" s="27" t="s">
        <v>5779</v>
      </c>
      <c r="H165" s="27" t="s">
        <v>96</v>
      </c>
      <c r="I165">
        <v>1</v>
      </c>
    </row>
    <row r="166" spans="1:9">
      <c r="A166" t="s">
        <v>581</v>
      </c>
      <c r="B166" s="27" t="s">
        <v>3218</v>
      </c>
      <c r="C166" s="27" t="s">
        <v>5764</v>
      </c>
      <c r="D166">
        <f>VLOOKUP(tblTargetMedicos[[#This Row],[codigo_id]],[1]DIM_REPRESENTANTE_MEDICO!$C:$F,4,0)</f>
        <v>12</v>
      </c>
      <c r="E166">
        <f>VLOOKUP(tblTargetMedicos[[#This Row],[codigo_id]],[1]DIM_REPRESENTANTE_MEDICO!$C:$F,3,0)</f>
        <v>6</v>
      </c>
      <c r="F166" s="27" t="s">
        <v>5796</v>
      </c>
      <c r="G166" s="27" t="s">
        <v>5785</v>
      </c>
      <c r="H166" s="27" t="s">
        <v>96</v>
      </c>
      <c r="I166">
        <v>1</v>
      </c>
    </row>
    <row r="167" spans="1:9">
      <c r="A167" t="s">
        <v>582</v>
      </c>
      <c r="B167" s="27" t="s">
        <v>3218</v>
      </c>
      <c r="C167" s="27" t="s">
        <v>5764</v>
      </c>
      <c r="D167">
        <f>VLOOKUP(tblTargetMedicos[[#This Row],[codigo_id]],[1]DIM_REPRESENTANTE_MEDICO!$C:$F,4,0)</f>
        <v>12</v>
      </c>
      <c r="E167">
        <f>VLOOKUP(tblTargetMedicos[[#This Row],[codigo_id]],[1]DIM_REPRESENTANTE_MEDICO!$C:$F,3,0)</f>
        <v>6</v>
      </c>
      <c r="F167" s="27" t="s">
        <v>5796</v>
      </c>
      <c r="G167" s="27" t="s">
        <v>5784</v>
      </c>
      <c r="H167" s="27" t="s">
        <v>96</v>
      </c>
      <c r="I167">
        <v>1</v>
      </c>
    </row>
    <row r="168" spans="1:9">
      <c r="A168" t="s">
        <v>583</v>
      </c>
      <c r="B168" s="27" t="s">
        <v>3218</v>
      </c>
      <c r="C168" s="27" t="s">
        <v>5764</v>
      </c>
      <c r="D168">
        <f>VLOOKUP(tblTargetMedicos[[#This Row],[codigo_id]],[1]DIM_REPRESENTANTE_MEDICO!$C:$F,4,0)</f>
        <v>12</v>
      </c>
      <c r="E168">
        <f>VLOOKUP(tblTargetMedicos[[#This Row],[codigo_id]],[1]DIM_REPRESENTANTE_MEDICO!$C:$F,3,0)</f>
        <v>6</v>
      </c>
      <c r="F168" s="27" t="s">
        <v>5796</v>
      </c>
      <c r="G168" s="27" t="s">
        <v>5785</v>
      </c>
      <c r="H168" s="27" t="s">
        <v>96</v>
      </c>
      <c r="I168">
        <v>1</v>
      </c>
    </row>
    <row r="169" spans="1:9">
      <c r="A169" t="s">
        <v>584</v>
      </c>
      <c r="B169" s="27" t="s">
        <v>3218</v>
      </c>
      <c r="C169" s="27" t="s">
        <v>5764</v>
      </c>
      <c r="D169">
        <f>VLOOKUP(tblTargetMedicos[[#This Row],[codigo_id]],[1]DIM_REPRESENTANTE_MEDICO!$C:$F,4,0)</f>
        <v>12</v>
      </c>
      <c r="E169">
        <f>VLOOKUP(tblTargetMedicos[[#This Row],[codigo_id]],[1]DIM_REPRESENTANTE_MEDICO!$C:$F,3,0)</f>
        <v>6</v>
      </c>
      <c r="F169" s="27" t="s">
        <v>5796</v>
      </c>
      <c r="G169" s="27" t="s">
        <v>5787</v>
      </c>
      <c r="H169" s="27" t="s">
        <v>97</v>
      </c>
      <c r="I169">
        <v>1</v>
      </c>
    </row>
    <row r="170" spans="1:9">
      <c r="A170" t="s">
        <v>585</v>
      </c>
      <c r="B170" s="27" t="s">
        <v>3218</v>
      </c>
      <c r="C170" s="27" t="s">
        <v>5764</v>
      </c>
      <c r="D170">
        <f>VLOOKUP(tblTargetMedicos[[#This Row],[codigo_id]],[1]DIM_REPRESENTANTE_MEDICO!$C:$F,4,0)</f>
        <v>12</v>
      </c>
      <c r="E170">
        <f>VLOOKUP(tblTargetMedicos[[#This Row],[codigo_id]],[1]DIM_REPRESENTANTE_MEDICO!$C:$F,3,0)</f>
        <v>6</v>
      </c>
      <c r="F170" s="27" t="s">
        <v>5796</v>
      </c>
      <c r="G170" s="27" t="s">
        <v>5785</v>
      </c>
      <c r="H170" s="27" t="s">
        <v>97</v>
      </c>
      <c r="I170">
        <v>1</v>
      </c>
    </row>
    <row r="171" spans="1:9">
      <c r="A171" t="s">
        <v>586</v>
      </c>
      <c r="B171" s="27" t="s">
        <v>3218</v>
      </c>
      <c r="C171" s="27" t="s">
        <v>5764</v>
      </c>
      <c r="D171">
        <f>VLOOKUP(tblTargetMedicos[[#This Row],[codigo_id]],[1]DIM_REPRESENTANTE_MEDICO!$C:$F,4,0)</f>
        <v>12</v>
      </c>
      <c r="E171">
        <f>VLOOKUP(tblTargetMedicos[[#This Row],[codigo_id]],[1]DIM_REPRESENTANTE_MEDICO!$C:$F,3,0)</f>
        <v>6</v>
      </c>
      <c r="F171" s="27" t="s">
        <v>5796</v>
      </c>
      <c r="G171" s="27" t="s">
        <v>5784</v>
      </c>
      <c r="H171" s="27" t="s">
        <v>97</v>
      </c>
      <c r="I171">
        <v>1</v>
      </c>
    </row>
    <row r="172" spans="1:9">
      <c r="A172" t="s">
        <v>587</v>
      </c>
      <c r="B172" s="27" t="s">
        <v>3218</v>
      </c>
      <c r="C172" s="27" t="s">
        <v>5764</v>
      </c>
      <c r="D172">
        <f>VLOOKUP(tblTargetMedicos[[#This Row],[codigo_id]],[1]DIM_REPRESENTANTE_MEDICO!$C:$F,4,0)</f>
        <v>12</v>
      </c>
      <c r="E172">
        <f>VLOOKUP(tblTargetMedicos[[#This Row],[codigo_id]],[1]DIM_REPRESENTANTE_MEDICO!$C:$F,3,0)</f>
        <v>6</v>
      </c>
      <c r="F172" s="27" t="s">
        <v>5796</v>
      </c>
      <c r="G172" s="27" t="s">
        <v>5785</v>
      </c>
      <c r="H172" s="27" t="s">
        <v>97</v>
      </c>
      <c r="I172">
        <v>1</v>
      </c>
    </row>
    <row r="173" spans="1:9">
      <c r="A173" t="s">
        <v>588</v>
      </c>
      <c r="B173" s="27" t="s">
        <v>3218</v>
      </c>
      <c r="C173" s="27" t="s">
        <v>5764</v>
      </c>
      <c r="D173">
        <f>VLOOKUP(tblTargetMedicos[[#This Row],[codigo_id]],[1]DIM_REPRESENTANTE_MEDICO!$C:$F,4,0)</f>
        <v>12</v>
      </c>
      <c r="E173">
        <f>VLOOKUP(tblTargetMedicos[[#This Row],[codigo_id]],[1]DIM_REPRESENTANTE_MEDICO!$C:$F,3,0)</f>
        <v>6</v>
      </c>
      <c r="F173" s="27" t="s">
        <v>5796</v>
      </c>
      <c r="G173" s="27" t="s">
        <v>5786</v>
      </c>
      <c r="H173" s="27" t="s">
        <v>96</v>
      </c>
      <c r="I173">
        <v>1</v>
      </c>
    </row>
    <row r="174" spans="1:9">
      <c r="A174" t="s">
        <v>589</v>
      </c>
      <c r="B174" s="27" t="s">
        <v>3218</v>
      </c>
      <c r="C174" s="27" t="s">
        <v>5764</v>
      </c>
      <c r="D174">
        <f>VLOOKUP(tblTargetMedicos[[#This Row],[codigo_id]],[1]DIM_REPRESENTANTE_MEDICO!$C:$F,4,0)</f>
        <v>12</v>
      </c>
      <c r="E174">
        <f>VLOOKUP(tblTargetMedicos[[#This Row],[codigo_id]],[1]DIM_REPRESENTANTE_MEDICO!$C:$F,3,0)</f>
        <v>6</v>
      </c>
      <c r="F174" s="27" t="s">
        <v>5796</v>
      </c>
      <c r="G174" s="27" t="s">
        <v>5787</v>
      </c>
      <c r="H174" s="27" t="s">
        <v>96</v>
      </c>
      <c r="I174">
        <v>1</v>
      </c>
    </row>
    <row r="175" spans="1:9">
      <c r="A175" t="s">
        <v>590</v>
      </c>
      <c r="B175" s="27" t="s">
        <v>3218</v>
      </c>
      <c r="C175" s="27" t="s">
        <v>5764</v>
      </c>
      <c r="D175">
        <f>VLOOKUP(tblTargetMedicos[[#This Row],[codigo_id]],[1]DIM_REPRESENTANTE_MEDICO!$C:$F,4,0)</f>
        <v>12</v>
      </c>
      <c r="E175">
        <f>VLOOKUP(tblTargetMedicos[[#This Row],[codigo_id]],[1]DIM_REPRESENTANTE_MEDICO!$C:$F,3,0)</f>
        <v>6</v>
      </c>
      <c r="F175" s="27" t="s">
        <v>5796</v>
      </c>
      <c r="G175" s="27" t="s">
        <v>5786</v>
      </c>
      <c r="H175" s="27" t="s">
        <v>96</v>
      </c>
      <c r="I175">
        <v>1</v>
      </c>
    </row>
    <row r="176" spans="1:9">
      <c r="A176" t="s">
        <v>591</v>
      </c>
      <c r="B176" s="27" t="s">
        <v>3218</v>
      </c>
      <c r="C176" s="27" t="s">
        <v>5764</v>
      </c>
      <c r="D176">
        <f>VLOOKUP(tblTargetMedicos[[#This Row],[codigo_id]],[1]DIM_REPRESENTANTE_MEDICO!$C:$F,4,0)</f>
        <v>12</v>
      </c>
      <c r="E176">
        <f>VLOOKUP(tblTargetMedicos[[#This Row],[codigo_id]],[1]DIM_REPRESENTANTE_MEDICO!$C:$F,3,0)</f>
        <v>6</v>
      </c>
      <c r="F176" s="27" t="s">
        <v>5796</v>
      </c>
      <c r="G176" s="27" t="s">
        <v>5786</v>
      </c>
      <c r="H176" s="27" t="s">
        <v>96</v>
      </c>
      <c r="I176">
        <v>1</v>
      </c>
    </row>
    <row r="177" spans="1:9">
      <c r="A177" t="s">
        <v>592</v>
      </c>
      <c r="B177" s="27" t="s">
        <v>3218</v>
      </c>
      <c r="C177" s="27" t="s">
        <v>5764</v>
      </c>
      <c r="D177">
        <f>VLOOKUP(tblTargetMedicos[[#This Row],[codigo_id]],[1]DIM_REPRESENTANTE_MEDICO!$C:$F,4,0)</f>
        <v>12</v>
      </c>
      <c r="E177">
        <f>VLOOKUP(tblTargetMedicos[[#This Row],[codigo_id]],[1]DIM_REPRESENTANTE_MEDICO!$C:$F,3,0)</f>
        <v>6</v>
      </c>
      <c r="F177" s="27" t="s">
        <v>5796</v>
      </c>
      <c r="G177" s="27" t="s">
        <v>5784</v>
      </c>
      <c r="H177" s="27" t="s">
        <v>96</v>
      </c>
      <c r="I177">
        <v>1</v>
      </c>
    </row>
    <row r="178" spans="1:9">
      <c r="A178" t="s">
        <v>593</v>
      </c>
      <c r="B178" s="27" t="s">
        <v>3218</v>
      </c>
      <c r="C178" s="27" t="s">
        <v>5764</v>
      </c>
      <c r="D178">
        <f>VLOOKUP(tblTargetMedicos[[#This Row],[codigo_id]],[1]DIM_REPRESENTANTE_MEDICO!$C:$F,4,0)</f>
        <v>12</v>
      </c>
      <c r="E178">
        <f>VLOOKUP(tblTargetMedicos[[#This Row],[codigo_id]],[1]DIM_REPRESENTANTE_MEDICO!$C:$F,3,0)</f>
        <v>6</v>
      </c>
      <c r="F178" s="27" t="s">
        <v>5796</v>
      </c>
      <c r="G178" s="27" t="s">
        <v>5785</v>
      </c>
      <c r="H178" s="27" t="s">
        <v>96</v>
      </c>
      <c r="I178">
        <v>1</v>
      </c>
    </row>
    <row r="179" spans="1:9">
      <c r="A179" t="s">
        <v>594</v>
      </c>
      <c r="B179" s="27" t="s">
        <v>3218</v>
      </c>
      <c r="C179" s="27" t="s">
        <v>5764</v>
      </c>
      <c r="D179">
        <f>VLOOKUP(tblTargetMedicos[[#This Row],[codigo_id]],[1]DIM_REPRESENTANTE_MEDICO!$C:$F,4,0)</f>
        <v>12</v>
      </c>
      <c r="E179">
        <f>VLOOKUP(tblTargetMedicos[[#This Row],[codigo_id]],[1]DIM_REPRESENTANTE_MEDICO!$C:$F,3,0)</f>
        <v>6</v>
      </c>
      <c r="F179" s="27" t="s">
        <v>5796</v>
      </c>
      <c r="G179" s="27" t="s">
        <v>5786</v>
      </c>
      <c r="H179" s="27" t="s">
        <v>97</v>
      </c>
      <c r="I179">
        <v>1</v>
      </c>
    </row>
    <row r="180" spans="1:9">
      <c r="A180" t="s">
        <v>595</v>
      </c>
      <c r="B180" s="27" t="s">
        <v>3218</v>
      </c>
      <c r="C180" s="27" t="s">
        <v>5764</v>
      </c>
      <c r="D180">
        <f>VLOOKUP(tblTargetMedicos[[#This Row],[codigo_id]],[1]DIM_REPRESENTANTE_MEDICO!$C:$F,4,0)</f>
        <v>12</v>
      </c>
      <c r="E180">
        <f>VLOOKUP(tblTargetMedicos[[#This Row],[codigo_id]],[1]DIM_REPRESENTANTE_MEDICO!$C:$F,3,0)</f>
        <v>6</v>
      </c>
      <c r="F180" s="27" t="s">
        <v>5796</v>
      </c>
      <c r="G180" s="27" t="s">
        <v>5784</v>
      </c>
      <c r="H180" s="27" t="s">
        <v>96</v>
      </c>
      <c r="I180">
        <v>1</v>
      </c>
    </row>
    <row r="181" spans="1:9">
      <c r="A181" t="s">
        <v>596</v>
      </c>
      <c r="B181" s="27" t="s">
        <v>3218</v>
      </c>
      <c r="C181" s="27" t="s">
        <v>5764</v>
      </c>
      <c r="D181">
        <f>VLOOKUP(tblTargetMedicos[[#This Row],[codigo_id]],[1]DIM_REPRESENTANTE_MEDICO!$C:$F,4,0)</f>
        <v>12</v>
      </c>
      <c r="E181">
        <f>VLOOKUP(tblTargetMedicos[[#This Row],[codigo_id]],[1]DIM_REPRESENTANTE_MEDICO!$C:$F,3,0)</f>
        <v>6</v>
      </c>
      <c r="F181" s="27" t="s">
        <v>5796</v>
      </c>
      <c r="G181" s="27" t="s">
        <v>5786</v>
      </c>
      <c r="H181" s="27" t="s">
        <v>96</v>
      </c>
      <c r="I181">
        <v>1</v>
      </c>
    </row>
    <row r="182" spans="1:9">
      <c r="A182" t="s">
        <v>597</v>
      </c>
      <c r="B182" s="27" t="s">
        <v>3218</v>
      </c>
      <c r="C182" s="27" t="s">
        <v>5764</v>
      </c>
      <c r="D182">
        <f>VLOOKUP(tblTargetMedicos[[#This Row],[codigo_id]],[1]DIM_REPRESENTANTE_MEDICO!$C:$F,4,0)</f>
        <v>12</v>
      </c>
      <c r="E182">
        <f>VLOOKUP(tblTargetMedicos[[#This Row],[codigo_id]],[1]DIM_REPRESENTANTE_MEDICO!$C:$F,3,0)</f>
        <v>6</v>
      </c>
      <c r="F182" s="27" t="s">
        <v>5796</v>
      </c>
      <c r="G182" s="27" t="s">
        <v>5784</v>
      </c>
      <c r="H182" s="27" t="s">
        <v>96</v>
      </c>
      <c r="I182">
        <v>1</v>
      </c>
    </row>
    <row r="183" spans="1:9">
      <c r="A183" t="s">
        <v>598</v>
      </c>
      <c r="B183" s="27" t="s">
        <v>3218</v>
      </c>
      <c r="C183" s="27" t="s">
        <v>5764</v>
      </c>
      <c r="D183">
        <f>VLOOKUP(tblTargetMedicos[[#This Row],[codigo_id]],[1]DIM_REPRESENTANTE_MEDICO!$C:$F,4,0)</f>
        <v>12</v>
      </c>
      <c r="E183">
        <f>VLOOKUP(tblTargetMedicos[[#This Row],[codigo_id]],[1]DIM_REPRESENTANTE_MEDICO!$C:$F,3,0)</f>
        <v>6</v>
      </c>
      <c r="F183" s="27" t="s">
        <v>5796</v>
      </c>
      <c r="G183" s="27" t="s">
        <v>5784</v>
      </c>
      <c r="H183" s="27" t="s">
        <v>96</v>
      </c>
      <c r="I183">
        <v>1</v>
      </c>
    </row>
    <row r="184" spans="1:9">
      <c r="A184" t="s">
        <v>599</v>
      </c>
      <c r="B184" s="27" t="s">
        <v>3218</v>
      </c>
      <c r="C184" s="27" t="s">
        <v>5764</v>
      </c>
      <c r="D184">
        <f>VLOOKUP(tblTargetMedicos[[#This Row],[codigo_id]],[1]DIM_REPRESENTANTE_MEDICO!$C:$F,4,0)</f>
        <v>12</v>
      </c>
      <c r="E184">
        <f>VLOOKUP(tblTargetMedicos[[#This Row],[codigo_id]],[1]DIM_REPRESENTANTE_MEDICO!$C:$F,3,0)</f>
        <v>6</v>
      </c>
      <c r="F184" s="27" t="s">
        <v>5796</v>
      </c>
      <c r="G184" s="27" t="s">
        <v>5786</v>
      </c>
      <c r="H184" s="27" t="s">
        <v>96</v>
      </c>
      <c r="I184">
        <v>1</v>
      </c>
    </row>
    <row r="185" spans="1:9">
      <c r="A185" t="s">
        <v>600</v>
      </c>
      <c r="B185" s="27" t="s">
        <v>3218</v>
      </c>
      <c r="C185" s="27" t="s">
        <v>5764</v>
      </c>
      <c r="D185">
        <f>VLOOKUP(tblTargetMedicos[[#This Row],[codigo_id]],[1]DIM_REPRESENTANTE_MEDICO!$C:$F,4,0)</f>
        <v>12</v>
      </c>
      <c r="E185">
        <f>VLOOKUP(tblTargetMedicos[[#This Row],[codigo_id]],[1]DIM_REPRESENTANTE_MEDICO!$C:$F,3,0)</f>
        <v>6</v>
      </c>
      <c r="F185" s="27" t="s">
        <v>5796</v>
      </c>
      <c r="G185" s="27" t="s">
        <v>5786</v>
      </c>
      <c r="H185" s="27" t="s">
        <v>96</v>
      </c>
      <c r="I185">
        <v>1</v>
      </c>
    </row>
    <row r="186" spans="1:9">
      <c r="A186" t="s">
        <v>601</v>
      </c>
      <c r="B186" s="27" t="s">
        <v>3218</v>
      </c>
      <c r="C186" s="27" t="s">
        <v>5764</v>
      </c>
      <c r="D186">
        <f>VLOOKUP(tblTargetMedicos[[#This Row],[codigo_id]],[1]DIM_REPRESENTANTE_MEDICO!$C:$F,4,0)</f>
        <v>12</v>
      </c>
      <c r="E186">
        <f>VLOOKUP(tblTargetMedicos[[#This Row],[codigo_id]],[1]DIM_REPRESENTANTE_MEDICO!$C:$F,3,0)</f>
        <v>6</v>
      </c>
      <c r="F186" s="27" t="s">
        <v>5796</v>
      </c>
      <c r="G186" s="27" t="s">
        <v>5781</v>
      </c>
      <c r="H186" s="27" t="s">
        <v>97</v>
      </c>
      <c r="I186">
        <v>1</v>
      </c>
    </row>
    <row r="187" spans="1:9">
      <c r="A187" t="s">
        <v>602</v>
      </c>
      <c r="B187" s="27" t="s">
        <v>3218</v>
      </c>
      <c r="C187" s="27" t="s">
        <v>5764</v>
      </c>
      <c r="D187">
        <f>VLOOKUP(tblTargetMedicos[[#This Row],[codigo_id]],[1]DIM_REPRESENTANTE_MEDICO!$C:$F,4,0)</f>
        <v>12</v>
      </c>
      <c r="E187">
        <f>VLOOKUP(tblTargetMedicos[[#This Row],[codigo_id]],[1]DIM_REPRESENTANTE_MEDICO!$C:$F,3,0)</f>
        <v>6</v>
      </c>
      <c r="F187" s="27" t="s">
        <v>5796</v>
      </c>
      <c r="G187" s="27" t="s">
        <v>5783</v>
      </c>
      <c r="H187" s="27" t="s">
        <v>97</v>
      </c>
      <c r="I187">
        <v>1</v>
      </c>
    </row>
    <row r="188" spans="1:9">
      <c r="A188" t="s">
        <v>603</v>
      </c>
      <c r="B188" s="27" t="s">
        <v>3218</v>
      </c>
      <c r="C188" s="27" t="s">
        <v>5764</v>
      </c>
      <c r="D188">
        <f>VLOOKUP(tblTargetMedicos[[#This Row],[codigo_id]],[1]DIM_REPRESENTANTE_MEDICO!$C:$F,4,0)</f>
        <v>12</v>
      </c>
      <c r="E188">
        <f>VLOOKUP(tblTargetMedicos[[#This Row],[codigo_id]],[1]DIM_REPRESENTANTE_MEDICO!$C:$F,3,0)</f>
        <v>6</v>
      </c>
      <c r="F188" s="27" t="s">
        <v>5796</v>
      </c>
      <c r="G188" s="27" t="s">
        <v>5786</v>
      </c>
      <c r="H188" s="27" t="s">
        <v>97</v>
      </c>
      <c r="I188">
        <v>1</v>
      </c>
    </row>
    <row r="189" spans="1:9">
      <c r="A189" t="s">
        <v>604</v>
      </c>
      <c r="B189" s="27" t="s">
        <v>3218</v>
      </c>
      <c r="C189" s="27" t="s">
        <v>5764</v>
      </c>
      <c r="D189">
        <f>VLOOKUP(tblTargetMedicos[[#This Row],[codigo_id]],[1]DIM_REPRESENTANTE_MEDICO!$C:$F,4,0)</f>
        <v>12</v>
      </c>
      <c r="E189">
        <f>VLOOKUP(tblTargetMedicos[[#This Row],[codigo_id]],[1]DIM_REPRESENTANTE_MEDICO!$C:$F,3,0)</f>
        <v>6</v>
      </c>
      <c r="F189" s="27" t="s">
        <v>5796</v>
      </c>
      <c r="G189" s="27" t="s">
        <v>5787</v>
      </c>
      <c r="H189" s="27" t="s">
        <v>97</v>
      </c>
      <c r="I189">
        <v>1</v>
      </c>
    </row>
    <row r="190" spans="1:9">
      <c r="A190" t="s">
        <v>605</v>
      </c>
      <c r="B190" s="27" t="s">
        <v>3218</v>
      </c>
      <c r="C190" s="27" t="s">
        <v>5764</v>
      </c>
      <c r="D190">
        <f>VLOOKUP(tblTargetMedicos[[#This Row],[codigo_id]],[1]DIM_REPRESENTANTE_MEDICO!$C:$F,4,0)</f>
        <v>12</v>
      </c>
      <c r="E190">
        <f>VLOOKUP(tblTargetMedicos[[#This Row],[codigo_id]],[1]DIM_REPRESENTANTE_MEDICO!$C:$F,3,0)</f>
        <v>6</v>
      </c>
      <c r="F190" s="27" t="s">
        <v>5796</v>
      </c>
      <c r="G190" s="27" t="s">
        <v>5784</v>
      </c>
      <c r="H190" s="27" t="s">
        <v>97</v>
      </c>
      <c r="I190">
        <v>1</v>
      </c>
    </row>
    <row r="191" spans="1:9">
      <c r="A191" t="s">
        <v>606</v>
      </c>
      <c r="B191" s="27" t="s">
        <v>3218</v>
      </c>
      <c r="C191" s="27" t="s">
        <v>5764</v>
      </c>
      <c r="D191">
        <f>VLOOKUP(tblTargetMedicos[[#This Row],[codigo_id]],[1]DIM_REPRESENTANTE_MEDICO!$C:$F,4,0)</f>
        <v>12</v>
      </c>
      <c r="E191">
        <f>VLOOKUP(tblTargetMedicos[[#This Row],[codigo_id]],[1]DIM_REPRESENTANTE_MEDICO!$C:$F,3,0)</f>
        <v>6</v>
      </c>
      <c r="F191" s="27" t="s">
        <v>5796</v>
      </c>
      <c r="G191" s="27" t="s">
        <v>5787</v>
      </c>
      <c r="H191" s="27" t="s">
        <v>96</v>
      </c>
      <c r="I191">
        <v>1</v>
      </c>
    </row>
    <row r="192" spans="1:9">
      <c r="A192" t="s">
        <v>607</v>
      </c>
      <c r="B192" s="27" t="s">
        <v>3218</v>
      </c>
      <c r="C192" s="27" t="s">
        <v>5764</v>
      </c>
      <c r="D192">
        <f>VLOOKUP(tblTargetMedicos[[#This Row],[codigo_id]],[1]DIM_REPRESENTANTE_MEDICO!$C:$F,4,0)</f>
        <v>12</v>
      </c>
      <c r="E192">
        <f>VLOOKUP(tblTargetMedicos[[#This Row],[codigo_id]],[1]DIM_REPRESENTANTE_MEDICO!$C:$F,3,0)</f>
        <v>6</v>
      </c>
      <c r="F192" s="27" t="s">
        <v>5796</v>
      </c>
      <c r="G192" s="27" t="s">
        <v>5783</v>
      </c>
      <c r="H192" s="27" t="s">
        <v>96</v>
      </c>
      <c r="I192">
        <v>1</v>
      </c>
    </row>
    <row r="193" spans="1:9">
      <c r="A193" t="s">
        <v>608</v>
      </c>
      <c r="B193" s="27" t="s">
        <v>3218</v>
      </c>
      <c r="C193" s="27" t="s">
        <v>5764</v>
      </c>
      <c r="D193">
        <f>VLOOKUP(tblTargetMedicos[[#This Row],[codigo_id]],[1]DIM_REPRESENTANTE_MEDICO!$C:$F,4,0)</f>
        <v>12</v>
      </c>
      <c r="E193">
        <f>VLOOKUP(tblTargetMedicos[[#This Row],[codigo_id]],[1]DIM_REPRESENTANTE_MEDICO!$C:$F,3,0)</f>
        <v>6</v>
      </c>
      <c r="F193" s="27" t="s">
        <v>5796</v>
      </c>
      <c r="G193" s="27" t="s">
        <v>5787</v>
      </c>
      <c r="H193" s="27" t="s">
        <v>97</v>
      </c>
      <c r="I193">
        <v>1</v>
      </c>
    </row>
    <row r="194" spans="1:9">
      <c r="A194" t="s">
        <v>609</v>
      </c>
      <c r="B194" s="27" t="s">
        <v>3218</v>
      </c>
      <c r="C194" s="27" t="s">
        <v>5764</v>
      </c>
      <c r="D194">
        <f>VLOOKUP(tblTargetMedicos[[#This Row],[codigo_id]],[1]DIM_REPRESENTANTE_MEDICO!$C:$F,4,0)</f>
        <v>12</v>
      </c>
      <c r="E194">
        <f>VLOOKUP(tblTargetMedicos[[#This Row],[codigo_id]],[1]DIM_REPRESENTANTE_MEDICO!$C:$F,3,0)</f>
        <v>6</v>
      </c>
      <c r="F194" s="27" t="s">
        <v>5796</v>
      </c>
      <c r="G194" s="27" t="s">
        <v>5787</v>
      </c>
      <c r="H194" s="27" t="s">
        <v>96</v>
      </c>
      <c r="I194">
        <v>1</v>
      </c>
    </row>
    <row r="195" spans="1:9">
      <c r="A195" t="s">
        <v>610</v>
      </c>
      <c r="B195" s="27" t="s">
        <v>3218</v>
      </c>
      <c r="C195" s="27" t="s">
        <v>5764</v>
      </c>
      <c r="D195">
        <f>VLOOKUP(tblTargetMedicos[[#This Row],[codigo_id]],[1]DIM_REPRESENTANTE_MEDICO!$C:$F,4,0)</f>
        <v>12</v>
      </c>
      <c r="E195">
        <f>VLOOKUP(tblTargetMedicos[[#This Row],[codigo_id]],[1]DIM_REPRESENTANTE_MEDICO!$C:$F,3,0)</f>
        <v>6</v>
      </c>
      <c r="F195" s="27" t="s">
        <v>5796</v>
      </c>
      <c r="G195" s="27" t="s">
        <v>5784</v>
      </c>
      <c r="H195" s="27" t="s">
        <v>96</v>
      </c>
      <c r="I195">
        <v>1</v>
      </c>
    </row>
    <row r="196" spans="1:9">
      <c r="A196" t="s">
        <v>611</v>
      </c>
      <c r="B196" s="27" t="s">
        <v>3218</v>
      </c>
      <c r="C196" s="27" t="s">
        <v>5764</v>
      </c>
      <c r="D196">
        <f>VLOOKUP(tblTargetMedicos[[#This Row],[codigo_id]],[1]DIM_REPRESENTANTE_MEDICO!$C:$F,4,0)</f>
        <v>12</v>
      </c>
      <c r="E196">
        <f>VLOOKUP(tblTargetMedicos[[#This Row],[codigo_id]],[1]DIM_REPRESENTANTE_MEDICO!$C:$F,3,0)</f>
        <v>6</v>
      </c>
      <c r="F196" s="27" t="s">
        <v>5796</v>
      </c>
      <c r="G196" s="27" t="s">
        <v>5783</v>
      </c>
      <c r="H196" s="27" t="s">
        <v>5793</v>
      </c>
      <c r="I196">
        <v>1</v>
      </c>
    </row>
    <row r="197" spans="1:9">
      <c r="A197" t="s">
        <v>612</v>
      </c>
      <c r="B197" s="27" t="s">
        <v>3218</v>
      </c>
      <c r="C197" s="27" t="s">
        <v>5764</v>
      </c>
      <c r="D197">
        <f>VLOOKUP(tblTargetMedicos[[#This Row],[codigo_id]],[1]DIM_REPRESENTANTE_MEDICO!$C:$F,4,0)</f>
        <v>12</v>
      </c>
      <c r="E197">
        <f>VLOOKUP(tblTargetMedicos[[#This Row],[codigo_id]],[1]DIM_REPRESENTANTE_MEDICO!$C:$F,3,0)</f>
        <v>6</v>
      </c>
      <c r="F197" s="27" t="s">
        <v>5796</v>
      </c>
      <c r="G197" s="27" t="s">
        <v>5786</v>
      </c>
      <c r="H197" s="27" t="s">
        <v>97</v>
      </c>
      <c r="I197">
        <v>1</v>
      </c>
    </row>
    <row r="198" spans="1:9">
      <c r="A198" t="s">
        <v>613</v>
      </c>
      <c r="B198" s="27" t="s">
        <v>3218</v>
      </c>
      <c r="C198" s="27" t="s">
        <v>5764</v>
      </c>
      <c r="D198">
        <f>VLOOKUP(tblTargetMedicos[[#This Row],[codigo_id]],[1]DIM_REPRESENTANTE_MEDICO!$C:$F,4,0)</f>
        <v>12</v>
      </c>
      <c r="E198">
        <f>VLOOKUP(tblTargetMedicos[[#This Row],[codigo_id]],[1]DIM_REPRESENTANTE_MEDICO!$C:$F,3,0)</f>
        <v>6</v>
      </c>
      <c r="F198" s="27" t="s">
        <v>5796</v>
      </c>
      <c r="G198" s="27" t="s">
        <v>5786</v>
      </c>
      <c r="H198" s="27" t="s">
        <v>97</v>
      </c>
      <c r="I198">
        <v>1</v>
      </c>
    </row>
    <row r="199" spans="1:9">
      <c r="A199" t="s">
        <v>614</v>
      </c>
      <c r="B199" s="27" t="s">
        <v>3219</v>
      </c>
      <c r="C199" s="27" t="s">
        <v>5765</v>
      </c>
      <c r="D199">
        <f>VLOOKUP(tblTargetMedicos[[#This Row],[codigo_id]],[1]DIM_REPRESENTANTE_MEDICO!$C:$F,4,0)</f>
        <v>4</v>
      </c>
      <c r="E199">
        <f>VLOOKUP(tblTargetMedicos[[#This Row],[codigo_id]],[1]DIM_REPRESENTANTE_MEDICO!$C:$F,3,0)</f>
        <v>10</v>
      </c>
      <c r="F199" s="27" t="s">
        <v>5796</v>
      </c>
      <c r="G199" s="27" t="s">
        <v>5782</v>
      </c>
      <c r="H199" s="27" t="s">
        <v>96</v>
      </c>
      <c r="I199">
        <v>1</v>
      </c>
    </row>
    <row r="200" spans="1:9">
      <c r="A200" t="s">
        <v>615</v>
      </c>
      <c r="B200" s="27" t="s">
        <v>3219</v>
      </c>
      <c r="C200" s="27" t="s">
        <v>5765</v>
      </c>
      <c r="D200">
        <f>VLOOKUP(tblTargetMedicos[[#This Row],[codigo_id]],[1]DIM_REPRESENTANTE_MEDICO!$C:$F,4,0)</f>
        <v>4</v>
      </c>
      <c r="E200">
        <f>VLOOKUP(tblTargetMedicos[[#This Row],[codigo_id]],[1]DIM_REPRESENTANTE_MEDICO!$C:$F,3,0)</f>
        <v>10</v>
      </c>
      <c r="F200" s="27" t="s">
        <v>5796</v>
      </c>
      <c r="G200" s="27" t="s">
        <v>5782</v>
      </c>
      <c r="H200" s="27" t="s">
        <v>96</v>
      </c>
      <c r="I200">
        <v>1</v>
      </c>
    </row>
    <row r="201" spans="1:9">
      <c r="A201" t="s">
        <v>616</v>
      </c>
      <c r="B201" s="27" t="s">
        <v>3219</v>
      </c>
      <c r="C201" s="27" t="s">
        <v>5765</v>
      </c>
      <c r="D201">
        <f>VLOOKUP(tblTargetMedicos[[#This Row],[codigo_id]],[1]DIM_REPRESENTANTE_MEDICO!$C:$F,4,0)</f>
        <v>4</v>
      </c>
      <c r="E201">
        <f>VLOOKUP(tblTargetMedicos[[#This Row],[codigo_id]],[1]DIM_REPRESENTANTE_MEDICO!$C:$F,3,0)</f>
        <v>10</v>
      </c>
      <c r="F201" s="27" t="s">
        <v>5796</v>
      </c>
      <c r="G201" s="27" t="s">
        <v>5786</v>
      </c>
      <c r="H201" s="27" t="s">
        <v>97</v>
      </c>
      <c r="I201">
        <v>1</v>
      </c>
    </row>
    <row r="202" spans="1:9">
      <c r="A202" t="s">
        <v>617</v>
      </c>
      <c r="B202" s="27" t="s">
        <v>3219</v>
      </c>
      <c r="C202" s="27" t="s">
        <v>5765</v>
      </c>
      <c r="D202">
        <f>VLOOKUP(tblTargetMedicos[[#This Row],[codigo_id]],[1]DIM_REPRESENTANTE_MEDICO!$C:$F,4,0)</f>
        <v>4</v>
      </c>
      <c r="E202">
        <f>VLOOKUP(tblTargetMedicos[[#This Row],[codigo_id]],[1]DIM_REPRESENTANTE_MEDICO!$C:$F,3,0)</f>
        <v>10</v>
      </c>
      <c r="F202" s="27" t="s">
        <v>5796</v>
      </c>
      <c r="G202" s="27" t="s">
        <v>5784</v>
      </c>
      <c r="H202" s="27" t="s">
        <v>97</v>
      </c>
      <c r="I202">
        <v>1</v>
      </c>
    </row>
    <row r="203" spans="1:9">
      <c r="A203" t="s">
        <v>618</v>
      </c>
      <c r="B203" s="27" t="s">
        <v>3219</v>
      </c>
      <c r="C203" s="27" t="s">
        <v>5765</v>
      </c>
      <c r="D203">
        <f>VLOOKUP(tblTargetMedicos[[#This Row],[codigo_id]],[1]DIM_REPRESENTANTE_MEDICO!$C:$F,4,0)</f>
        <v>4</v>
      </c>
      <c r="E203">
        <f>VLOOKUP(tblTargetMedicos[[#This Row],[codigo_id]],[1]DIM_REPRESENTANTE_MEDICO!$C:$F,3,0)</f>
        <v>10</v>
      </c>
      <c r="F203" s="27" t="s">
        <v>5796</v>
      </c>
      <c r="G203" s="27" t="s">
        <v>5784</v>
      </c>
      <c r="H203" s="27" t="s">
        <v>96</v>
      </c>
      <c r="I203">
        <v>1</v>
      </c>
    </row>
    <row r="204" spans="1:9">
      <c r="A204" t="s">
        <v>619</v>
      </c>
      <c r="B204" s="27" t="s">
        <v>3219</v>
      </c>
      <c r="C204" s="27" t="s">
        <v>5765</v>
      </c>
      <c r="D204">
        <f>VLOOKUP(tblTargetMedicos[[#This Row],[codigo_id]],[1]DIM_REPRESENTANTE_MEDICO!$C:$F,4,0)</f>
        <v>4</v>
      </c>
      <c r="E204">
        <f>VLOOKUP(tblTargetMedicos[[#This Row],[codigo_id]],[1]DIM_REPRESENTANTE_MEDICO!$C:$F,3,0)</f>
        <v>10</v>
      </c>
      <c r="F204" s="27" t="s">
        <v>5796</v>
      </c>
      <c r="G204" s="27" t="s">
        <v>5784</v>
      </c>
      <c r="H204" s="27" t="s">
        <v>96</v>
      </c>
      <c r="I204">
        <v>1</v>
      </c>
    </row>
    <row r="205" spans="1:9">
      <c r="A205" t="s">
        <v>620</v>
      </c>
      <c r="B205" s="27" t="s">
        <v>3219</v>
      </c>
      <c r="C205" s="27" t="s">
        <v>5765</v>
      </c>
      <c r="D205">
        <f>VLOOKUP(tblTargetMedicos[[#This Row],[codigo_id]],[1]DIM_REPRESENTANTE_MEDICO!$C:$F,4,0)</f>
        <v>4</v>
      </c>
      <c r="E205">
        <f>VLOOKUP(tblTargetMedicos[[#This Row],[codigo_id]],[1]DIM_REPRESENTANTE_MEDICO!$C:$F,3,0)</f>
        <v>10</v>
      </c>
      <c r="F205" s="27" t="s">
        <v>5796</v>
      </c>
      <c r="G205" s="27" t="s">
        <v>5783</v>
      </c>
      <c r="H205" s="27" t="s">
        <v>96</v>
      </c>
      <c r="I205">
        <v>1</v>
      </c>
    </row>
    <row r="206" spans="1:9">
      <c r="A206" t="s">
        <v>621</v>
      </c>
      <c r="B206" s="27" t="s">
        <v>3219</v>
      </c>
      <c r="C206" s="27" t="s">
        <v>5765</v>
      </c>
      <c r="D206">
        <f>VLOOKUP(tblTargetMedicos[[#This Row],[codigo_id]],[1]DIM_REPRESENTANTE_MEDICO!$C:$F,4,0)</f>
        <v>4</v>
      </c>
      <c r="E206">
        <f>VLOOKUP(tblTargetMedicos[[#This Row],[codigo_id]],[1]DIM_REPRESENTANTE_MEDICO!$C:$F,3,0)</f>
        <v>10</v>
      </c>
      <c r="F206" s="27" t="s">
        <v>5796</v>
      </c>
      <c r="G206" s="27" t="s">
        <v>5783</v>
      </c>
      <c r="H206" s="27" t="s">
        <v>96</v>
      </c>
      <c r="I206">
        <v>1</v>
      </c>
    </row>
    <row r="207" spans="1:9">
      <c r="A207" t="s">
        <v>622</v>
      </c>
      <c r="B207" s="27" t="s">
        <v>3219</v>
      </c>
      <c r="C207" s="27" t="s">
        <v>5765</v>
      </c>
      <c r="D207">
        <f>VLOOKUP(tblTargetMedicos[[#This Row],[codigo_id]],[1]DIM_REPRESENTANTE_MEDICO!$C:$F,4,0)</f>
        <v>4</v>
      </c>
      <c r="E207">
        <f>VLOOKUP(tblTargetMedicos[[#This Row],[codigo_id]],[1]DIM_REPRESENTANTE_MEDICO!$C:$F,3,0)</f>
        <v>10</v>
      </c>
      <c r="F207" s="27" t="s">
        <v>5796</v>
      </c>
      <c r="G207" s="27" t="s">
        <v>5781</v>
      </c>
      <c r="H207" s="27" t="s">
        <v>96</v>
      </c>
      <c r="I207">
        <v>1</v>
      </c>
    </row>
    <row r="208" spans="1:9">
      <c r="A208" t="s">
        <v>623</v>
      </c>
      <c r="B208" s="27" t="s">
        <v>3219</v>
      </c>
      <c r="C208" s="27" t="s">
        <v>5765</v>
      </c>
      <c r="D208">
        <f>VLOOKUP(tblTargetMedicos[[#This Row],[codigo_id]],[1]DIM_REPRESENTANTE_MEDICO!$C:$F,4,0)</f>
        <v>4</v>
      </c>
      <c r="E208">
        <f>VLOOKUP(tblTargetMedicos[[#This Row],[codigo_id]],[1]DIM_REPRESENTANTE_MEDICO!$C:$F,3,0)</f>
        <v>10</v>
      </c>
      <c r="F208" s="27" t="s">
        <v>5796</v>
      </c>
      <c r="G208" s="27" t="s">
        <v>5783</v>
      </c>
      <c r="H208" s="27" t="s">
        <v>96</v>
      </c>
      <c r="I208">
        <v>1</v>
      </c>
    </row>
    <row r="209" spans="1:9">
      <c r="A209" t="s">
        <v>624</v>
      </c>
      <c r="B209" s="27" t="s">
        <v>3219</v>
      </c>
      <c r="C209" s="27" t="s">
        <v>5765</v>
      </c>
      <c r="D209">
        <f>VLOOKUP(tblTargetMedicos[[#This Row],[codigo_id]],[1]DIM_REPRESENTANTE_MEDICO!$C:$F,4,0)</f>
        <v>4</v>
      </c>
      <c r="E209">
        <f>VLOOKUP(tblTargetMedicos[[#This Row],[codigo_id]],[1]DIM_REPRESENTANTE_MEDICO!$C:$F,3,0)</f>
        <v>10</v>
      </c>
      <c r="F209" s="27" t="s">
        <v>5796</v>
      </c>
      <c r="G209" s="27" t="s">
        <v>5783</v>
      </c>
      <c r="H209" s="27" t="s">
        <v>96</v>
      </c>
      <c r="I209">
        <v>1</v>
      </c>
    </row>
    <row r="210" spans="1:9">
      <c r="A210" t="s">
        <v>625</v>
      </c>
      <c r="B210" s="27" t="s">
        <v>3219</v>
      </c>
      <c r="C210" s="27" t="s">
        <v>5765</v>
      </c>
      <c r="D210">
        <f>VLOOKUP(tblTargetMedicos[[#This Row],[codigo_id]],[1]DIM_REPRESENTANTE_MEDICO!$C:$F,4,0)</f>
        <v>4</v>
      </c>
      <c r="E210">
        <f>VLOOKUP(tblTargetMedicos[[#This Row],[codigo_id]],[1]DIM_REPRESENTANTE_MEDICO!$C:$F,3,0)</f>
        <v>10</v>
      </c>
      <c r="F210" s="27" t="s">
        <v>5796</v>
      </c>
      <c r="G210" s="27" t="s">
        <v>5784</v>
      </c>
      <c r="H210" s="27" t="s">
        <v>95</v>
      </c>
      <c r="I210">
        <v>1</v>
      </c>
    </row>
    <row r="211" spans="1:9">
      <c r="A211" t="s">
        <v>626</v>
      </c>
      <c r="B211" s="27" t="s">
        <v>3219</v>
      </c>
      <c r="C211" s="27" t="s">
        <v>5765</v>
      </c>
      <c r="D211">
        <f>VLOOKUP(tblTargetMedicos[[#This Row],[codigo_id]],[1]DIM_REPRESENTANTE_MEDICO!$C:$F,4,0)</f>
        <v>4</v>
      </c>
      <c r="E211">
        <f>VLOOKUP(tblTargetMedicos[[#This Row],[codigo_id]],[1]DIM_REPRESENTANTE_MEDICO!$C:$F,3,0)</f>
        <v>10</v>
      </c>
      <c r="F211" s="27" t="s">
        <v>5796</v>
      </c>
      <c r="G211" s="27" t="s">
        <v>5781</v>
      </c>
      <c r="H211" s="27" t="s">
        <v>96</v>
      </c>
      <c r="I211">
        <v>1</v>
      </c>
    </row>
    <row r="212" spans="1:9">
      <c r="A212" t="s">
        <v>627</v>
      </c>
      <c r="B212" s="27" t="s">
        <v>3219</v>
      </c>
      <c r="C212" s="27" t="s">
        <v>5765</v>
      </c>
      <c r="D212">
        <f>VLOOKUP(tblTargetMedicos[[#This Row],[codigo_id]],[1]DIM_REPRESENTANTE_MEDICO!$C:$F,4,0)</f>
        <v>4</v>
      </c>
      <c r="E212">
        <f>VLOOKUP(tblTargetMedicos[[#This Row],[codigo_id]],[1]DIM_REPRESENTANTE_MEDICO!$C:$F,3,0)</f>
        <v>10</v>
      </c>
      <c r="F212" s="27" t="s">
        <v>5796</v>
      </c>
      <c r="G212" s="27" t="s">
        <v>5789</v>
      </c>
      <c r="H212" s="27" t="s">
        <v>97</v>
      </c>
      <c r="I212">
        <v>1</v>
      </c>
    </row>
    <row r="213" spans="1:9">
      <c r="A213" t="s">
        <v>628</v>
      </c>
      <c r="B213" s="27" t="s">
        <v>3219</v>
      </c>
      <c r="C213" s="27" t="s">
        <v>5765</v>
      </c>
      <c r="D213">
        <f>VLOOKUP(tblTargetMedicos[[#This Row],[codigo_id]],[1]DIM_REPRESENTANTE_MEDICO!$C:$F,4,0)</f>
        <v>4</v>
      </c>
      <c r="E213">
        <f>VLOOKUP(tblTargetMedicos[[#This Row],[codigo_id]],[1]DIM_REPRESENTANTE_MEDICO!$C:$F,3,0)</f>
        <v>10</v>
      </c>
      <c r="F213" s="27" t="s">
        <v>5796</v>
      </c>
      <c r="G213" s="27" t="s">
        <v>5783</v>
      </c>
      <c r="H213" s="27" t="s">
        <v>96</v>
      </c>
      <c r="I213">
        <v>1</v>
      </c>
    </row>
    <row r="214" spans="1:9">
      <c r="A214" t="s">
        <v>629</v>
      </c>
      <c r="B214" s="27" t="s">
        <v>3219</v>
      </c>
      <c r="C214" s="27" t="s">
        <v>5765</v>
      </c>
      <c r="D214">
        <f>VLOOKUP(tblTargetMedicos[[#This Row],[codigo_id]],[1]DIM_REPRESENTANTE_MEDICO!$C:$F,4,0)</f>
        <v>4</v>
      </c>
      <c r="E214">
        <f>VLOOKUP(tblTargetMedicos[[#This Row],[codigo_id]],[1]DIM_REPRESENTANTE_MEDICO!$C:$F,3,0)</f>
        <v>10</v>
      </c>
      <c r="F214" s="27" t="s">
        <v>5796</v>
      </c>
      <c r="G214" s="27" t="s">
        <v>5783</v>
      </c>
      <c r="H214" s="27" t="s">
        <v>96</v>
      </c>
      <c r="I214">
        <v>1</v>
      </c>
    </row>
    <row r="215" spans="1:9">
      <c r="A215" t="s">
        <v>630</v>
      </c>
      <c r="B215" s="27" t="s">
        <v>3219</v>
      </c>
      <c r="C215" s="27" t="s">
        <v>5765</v>
      </c>
      <c r="D215">
        <f>VLOOKUP(tblTargetMedicos[[#This Row],[codigo_id]],[1]DIM_REPRESENTANTE_MEDICO!$C:$F,4,0)</f>
        <v>4</v>
      </c>
      <c r="E215">
        <f>VLOOKUP(tblTargetMedicos[[#This Row],[codigo_id]],[1]DIM_REPRESENTANTE_MEDICO!$C:$F,3,0)</f>
        <v>10</v>
      </c>
      <c r="F215" s="27" t="s">
        <v>5796</v>
      </c>
      <c r="G215" s="27" t="s">
        <v>5784</v>
      </c>
      <c r="H215" s="27" t="s">
        <v>97</v>
      </c>
      <c r="I215">
        <v>1</v>
      </c>
    </row>
    <row r="216" spans="1:9">
      <c r="A216" t="s">
        <v>631</v>
      </c>
      <c r="B216" s="27" t="s">
        <v>3219</v>
      </c>
      <c r="C216" s="27" t="s">
        <v>5765</v>
      </c>
      <c r="D216">
        <f>VLOOKUP(tblTargetMedicos[[#This Row],[codigo_id]],[1]DIM_REPRESENTANTE_MEDICO!$C:$F,4,0)</f>
        <v>4</v>
      </c>
      <c r="E216">
        <f>VLOOKUP(tblTargetMedicos[[#This Row],[codigo_id]],[1]DIM_REPRESENTANTE_MEDICO!$C:$F,3,0)</f>
        <v>10</v>
      </c>
      <c r="F216" s="27" t="s">
        <v>5796</v>
      </c>
      <c r="G216" s="27" t="s">
        <v>5789</v>
      </c>
      <c r="H216" s="27" t="s">
        <v>96</v>
      </c>
      <c r="I216">
        <v>1</v>
      </c>
    </row>
    <row r="217" spans="1:9">
      <c r="A217" t="s">
        <v>632</v>
      </c>
      <c r="B217" s="27" t="s">
        <v>3219</v>
      </c>
      <c r="C217" s="27" t="s">
        <v>5765</v>
      </c>
      <c r="D217">
        <f>VLOOKUP(tblTargetMedicos[[#This Row],[codigo_id]],[1]DIM_REPRESENTANTE_MEDICO!$C:$F,4,0)</f>
        <v>4</v>
      </c>
      <c r="E217">
        <f>VLOOKUP(tblTargetMedicos[[#This Row],[codigo_id]],[1]DIM_REPRESENTANTE_MEDICO!$C:$F,3,0)</f>
        <v>10</v>
      </c>
      <c r="F217" s="27" t="s">
        <v>5796</v>
      </c>
      <c r="G217" s="27" t="s">
        <v>5785</v>
      </c>
      <c r="H217" s="27" t="s">
        <v>96</v>
      </c>
      <c r="I217">
        <v>1</v>
      </c>
    </row>
    <row r="218" spans="1:9">
      <c r="A218" t="s">
        <v>633</v>
      </c>
      <c r="B218" s="27" t="s">
        <v>3219</v>
      </c>
      <c r="C218" s="27" t="s">
        <v>5765</v>
      </c>
      <c r="D218">
        <f>VLOOKUP(tblTargetMedicos[[#This Row],[codigo_id]],[1]DIM_REPRESENTANTE_MEDICO!$C:$F,4,0)</f>
        <v>4</v>
      </c>
      <c r="E218">
        <f>VLOOKUP(tblTargetMedicos[[#This Row],[codigo_id]],[1]DIM_REPRESENTANTE_MEDICO!$C:$F,3,0)</f>
        <v>10</v>
      </c>
      <c r="F218" s="27" t="s">
        <v>5796</v>
      </c>
      <c r="G218" s="27" t="s">
        <v>5784</v>
      </c>
      <c r="H218" s="27" t="s">
        <v>95</v>
      </c>
      <c r="I218">
        <v>1</v>
      </c>
    </row>
    <row r="219" spans="1:9">
      <c r="A219" t="s">
        <v>634</v>
      </c>
      <c r="B219" s="27" t="s">
        <v>3219</v>
      </c>
      <c r="C219" s="27" t="s">
        <v>5765</v>
      </c>
      <c r="D219">
        <f>VLOOKUP(tblTargetMedicos[[#This Row],[codigo_id]],[1]DIM_REPRESENTANTE_MEDICO!$C:$F,4,0)</f>
        <v>4</v>
      </c>
      <c r="E219">
        <f>VLOOKUP(tblTargetMedicos[[#This Row],[codigo_id]],[1]DIM_REPRESENTANTE_MEDICO!$C:$F,3,0)</f>
        <v>10</v>
      </c>
      <c r="F219" s="27" t="s">
        <v>5796</v>
      </c>
      <c r="G219" s="27" t="s">
        <v>5779</v>
      </c>
      <c r="H219" s="27" t="s">
        <v>96</v>
      </c>
      <c r="I219">
        <v>1</v>
      </c>
    </row>
    <row r="220" spans="1:9">
      <c r="A220" t="s">
        <v>635</v>
      </c>
      <c r="B220" s="27" t="s">
        <v>3219</v>
      </c>
      <c r="C220" s="27" t="s">
        <v>5765</v>
      </c>
      <c r="D220">
        <f>VLOOKUP(tblTargetMedicos[[#This Row],[codigo_id]],[1]DIM_REPRESENTANTE_MEDICO!$C:$F,4,0)</f>
        <v>4</v>
      </c>
      <c r="E220">
        <f>VLOOKUP(tblTargetMedicos[[#This Row],[codigo_id]],[1]DIM_REPRESENTANTE_MEDICO!$C:$F,3,0)</f>
        <v>10</v>
      </c>
      <c r="F220" s="27" t="s">
        <v>5796</v>
      </c>
      <c r="G220" s="27" t="s">
        <v>5783</v>
      </c>
      <c r="H220" s="27" t="s">
        <v>95</v>
      </c>
      <c r="I220">
        <v>1</v>
      </c>
    </row>
    <row r="221" spans="1:9">
      <c r="A221" t="s">
        <v>636</v>
      </c>
      <c r="B221" s="27" t="s">
        <v>3219</v>
      </c>
      <c r="C221" s="27" t="s">
        <v>5765</v>
      </c>
      <c r="D221">
        <f>VLOOKUP(tblTargetMedicos[[#This Row],[codigo_id]],[1]DIM_REPRESENTANTE_MEDICO!$C:$F,4,0)</f>
        <v>4</v>
      </c>
      <c r="E221">
        <f>VLOOKUP(tblTargetMedicos[[#This Row],[codigo_id]],[1]DIM_REPRESENTANTE_MEDICO!$C:$F,3,0)</f>
        <v>10</v>
      </c>
      <c r="F221" s="27" t="s">
        <v>5796</v>
      </c>
      <c r="G221" s="27" t="s">
        <v>5783</v>
      </c>
      <c r="H221" s="27" t="s">
        <v>96</v>
      </c>
      <c r="I221">
        <v>1</v>
      </c>
    </row>
    <row r="222" spans="1:9">
      <c r="A222" t="s">
        <v>637</v>
      </c>
      <c r="B222" s="27" t="s">
        <v>3219</v>
      </c>
      <c r="C222" s="27" t="s">
        <v>5765</v>
      </c>
      <c r="D222">
        <f>VLOOKUP(tblTargetMedicos[[#This Row],[codigo_id]],[1]DIM_REPRESENTANTE_MEDICO!$C:$F,4,0)</f>
        <v>4</v>
      </c>
      <c r="E222">
        <f>VLOOKUP(tblTargetMedicos[[#This Row],[codigo_id]],[1]DIM_REPRESENTANTE_MEDICO!$C:$F,3,0)</f>
        <v>10</v>
      </c>
      <c r="F222" s="27" t="s">
        <v>5796</v>
      </c>
      <c r="G222" s="27" t="s">
        <v>5789</v>
      </c>
      <c r="H222" s="27" t="s">
        <v>97</v>
      </c>
      <c r="I222">
        <v>1</v>
      </c>
    </row>
    <row r="223" spans="1:9">
      <c r="A223" t="s">
        <v>638</v>
      </c>
      <c r="B223" s="27" t="s">
        <v>3219</v>
      </c>
      <c r="C223" s="27" t="s">
        <v>5765</v>
      </c>
      <c r="D223">
        <f>VLOOKUP(tblTargetMedicos[[#This Row],[codigo_id]],[1]DIM_REPRESENTANTE_MEDICO!$C:$F,4,0)</f>
        <v>4</v>
      </c>
      <c r="E223">
        <f>VLOOKUP(tblTargetMedicos[[#This Row],[codigo_id]],[1]DIM_REPRESENTANTE_MEDICO!$C:$F,3,0)</f>
        <v>10</v>
      </c>
      <c r="F223" s="27" t="s">
        <v>5796</v>
      </c>
      <c r="G223" s="27" t="s">
        <v>5781</v>
      </c>
      <c r="H223" s="27" t="s">
        <v>96</v>
      </c>
      <c r="I223">
        <v>1</v>
      </c>
    </row>
    <row r="224" spans="1:9">
      <c r="A224" t="s">
        <v>639</v>
      </c>
      <c r="B224" s="27" t="s">
        <v>3219</v>
      </c>
      <c r="C224" s="27" t="s">
        <v>5765</v>
      </c>
      <c r="D224">
        <f>VLOOKUP(tblTargetMedicos[[#This Row],[codigo_id]],[1]DIM_REPRESENTANTE_MEDICO!$C:$F,4,0)</f>
        <v>4</v>
      </c>
      <c r="E224">
        <f>VLOOKUP(tblTargetMedicos[[#This Row],[codigo_id]],[1]DIM_REPRESENTANTE_MEDICO!$C:$F,3,0)</f>
        <v>10</v>
      </c>
      <c r="F224" s="27" t="s">
        <v>5796</v>
      </c>
      <c r="G224" s="27" t="s">
        <v>5783</v>
      </c>
      <c r="H224" s="27" t="s">
        <v>96</v>
      </c>
      <c r="I224">
        <v>1</v>
      </c>
    </row>
    <row r="225" spans="1:9">
      <c r="A225" t="s">
        <v>640</v>
      </c>
      <c r="B225" s="27" t="s">
        <v>3219</v>
      </c>
      <c r="C225" s="27" t="s">
        <v>5765</v>
      </c>
      <c r="D225">
        <f>VLOOKUP(tblTargetMedicos[[#This Row],[codigo_id]],[1]DIM_REPRESENTANTE_MEDICO!$C:$F,4,0)</f>
        <v>4</v>
      </c>
      <c r="E225">
        <f>VLOOKUP(tblTargetMedicos[[#This Row],[codigo_id]],[1]DIM_REPRESENTANTE_MEDICO!$C:$F,3,0)</f>
        <v>10</v>
      </c>
      <c r="F225" s="27" t="s">
        <v>5796</v>
      </c>
      <c r="G225" s="27" t="s">
        <v>5784</v>
      </c>
      <c r="H225" s="27" t="s">
        <v>96</v>
      </c>
      <c r="I225">
        <v>1</v>
      </c>
    </row>
    <row r="226" spans="1:9">
      <c r="A226" t="s">
        <v>641</v>
      </c>
      <c r="B226" s="27" t="s">
        <v>3219</v>
      </c>
      <c r="C226" s="27" t="s">
        <v>5765</v>
      </c>
      <c r="D226">
        <f>VLOOKUP(tblTargetMedicos[[#This Row],[codigo_id]],[1]DIM_REPRESENTANTE_MEDICO!$C:$F,4,0)</f>
        <v>4</v>
      </c>
      <c r="E226">
        <f>VLOOKUP(tblTargetMedicos[[#This Row],[codigo_id]],[1]DIM_REPRESENTANTE_MEDICO!$C:$F,3,0)</f>
        <v>10</v>
      </c>
      <c r="F226" s="27" t="s">
        <v>5796</v>
      </c>
      <c r="G226" s="27" t="s">
        <v>5779</v>
      </c>
      <c r="H226" s="27" t="s">
        <v>96</v>
      </c>
      <c r="I226">
        <v>1</v>
      </c>
    </row>
    <row r="227" spans="1:9">
      <c r="A227" t="s">
        <v>642</v>
      </c>
      <c r="B227" s="27" t="s">
        <v>3219</v>
      </c>
      <c r="C227" s="27" t="s">
        <v>5765</v>
      </c>
      <c r="D227">
        <f>VLOOKUP(tblTargetMedicos[[#This Row],[codigo_id]],[1]DIM_REPRESENTANTE_MEDICO!$C:$F,4,0)</f>
        <v>4</v>
      </c>
      <c r="E227">
        <f>VLOOKUP(tblTargetMedicos[[#This Row],[codigo_id]],[1]DIM_REPRESENTANTE_MEDICO!$C:$F,3,0)</f>
        <v>10</v>
      </c>
      <c r="F227" s="27" t="s">
        <v>5796</v>
      </c>
      <c r="G227" s="27" t="s">
        <v>5785</v>
      </c>
      <c r="H227" s="27" t="s">
        <v>96</v>
      </c>
      <c r="I227">
        <v>1</v>
      </c>
    </row>
    <row r="228" spans="1:9">
      <c r="A228" t="s">
        <v>643</v>
      </c>
      <c r="B228" s="27" t="s">
        <v>3219</v>
      </c>
      <c r="C228" s="27" t="s">
        <v>5765</v>
      </c>
      <c r="D228">
        <f>VLOOKUP(tblTargetMedicos[[#This Row],[codigo_id]],[1]DIM_REPRESENTANTE_MEDICO!$C:$F,4,0)</f>
        <v>4</v>
      </c>
      <c r="E228">
        <f>VLOOKUP(tblTargetMedicos[[#This Row],[codigo_id]],[1]DIM_REPRESENTANTE_MEDICO!$C:$F,3,0)</f>
        <v>10</v>
      </c>
      <c r="F228" s="27" t="s">
        <v>5796</v>
      </c>
      <c r="G228" s="27" t="s">
        <v>5779</v>
      </c>
      <c r="H228" s="27" t="s">
        <v>96</v>
      </c>
      <c r="I228">
        <v>1</v>
      </c>
    </row>
    <row r="229" spans="1:9">
      <c r="A229" t="s">
        <v>644</v>
      </c>
      <c r="B229" s="27" t="s">
        <v>3219</v>
      </c>
      <c r="C229" s="27" t="s">
        <v>5765</v>
      </c>
      <c r="D229">
        <f>VLOOKUP(tblTargetMedicos[[#This Row],[codigo_id]],[1]DIM_REPRESENTANTE_MEDICO!$C:$F,4,0)</f>
        <v>4</v>
      </c>
      <c r="E229">
        <f>VLOOKUP(tblTargetMedicos[[#This Row],[codigo_id]],[1]DIM_REPRESENTANTE_MEDICO!$C:$F,3,0)</f>
        <v>10</v>
      </c>
      <c r="F229" s="27" t="s">
        <v>5796</v>
      </c>
      <c r="G229" s="27" t="s">
        <v>5781</v>
      </c>
      <c r="H229" s="27" t="s">
        <v>96</v>
      </c>
      <c r="I229">
        <v>1</v>
      </c>
    </row>
    <row r="230" spans="1:9">
      <c r="A230" t="s">
        <v>645</v>
      </c>
      <c r="B230" s="27" t="s">
        <v>3219</v>
      </c>
      <c r="C230" s="27" t="s">
        <v>5765</v>
      </c>
      <c r="D230">
        <f>VLOOKUP(tblTargetMedicos[[#This Row],[codigo_id]],[1]DIM_REPRESENTANTE_MEDICO!$C:$F,4,0)</f>
        <v>4</v>
      </c>
      <c r="E230">
        <f>VLOOKUP(tblTargetMedicos[[#This Row],[codigo_id]],[1]DIM_REPRESENTANTE_MEDICO!$C:$F,3,0)</f>
        <v>10</v>
      </c>
      <c r="F230" s="27" t="s">
        <v>5796</v>
      </c>
      <c r="G230" s="27" t="s">
        <v>5789</v>
      </c>
      <c r="H230" s="27" t="s">
        <v>97</v>
      </c>
      <c r="I230">
        <v>1</v>
      </c>
    </row>
    <row r="231" spans="1:9">
      <c r="A231" t="s">
        <v>646</v>
      </c>
      <c r="B231" s="27" t="s">
        <v>3219</v>
      </c>
      <c r="C231" s="27" t="s">
        <v>5765</v>
      </c>
      <c r="D231">
        <f>VLOOKUP(tblTargetMedicos[[#This Row],[codigo_id]],[1]DIM_REPRESENTANTE_MEDICO!$C:$F,4,0)</f>
        <v>4</v>
      </c>
      <c r="E231">
        <f>VLOOKUP(tblTargetMedicos[[#This Row],[codigo_id]],[1]DIM_REPRESENTANTE_MEDICO!$C:$F,3,0)</f>
        <v>10</v>
      </c>
      <c r="F231" s="27" t="s">
        <v>5796</v>
      </c>
      <c r="G231" s="27" t="s">
        <v>5785</v>
      </c>
      <c r="H231" s="27" t="s">
        <v>95</v>
      </c>
      <c r="I231">
        <v>1</v>
      </c>
    </row>
    <row r="232" spans="1:9">
      <c r="A232" t="s">
        <v>647</v>
      </c>
      <c r="B232" s="27" t="s">
        <v>3219</v>
      </c>
      <c r="C232" s="27" t="s">
        <v>5765</v>
      </c>
      <c r="D232">
        <f>VLOOKUP(tblTargetMedicos[[#This Row],[codigo_id]],[1]DIM_REPRESENTANTE_MEDICO!$C:$F,4,0)</f>
        <v>4</v>
      </c>
      <c r="E232">
        <f>VLOOKUP(tblTargetMedicos[[#This Row],[codigo_id]],[1]DIM_REPRESENTANTE_MEDICO!$C:$F,3,0)</f>
        <v>10</v>
      </c>
      <c r="F232" s="27" t="s">
        <v>5796</v>
      </c>
      <c r="G232" s="27" t="s">
        <v>5779</v>
      </c>
      <c r="H232" s="27" t="s">
        <v>96</v>
      </c>
      <c r="I232">
        <v>1</v>
      </c>
    </row>
    <row r="233" spans="1:9">
      <c r="A233" t="s">
        <v>648</v>
      </c>
      <c r="B233" s="27" t="s">
        <v>3219</v>
      </c>
      <c r="C233" s="27" t="s">
        <v>5765</v>
      </c>
      <c r="D233">
        <f>VLOOKUP(tblTargetMedicos[[#This Row],[codigo_id]],[1]DIM_REPRESENTANTE_MEDICO!$C:$F,4,0)</f>
        <v>4</v>
      </c>
      <c r="E233">
        <f>VLOOKUP(tblTargetMedicos[[#This Row],[codigo_id]],[1]DIM_REPRESENTANTE_MEDICO!$C:$F,3,0)</f>
        <v>10</v>
      </c>
      <c r="F233" s="27" t="s">
        <v>5796</v>
      </c>
      <c r="G233" s="27" t="s">
        <v>5784</v>
      </c>
      <c r="H233" s="27" t="s">
        <v>95</v>
      </c>
      <c r="I233">
        <v>1</v>
      </c>
    </row>
    <row r="234" spans="1:9">
      <c r="A234" t="s">
        <v>649</v>
      </c>
      <c r="B234" s="27" t="s">
        <v>3219</v>
      </c>
      <c r="C234" s="27" t="s">
        <v>5765</v>
      </c>
      <c r="D234">
        <f>VLOOKUP(tblTargetMedicos[[#This Row],[codigo_id]],[1]DIM_REPRESENTANTE_MEDICO!$C:$F,4,0)</f>
        <v>4</v>
      </c>
      <c r="E234">
        <f>VLOOKUP(tblTargetMedicos[[#This Row],[codigo_id]],[1]DIM_REPRESENTANTE_MEDICO!$C:$F,3,0)</f>
        <v>10</v>
      </c>
      <c r="F234" s="27" t="s">
        <v>5796</v>
      </c>
      <c r="G234" s="27" t="s">
        <v>5782</v>
      </c>
      <c r="H234" s="27" t="s">
        <v>97</v>
      </c>
      <c r="I234">
        <v>1</v>
      </c>
    </row>
    <row r="235" spans="1:9">
      <c r="A235" t="s">
        <v>650</v>
      </c>
      <c r="B235" s="27" t="s">
        <v>3219</v>
      </c>
      <c r="C235" s="27" t="s">
        <v>5765</v>
      </c>
      <c r="D235">
        <f>VLOOKUP(tblTargetMedicos[[#This Row],[codigo_id]],[1]DIM_REPRESENTANTE_MEDICO!$C:$F,4,0)</f>
        <v>4</v>
      </c>
      <c r="E235">
        <f>VLOOKUP(tblTargetMedicos[[#This Row],[codigo_id]],[1]DIM_REPRESENTANTE_MEDICO!$C:$F,3,0)</f>
        <v>10</v>
      </c>
      <c r="F235" s="27" t="s">
        <v>5796</v>
      </c>
      <c r="G235" s="27" t="s">
        <v>5783</v>
      </c>
      <c r="H235" s="27" t="s">
        <v>96</v>
      </c>
      <c r="I235">
        <v>1</v>
      </c>
    </row>
    <row r="236" spans="1:9">
      <c r="A236" t="s">
        <v>651</v>
      </c>
      <c r="B236" s="27" t="s">
        <v>3219</v>
      </c>
      <c r="C236" s="27" t="s">
        <v>5765</v>
      </c>
      <c r="D236">
        <f>VLOOKUP(tblTargetMedicos[[#This Row],[codigo_id]],[1]DIM_REPRESENTANTE_MEDICO!$C:$F,4,0)</f>
        <v>4</v>
      </c>
      <c r="E236">
        <f>VLOOKUP(tblTargetMedicos[[#This Row],[codigo_id]],[1]DIM_REPRESENTANTE_MEDICO!$C:$F,3,0)</f>
        <v>10</v>
      </c>
      <c r="F236" s="27" t="s">
        <v>5796</v>
      </c>
      <c r="G236" s="27" t="s">
        <v>5784</v>
      </c>
      <c r="H236" s="27" t="s">
        <v>95</v>
      </c>
      <c r="I236">
        <v>1</v>
      </c>
    </row>
    <row r="237" spans="1:9">
      <c r="A237" t="s">
        <v>652</v>
      </c>
      <c r="B237" s="27" t="s">
        <v>3219</v>
      </c>
      <c r="C237" s="27" t="s">
        <v>5765</v>
      </c>
      <c r="D237">
        <f>VLOOKUP(tblTargetMedicos[[#This Row],[codigo_id]],[1]DIM_REPRESENTANTE_MEDICO!$C:$F,4,0)</f>
        <v>4</v>
      </c>
      <c r="E237">
        <f>VLOOKUP(tblTargetMedicos[[#This Row],[codigo_id]],[1]DIM_REPRESENTANTE_MEDICO!$C:$F,3,0)</f>
        <v>10</v>
      </c>
      <c r="F237" s="27" t="s">
        <v>5796</v>
      </c>
      <c r="G237" s="27" t="s">
        <v>5782</v>
      </c>
      <c r="H237" s="27" t="s">
        <v>96</v>
      </c>
      <c r="I237">
        <v>1</v>
      </c>
    </row>
    <row r="238" spans="1:9">
      <c r="A238" t="s">
        <v>653</v>
      </c>
      <c r="B238" s="27" t="s">
        <v>3219</v>
      </c>
      <c r="C238" s="27" t="s">
        <v>5765</v>
      </c>
      <c r="D238">
        <f>VLOOKUP(tblTargetMedicos[[#This Row],[codigo_id]],[1]DIM_REPRESENTANTE_MEDICO!$C:$F,4,0)</f>
        <v>4</v>
      </c>
      <c r="E238">
        <f>VLOOKUP(tblTargetMedicos[[#This Row],[codigo_id]],[1]DIM_REPRESENTANTE_MEDICO!$C:$F,3,0)</f>
        <v>10</v>
      </c>
      <c r="F238" s="27" t="s">
        <v>5796</v>
      </c>
      <c r="G238" s="27" t="s">
        <v>5783</v>
      </c>
      <c r="H238" s="27" t="s">
        <v>96</v>
      </c>
      <c r="I238">
        <v>1</v>
      </c>
    </row>
    <row r="239" spans="1:9">
      <c r="A239" t="s">
        <v>654</v>
      </c>
      <c r="B239" s="27" t="s">
        <v>3219</v>
      </c>
      <c r="C239" s="27" t="s">
        <v>5765</v>
      </c>
      <c r="D239">
        <f>VLOOKUP(tblTargetMedicos[[#This Row],[codigo_id]],[1]DIM_REPRESENTANTE_MEDICO!$C:$F,4,0)</f>
        <v>4</v>
      </c>
      <c r="E239">
        <f>VLOOKUP(tblTargetMedicos[[#This Row],[codigo_id]],[1]DIM_REPRESENTANTE_MEDICO!$C:$F,3,0)</f>
        <v>10</v>
      </c>
      <c r="F239" s="27" t="s">
        <v>5796</v>
      </c>
      <c r="G239" s="27" t="s">
        <v>5782</v>
      </c>
      <c r="H239" s="27" t="s">
        <v>96</v>
      </c>
      <c r="I239">
        <v>1</v>
      </c>
    </row>
    <row r="240" spans="1:9">
      <c r="A240" t="s">
        <v>655</v>
      </c>
      <c r="B240" s="27" t="s">
        <v>3219</v>
      </c>
      <c r="C240" s="27" t="s">
        <v>5765</v>
      </c>
      <c r="D240">
        <f>VLOOKUP(tblTargetMedicos[[#This Row],[codigo_id]],[1]DIM_REPRESENTANTE_MEDICO!$C:$F,4,0)</f>
        <v>4</v>
      </c>
      <c r="E240">
        <f>VLOOKUP(tblTargetMedicos[[#This Row],[codigo_id]],[1]DIM_REPRESENTANTE_MEDICO!$C:$F,3,0)</f>
        <v>10</v>
      </c>
      <c r="F240" s="27" t="s">
        <v>5796</v>
      </c>
      <c r="G240" s="27" t="s">
        <v>5783</v>
      </c>
      <c r="H240" s="27" t="s">
        <v>97</v>
      </c>
      <c r="I240">
        <v>1</v>
      </c>
    </row>
    <row r="241" spans="1:9">
      <c r="A241" t="s">
        <v>656</v>
      </c>
      <c r="B241" s="27" t="s">
        <v>3219</v>
      </c>
      <c r="C241" s="27" t="s">
        <v>5765</v>
      </c>
      <c r="D241">
        <f>VLOOKUP(tblTargetMedicos[[#This Row],[codigo_id]],[1]DIM_REPRESENTANTE_MEDICO!$C:$F,4,0)</f>
        <v>4</v>
      </c>
      <c r="E241">
        <f>VLOOKUP(tblTargetMedicos[[#This Row],[codigo_id]],[1]DIM_REPRESENTANTE_MEDICO!$C:$F,3,0)</f>
        <v>10</v>
      </c>
      <c r="F241" s="27" t="s">
        <v>5796</v>
      </c>
      <c r="G241" s="27" t="s">
        <v>5781</v>
      </c>
      <c r="H241" s="27" t="s">
        <v>96</v>
      </c>
      <c r="I241">
        <v>1</v>
      </c>
    </row>
    <row r="242" spans="1:9">
      <c r="A242" t="s">
        <v>657</v>
      </c>
      <c r="B242" s="27" t="s">
        <v>3219</v>
      </c>
      <c r="C242" s="27" t="s">
        <v>5765</v>
      </c>
      <c r="D242">
        <f>VLOOKUP(tblTargetMedicos[[#This Row],[codigo_id]],[1]DIM_REPRESENTANTE_MEDICO!$C:$F,4,0)</f>
        <v>4</v>
      </c>
      <c r="E242">
        <f>VLOOKUP(tblTargetMedicos[[#This Row],[codigo_id]],[1]DIM_REPRESENTANTE_MEDICO!$C:$F,3,0)</f>
        <v>10</v>
      </c>
      <c r="F242" s="27" t="s">
        <v>5796</v>
      </c>
      <c r="G242" s="27" t="s">
        <v>5785</v>
      </c>
      <c r="H242" s="27" t="s">
        <v>96</v>
      </c>
      <c r="I242">
        <v>1</v>
      </c>
    </row>
    <row r="243" spans="1:9">
      <c r="A243" t="s">
        <v>658</v>
      </c>
      <c r="B243" s="27" t="s">
        <v>3219</v>
      </c>
      <c r="C243" s="27" t="s">
        <v>5765</v>
      </c>
      <c r="D243">
        <f>VLOOKUP(tblTargetMedicos[[#This Row],[codigo_id]],[1]DIM_REPRESENTANTE_MEDICO!$C:$F,4,0)</f>
        <v>4</v>
      </c>
      <c r="E243">
        <f>VLOOKUP(tblTargetMedicos[[#This Row],[codigo_id]],[1]DIM_REPRESENTANTE_MEDICO!$C:$F,3,0)</f>
        <v>10</v>
      </c>
      <c r="F243" s="27" t="s">
        <v>5796</v>
      </c>
      <c r="G243" s="27" t="s">
        <v>5784</v>
      </c>
      <c r="H243" s="27" t="s">
        <v>96</v>
      </c>
      <c r="I243">
        <v>1</v>
      </c>
    </row>
    <row r="244" spans="1:9">
      <c r="A244" t="s">
        <v>659</v>
      </c>
      <c r="B244" s="27" t="s">
        <v>3219</v>
      </c>
      <c r="C244" s="27" t="s">
        <v>5765</v>
      </c>
      <c r="D244">
        <f>VLOOKUP(tblTargetMedicos[[#This Row],[codigo_id]],[1]DIM_REPRESENTANTE_MEDICO!$C:$F,4,0)</f>
        <v>4</v>
      </c>
      <c r="E244">
        <f>VLOOKUP(tblTargetMedicos[[#This Row],[codigo_id]],[1]DIM_REPRESENTANTE_MEDICO!$C:$F,3,0)</f>
        <v>10</v>
      </c>
      <c r="F244" s="27" t="s">
        <v>5796</v>
      </c>
      <c r="G244" s="27" t="s">
        <v>5785</v>
      </c>
      <c r="H244" s="27" t="s">
        <v>96</v>
      </c>
      <c r="I244">
        <v>1</v>
      </c>
    </row>
    <row r="245" spans="1:9">
      <c r="A245" t="s">
        <v>660</v>
      </c>
      <c r="B245" s="27" t="s">
        <v>3219</v>
      </c>
      <c r="C245" s="27" t="s">
        <v>5765</v>
      </c>
      <c r="D245">
        <f>VLOOKUP(tblTargetMedicos[[#This Row],[codigo_id]],[1]DIM_REPRESENTANTE_MEDICO!$C:$F,4,0)</f>
        <v>4</v>
      </c>
      <c r="E245">
        <f>VLOOKUP(tblTargetMedicos[[#This Row],[codigo_id]],[1]DIM_REPRESENTANTE_MEDICO!$C:$F,3,0)</f>
        <v>10</v>
      </c>
      <c r="F245" s="27" t="s">
        <v>5796</v>
      </c>
      <c r="G245" s="27" t="s">
        <v>5786</v>
      </c>
      <c r="H245" s="27" t="s">
        <v>96</v>
      </c>
      <c r="I245">
        <v>1</v>
      </c>
    </row>
    <row r="246" spans="1:9">
      <c r="A246" t="s">
        <v>661</v>
      </c>
      <c r="B246" s="27" t="s">
        <v>3219</v>
      </c>
      <c r="C246" s="27" t="s">
        <v>5765</v>
      </c>
      <c r="D246">
        <f>VLOOKUP(tblTargetMedicos[[#This Row],[codigo_id]],[1]DIM_REPRESENTANTE_MEDICO!$C:$F,4,0)</f>
        <v>4</v>
      </c>
      <c r="E246">
        <f>VLOOKUP(tblTargetMedicos[[#This Row],[codigo_id]],[1]DIM_REPRESENTANTE_MEDICO!$C:$F,3,0)</f>
        <v>10</v>
      </c>
      <c r="F246" s="27" t="s">
        <v>5796</v>
      </c>
      <c r="G246" s="27" t="s">
        <v>5783</v>
      </c>
      <c r="H246" s="27" t="s">
        <v>96</v>
      </c>
      <c r="I246">
        <v>1</v>
      </c>
    </row>
    <row r="247" spans="1:9">
      <c r="A247" t="s">
        <v>662</v>
      </c>
      <c r="B247" s="27" t="s">
        <v>3219</v>
      </c>
      <c r="C247" s="27" t="s">
        <v>5765</v>
      </c>
      <c r="D247">
        <f>VLOOKUP(tblTargetMedicos[[#This Row],[codigo_id]],[1]DIM_REPRESENTANTE_MEDICO!$C:$F,4,0)</f>
        <v>4</v>
      </c>
      <c r="E247">
        <f>VLOOKUP(tblTargetMedicos[[#This Row],[codigo_id]],[1]DIM_REPRESENTANTE_MEDICO!$C:$F,3,0)</f>
        <v>10</v>
      </c>
      <c r="F247" s="27" t="s">
        <v>5796</v>
      </c>
      <c r="G247" s="27" t="s">
        <v>5789</v>
      </c>
      <c r="H247" s="27" t="s">
        <v>97</v>
      </c>
      <c r="I247">
        <v>1</v>
      </c>
    </row>
    <row r="248" spans="1:9">
      <c r="A248" t="s">
        <v>663</v>
      </c>
      <c r="B248" s="27" t="s">
        <v>3219</v>
      </c>
      <c r="C248" s="27" t="s">
        <v>5765</v>
      </c>
      <c r="D248">
        <f>VLOOKUP(tblTargetMedicos[[#This Row],[codigo_id]],[1]DIM_REPRESENTANTE_MEDICO!$C:$F,4,0)</f>
        <v>4</v>
      </c>
      <c r="E248">
        <f>VLOOKUP(tblTargetMedicos[[#This Row],[codigo_id]],[1]DIM_REPRESENTANTE_MEDICO!$C:$F,3,0)</f>
        <v>10</v>
      </c>
      <c r="F248" s="27" t="s">
        <v>5796</v>
      </c>
      <c r="G248" s="27" t="s">
        <v>5784</v>
      </c>
      <c r="H248" s="27" t="s">
        <v>95</v>
      </c>
      <c r="I248">
        <v>1</v>
      </c>
    </row>
    <row r="249" spans="1:9">
      <c r="A249" t="s">
        <v>664</v>
      </c>
      <c r="B249" s="27" t="s">
        <v>3219</v>
      </c>
      <c r="C249" s="27" t="s">
        <v>5765</v>
      </c>
      <c r="D249">
        <f>VLOOKUP(tblTargetMedicos[[#This Row],[codigo_id]],[1]DIM_REPRESENTANTE_MEDICO!$C:$F,4,0)</f>
        <v>4</v>
      </c>
      <c r="E249">
        <f>VLOOKUP(tblTargetMedicos[[#This Row],[codigo_id]],[1]DIM_REPRESENTANTE_MEDICO!$C:$F,3,0)</f>
        <v>10</v>
      </c>
      <c r="F249" s="27" t="s">
        <v>5796</v>
      </c>
      <c r="G249" s="27" t="s">
        <v>5783</v>
      </c>
      <c r="H249" s="27" t="s">
        <v>96</v>
      </c>
      <c r="I249">
        <v>1</v>
      </c>
    </row>
    <row r="250" spans="1:9">
      <c r="A250" t="s">
        <v>665</v>
      </c>
      <c r="B250" s="27" t="s">
        <v>3219</v>
      </c>
      <c r="C250" s="27" t="s">
        <v>5765</v>
      </c>
      <c r="D250">
        <f>VLOOKUP(tblTargetMedicos[[#This Row],[codigo_id]],[1]DIM_REPRESENTANTE_MEDICO!$C:$F,4,0)</f>
        <v>4</v>
      </c>
      <c r="E250">
        <f>VLOOKUP(tblTargetMedicos[[#This Row],[codigo_id]],[1]DIM_REPRESENTANTE_MEDICO!$C:$F,3,0)</f>
        <v>10</v>
      </c>
      <c r="F250" s="27" t="s">
        <v>5796</v>
      </c>
      <c r="G250" s="27" t="s">
        <v>5784</v>
      </c>
      <c r="H250" s="27" t="s">
        <v>95</v>
      </c>
      <c r="I250">
        <v>1</v>
      </c>
    </row>
    <row r="251" spans="1:9">
      <c r="A251" t="s">
        <v>666</v>
      </c>
      <c r="B251" s="27" t="s">
        <v>3219</v>
      </c>
      <c r="C251" s="27" t="s">
        <v>5765</v>
      </c>
      <c r="D251">
        <f>VLOOKUP(tblTargetMedicos[[#This Row],[codigo_id]],[1]DIM_REPRESENTANTE_MEDICO!$C:$F,4,0)</f>
        <v>4</v>
      </c>
      <c r="E251">
        <f>VLOOKUP(tblTargetMedicos[[#This Row],[codigo_id]],[1]DIM_REPRESENTANTE_MEDICO!$C:$F,3,0)</f>
        <v>10</v>
      </c>
      <c r="F251" s="27" t="s">
        <v>5796</v>
      </c>
      <c r="G251" s="27" t="s">
        <v>5781</v>
      </c>
      <c r="H251" s="27" t="s">
        <v>96</v>
      </c>
      <c r="I251">
        <v>1</v>
      </c>
    </row>
    <row r="252" spans="1:9">
      <c r="A252" t="s">
        <v>667</v>
      </c>
      <c r="B252" s="27" t="s">
        <v>3219</v>
      </c>
      <c r="C252" s="27" t="s">
        <v>5765</v>
      </c>
      <c r="D252">
        <f>VLOOKUP(tblTargetMedicos[[#This Row],[codigo_id]],[1]DIM_REPRESENTANTE_MEDICO!$C:$F,4,0)</f>
        <v>4</v>
      </c>
      <c r="E252">
        <f>VLOOKUP(tblTargetMedicos[[#This Row],[codigo_id]],[1]DIM_REPRESENTANTE_MEDICO!$C:$F,3,0)</f>
        <v>10</v>
      </c>
      <c r="F252" s="27" t="s">
        <v>5796</v>
      </c>
      <c r="G252" s="27" t="s">
        <v>5782</v>
      </c>
      <c r="H252" s="27" t="s">
        <v>96</v>
      </c>
      <c r="I252">
        <v>1</v>
      </c>
    </row>
    <row r="253" spans="1:9">
      <c r="A253" t="s">
        <v>668</v>
      </c>
      <c r="B253" s="27" t="s">
        <v>3219</v>
      </c>
      <c r="C253" s="27" t="s">
        <v>5765</v>
      </c>
      <c r="D253">
        <f>VLOOKUP(tblTargetMedicos[[#This Row],[codigo_id]],[1]DIM_REPRESENTANTE_MEDICO!$C:$F,4,0)</f>
        <v>4</v>
      </c>
      <c r="E253">
        <f>VLOOKUP(tblTargetMedicos[[#This Row],[codigo_id]],[1]DIM_REPRESENTANTE_MEDICO!$C:$F,3,0)</f>
        <v>10</v>
      </c>
      <c r="F253" s="27" t="s">
        <v>5796</v>
      </c>
      <c r="G253" s="27" t="s">
        <v>5781</v>
      </c>
      <c r="H253" s="27" t="s">
        <v>97</v>
      </c>
      <c r="I253">
        <v>1</v>
      </c>
    </row>
    <row r="254" spans="1:9">
      <c r="A254" t="s">
        <v>669</v>
      </c>
      <c r="B254" s="27" t="s">
        <v>3219</v>
      </c>
      <c r="C254" s="27" t="s">
        <v>5765</v>
      </c>
      <c r="D254">
        <f>VLOOKUP(tblTargetMedicos[[#This Row],[codigo_id]],[1]DIM_REPRESENTANTE_MEDICO!$C:$F,4,0)</f>
        <v>4</v>
      </c>
      <c r="E254">
        <f>VLOOKUP(tblTargetMedicos[[#This Row],[codigo_id]],[1]DIM_REPRESENTANTE_MEDICO!$C:$F,3,0)</f>
        <v>10</v>
      </c>
      <c r="F254" s="27" t="s">
        <v>5796</v>
      </c>
      <c r="G254" s="27" t="s">
        <v>5786</v>
      </c>
      <c r="H254" s="27" t="s">
        <v>96</v>
      </c>
      <c r="I254">
        <v>1</v>
      </c>
    </row>
    <row r="255" spans="1:9">
      <c r="A255" t="s">
        <v>670</v>
      </c>
      <c r="B255" s="27" t="s">
        <v>3219</v>
      </c>
      <c r="C255" s="27" t="s">
        <v>5765</v>
      </c>
      <c r="D255">
        <f>VLOOKUP(tblTargetMedicos[[#This Row],[codigo_id]],[1]DIM_REPRESENTANTE_MEDICO!$C:$F,4,0)</f>
        <v>4</v>
      </c>
      <c r="E255">
        <f>VLOOKUP(tblTargetMedicos[[#This Row],[codigo_id]],[1]DIM_REPRESENTANTE_MEDICO!$C:$F,3,0)</f>
        <v>10</v>
      </c>
      <c r="F255" s="27" t="s">
        <v>5796</v>
      </c>
      <c r="G255" s="27" t="s">
        <v>5781</v>
      </c>
      <c r="H255" s="27" t="s">
        <v>96</v>
      </c>
      <c r="I255">
        <v>1</v>
      </c>
    </row>
    <row r="256" spans="1:9">
      <c r="A256" t="s">
        <v>671</v>
      </c>
      <c r="B256" s="27" t="s">
        <v>3219</v>
      </c>
      <c r="C256" s="27" t="s">
        <v>5765</v>
      </c>
      <c r="D256">
        <f>VLOOKUP(tblTargetMedicos[[#This Row],[codigo_id]],[1]DIM_REPRESENTANTE_MEDICO!$C:$F,4,0)</f>
        <v>4</v>
      </c>
      <c r="E256">
        <f>VLOOKUP(tblTargetMedicos[[#This Row],[codigo_id]],[1]DIM_REPRESENTANTE_MEDICO!$C:$F,3,0)</f>
        <v>10</v>
      </c>
      <c r="F256" s="27" t="s">
        <v>5796</v>
      </c>
      <c r="G256" s="27" t="s">
        <v>5783</v>
      </c>
      <c r="H256" s="27" t="s">
        <v>96</v>
      </c>
      <c r="I256">
        <v>1</v>
      </c>
    </row>
    <row r="257" spans="1:9">
      <c r="A257" t="s">
        <v>672</v>
      </c>
      <c r="B257" s="27" t="s">
        <v>3219</v>
      </c>
      <c r="C257" s="27" t="s">
        <v>5765</v>
      </c>
      <c r="D257">
        <f>VLOOKUP(tblTargetMedicos[[#This Row],[codigo_id]],[1]DIM_REPRESENTANTE_MEDICO!$C:$F,4,0)</f>
        <v>4</v>
      </c>
      <c r="E257">
        <f>VLOOKUP(tblTargetMedicos[[#This Row],[codigo_id]],[1]DIM_REPRESENTANTE_MEDICO!$C:$F,3,0)</f>
        <v>10</v>
      </c>
      <c r="F257" s="27" t="s">
        <v>5796</v>
      </c>
      <c r="G257" s="27" t="s">
        <v>5779</v>
      </c>
      <c r="H257" s="27" t="s">
        <v>96</v>
      </c>
      <c r="I257">
        <v>1</v>
      </c>
    </row>
    <row r="258" spans="1:9">
      <c r="A258" t="s">
        <v>673</v>
      </c>
      <c r="B258" s="27" t="s">
        <v>3219</v>
      </c>
      <c r="C258" s="27" t="s">
        <v>5765</v>
      </c>
      <c r="D258">
        <f>VLOOKUP(tblTargetMedicos[[#This Row],[codigo_id]],[1]DIM_REPRESENTANTE_MEDICO!$C:$F,4,0)</f>
        <v>4</v>
      </c>
      <c r="E258">
        <f>VLOOKUP(tblTargetMedicos[[#This Row],[codigo_id]],[1]DIM_REPRESENTANTE_MEDICO!$C:$F,3,0)</f>
        <v>10</v>
      </c>
      <c r="F258" s="27" t="s">
        <v>5796</v>
      </c>
      <c r="G258" s="27" t="s">
        <v>5783</v>
      </c>
      <c r="H258" s="27" t="s">
        <v>96</v>
      </c>
      <c r="I258">
        <v>1</v>
      </c>
    </row>
    <row r="259" spans="1:9">
      <c r="A259" t="s">
        <v>674</v>
      </c>
      <c r="B259" s="27" t="s">
        <v>3219</v>
      </c>
      <c r="C259" s="27" t="s">
        <v>5765</v>
      </c>
      <c r="D259">
        <f>VLOOKUP(tblTargetMedicos[[#This Row],[codigo_id]],[1]DIM_REPRESENTANTE_MEDICO!$C:$F,4,0)</f>
        <v>4</v>
      </c>
      <c r="E259">
        <f>VLOOKUP(tblTargetMedicos[[#This Row],[codigo_id]],[1]DIM_REPRESENTANTE_MEDICO!$C:$F,3,0)</f>
        <v>10</v>
      </c>
      <c r="F259" s="27" t="s">
        <v>5796</v>
      </c>
      <c r="G259" s="27" t="s">
        <v>5781</v>
      </c>
      <c r="H259" s="27" t="s">
        <v>96</v>
      </c>
      <c r="I259">
        <v>1</v>
      </c>
    </row>
    <row r="260" spans="1:9">
      <c r="A260" t="s">
        <v>675</v>
      </c>
      <c r="B260" s="27" t="s">
        <v>3219</v>
      </c>
      <c r="C260" s="27" t="s">
        <v>5765</v>
      </c>
      <c r="D260">
        <f>VLOOKUP(tblTargetMedicos[[#This Row],[codigo_id]],[1]DIM_REPRESENTANTE_MEDICO!$C:$F,4,0)</f>
        <v>4</v>
      </c>
      <c r="E260">
        <f>VLOOKUP(tblTargetMedicos[[#This Row],[codigo_id]],[1]DIM_REPRESENTANTE_MEDICO!$C:$F,3,0)</f>
        <v>10</v>
      </c>
      <c r="F260" s="27" t="s">
        <v>5796</v>
      </c>
      <c r="G260" s="27" t="s">
        <v>5783</v>
      </c>
      <c r="H260" s="27" t="s">
        <v>96</v>
      </c>
      <c r="I260">
        <v>1</v>
      </c>
    </row>
    <row r="261" spans="1:9">
      <c r="A261" t="s">
        <v>676</v>
      </c>
      <c r="B261" s="27" t="s">
        <v>3219</v>
      </c>
      <c r="C261" s="27" t="s">
        <v>5765</v>
      </c>
      <c r="D261">
        <f>VLOOKUP(tblTargetMedicos[[#This Row],[codigo_id]],[1]DIM_REPRESENTANTE_MEDICO!$C:$F,4,0)</f>
        <v>4</v>
      </c>
      <c r="E261">
        <f>VLOOKUP(tblTargetMedicos[[#This Row],[codigo_id]],[1]DIM_REPRESENTANTE_MEDICO!$C:$F,3,0)</f>
        <v>10</v>
      </c>
      <c r="F261" s="27" t="s">
        <v>5796</v>
      </c>
      <c r="G261" s="27" t="s">
        <v>5784</v>
      </c>
      <c r="H261" s="27" t="s">
        <v>97</v>
      </c>
      <c r="I261">
        <v>1</v>
      </c>
    </row>
    <row r="262" spans="1:9">
      <c r="A262" t="s">
        <v>677</v>
      </c>
      <c r="B262" s="27" t="s">
        <v>3219</v>
      </c>
      <c r="C262" s="27" t="s">
        <v>5765</v>
      </c>
      <c r="D262">
        <f>VLOOKUP(tblTargetMedicos[[#This Row],[codigo_id]],[1]DIM_REPRESENTANTE_MEDICO!$C:$F,4,0)</f>
        <v>4</v>
      </c>
      <c r="E262">
        <f>VLOOKUP(tblTargetMedicos[[#This Row],[codigo_id]],[1]DIM_REPRESENTANTE_MEDICO!$C:$F,3,0)</f>
        <v>10</v>
      </c>
      <c r="F262" s="27" t="s">
        <v>5796</v>
      </c>
      <c r="G262" s="27" t="s">
        <v>5781</v>
      </c>
      <c r="H262" s="27" t="s">
        <v>96</v>
      </c>
      <c r="I262">
        <v>1</v>
      </c>
    </row>
    <row r="263" spans="1:9">
      <c r="A263" t="s">
        <v>678</v>
      </c>
      <c r="B263" s="27" t="s">
        <v>3219</v>
      </c>
      <c r="C263" s="27" t="s">
        <v>5765</v>
      </c>
      <c r="D263">
        <f>VLOOKUP(tblTargetMedicos[[#This Row],[codigo_id]],[1]DIM_REPRESENTANTE_MEDICO!$C:$F,4,0)</f>
        <v>4</v>
      </c>
      <c r="E263">
        <f>VLOOKUP(tblTargetMedicos[[#This Row],[codigo_id]],[1]DIM_REPRESENTANTE_MEDICO!$C:$F,3,0)</f>
        <v>10</v>
      </c>
      <c r="F263" s="27" t="s">
        <v>5796</v>
      </c>
      <c r="G263" s="27" t="s">
        <v>5783</v>
      </c>
      <c r="H263" s="27" t="s">
        <v>95</v>
      </c>
      <c r="I263">
        <v>1</v>
      </c>
    </row>
    <row r="264" spans="1:9">
      <c r="A264" t="s">
        <v>679</v>
      </c>
      <c r="B264" s="27" t="s">
        <v>3219</v>
      </c>
      <c r="C264" s="27" t="s">
        <v>5765</v>
      </c>
      <c r="D264">
        <f>VLOOKUP(tblTargetMedicos[[#This Row],[codigo_id]],[1]DIM_REPRESENTANTE_MEDICO!$C:$F,4,0)</f>
        <v>4</v>
      </c>
      <c r="E264">
        <f>VLOOKUP(tblTargetMedicos[[#This Row],[codigo_id]],[1]DIM_REPRESENTANTE_MEDICO!$C:$F,3,0)</f>
        <v>10</v>
      </c>
      <c r="F264" s="27" t="s">
        <v>5796</v>
      </c>
      <c r="G264" s="27" t="s">
        <v>5787</v>
      </c>
      <c r="H264" s="27" t="s">
        <v>95</v>
      </c>
      <c r="I264">
        <v>1</v>
      </c>
    </row>
    <row r="265" spans="1:9">
      <c r="A265" t="s">
        <v>680</v>
      </c>
      <c r="B265" s="27" t="s">
        <v>3219</v>
      </c>
      <c r="C265" s="27" t="s">
        <v>5765</v>
      </c>
      <c r="D265">
        <f>VLOOKUP(tblTargetMedicos[[#This Row],[codigo_id]],[1]DIM_REPRESENTANTE_MEDICO!$C:$F,4,0)</f>
        <v>4</v>
      </c>
      <c r="E265">
        <f>VLOOKUP(tblTargetMedicos[[#This Row],[codigo_id]],[1]DIM_REPRESENTANTE_MEDICO!$C:$F,3,0)</f>
        <v>10</v>
      </c>
      <c r="F265" s="27" t="s">
        <v>5796</v>
      </c>
      <c r="G265" s="27" t="s">
        <v>5784</v>
      </c>
      <c r="H265" s="27" t="s">
        <v>96</v>
      </c>
      <c r="I265">
        <v>1</v>
      </c>
    </row>
    <row r="266" spans="1:9">
      <c r="A266" t="s">
        <v>681</v>
      </c>
      <c r="B266" s="27" t="s">
        <v>3219</v>
      </c>
      <c r="C266" s="27" t="s">
        <v>5765</v>
      </c>
      <c r="D266">
        <f>VLOOKUP(tblTargetMedicos[[#This Row],[codigo_id]],[1]DIM_REPRESENTANTE_MEDICO!$C:$F,4,0)</f>
        <v>4</v>
      </c>
      <c r="E266">
        <f>VLOOKUP(tblTargetMedicos[[#This Row],[codigo_id]],[1]DIM_REPRESENTANTE_MEDICO!$C:$F,3,0)</f>
        <v>10</v>
      </c>
      <c r="F266" s="27" t="s">
        <v>5796</v>
      </c>
      <c r="G266" s="27" t="s">
        <v>5784</v>
      </c>
      <c r="H266" s="27" t="s">
        <v>95</v>
      </c>
      <c r="I266">
        <v>1</v>
      </c>
    </row>
    <row r="267" spans="1:9">
      <c r="A267" t="s">
        <v>682</v>
      </c>
      <c r="B267" s="27" t="s">
        <v>3219</v>
      </c>
      <c r="C267" s="27" t="s">
        <v>5765</v>
      </c>
      <c r="D267">
        <f>VLOOKUP(tblTargetMedicos[[#This Row],[codigo_id]],[1]DIM_REPRESENTANTE_MEDICO!$C:$F,4,0)</f>
        <v>4</v>
      </c>
      <c r="E267">
        <f>VLOOKUP(tblTargetMedicos[[#This Row],[codigo_id]],[1]DIM_REPRESENTANTE_MEDICO!$C:$F,3,0)</f>
        <v>10</v>
      </c>
      <c r="F267" s="27" t="s">
        <v>5796</v>
      </c>
      <c r="G267" s="27" t="s">
        <v>5781</v>
      </c>
      <c r="H267" s="27" t="s">
        <v>97</v>
      </c>
      <c r="I267">
        <v>1</v>
      </c>
    </row>
    <row r="268" spans="1:9">
      <c r="A268" t="s">
        <v>683</v>
      </c>
      <c r="B268" s="27" t="s">
        <v>3219</v>
      </c>
      <c r="C268" s="27" t="s">
        <v>5765</v>
      </c>
      <c r="D268">
        <f>VLOOKUP(tblTargetMedicos[[#This Row],[codigo_id]],[1]DIM_REPRESENTANTE_MEDICO!$C:$F,4,0)</f>
        <v>4</v>
      </c>
      <c r="E268">
        <f>VLOOKUP(tblTargetMedicos[[#This Row],[codigo_id]],[1]DIM_REPRESENTANTE_MEDICO!$C:$F,3,0)</f>
        <v>10</v>
      </c>
      <c r="F268" s="27" t="s">
        <v>5796</v>
      </c>
      <c r="G268" s="27" t="s">
        <v>5779</v>
      </c>
      <c r="H268" s="27" t="s">
        <v>96</v>
      </c>
      <c r="I268">
        <v>1</v>
      </c>
    </row>
    <row r="269" spans="1:9">
      <c r="A269" t="s">
        <v>684</v>
      </c>
      <c r="B269" s="27" t="s">
        <v>3219</v>
      </c>
      <c r="C269" s="27" t="s">
        <v>5765</v>
      </c>
      <c r="D269">
        <f>VLOOKUP(tblTargetMedicos[[#This Row],[codigo_id]],[1]DIM_REPRESENTANTE_MEDICO!$C:$F,4,0)</f>
        <v>4</v>
      </c>
      <c r="E269">
        <f>VLOOKUP(tblTargetMedicos[[#This Row],[codigo_id]],[1]DIM_REPRESENTANTE_MEDICO!$C:$F,3,0)</f>
        <v>10</v>
      </c>
      <c r="F269" s="27" t="s">
        <v>5796</v>
      </c>
      <c r="G269" s="27" t="s">
        <v>5783</v>
      </c>
      <c r="H269" s="27" t="s">
        <v>95</v>
      </c>
      <c r="I269">
        <v>1</v>
      </c>
    </row>
    <row r="270" spans="1:9">
      <c r="A270" t="s">
        <v>685</v>
      </c>
      <c r="B270" s="27" t="s">
        <v>3219</v>
      </c>
      <c r="C270" s="27" t="s">
        <v>5765</v>
      </c>
      <c r="D270">
        <f>VLOOKUP(tblTargetMedicos[[#This Row],[codigo_id]],[1]DIM_REPRESENTANTE_MEDICO!$C:$F,4,0)</f>
        <v>4</v>
      </c>
      <c r="E270">
        <f>VLOOKUP(tblTargetMedicos[[#This Row],[codigo_id]],[1]DIM_REPRESENTANTE_MEDICO!$C:$F,3,0)</f>
        <v>10</v>
      </c>
      <c r="F270" s="27" t="s">
        <v>5796</v>
      </c>
      <c r="G270" s="27" t="s">
        <v>5784</v>
      </c>
      <c r="H270" s="27" t="s">
        <v>96</v>
      </c>
      <c r="I270">
        <v>1</v>
      </c>
    </row>
    <row r="271" spans="1:9">
      <c r="A271" t="s">
        <v>686</v>
      </c>
      <c r="B271" s="27" t="s">
        <v>3219</v>
      </c>
      <c r="C271" s="27" t="s">
        <v>5765</v>
      </c>
      <c r="D271">
        <f>VLOOKUP(tblTargetMedicos[[#This Row],[codigo_id]],[1]DIM_REPRESENTANTE_MEDICO!$C:$F,4,0)</f>
        <v>4</v>
      </c>
      <c r="E271">
        <f>VLOOKUP(tblTargetMedicos[[#This Row],[codigo_id]],[1]DIM_REPRESENTANTE_MEDICO!$C:$F,3,0)</f>
        <v>10</v>
      </c>
      <c r="F271" s="27" t="s">
        <v>5796</v>
      </c>
      <c r="G271" s="27" t="s">
        <v>5787</v>
      </c>
      <c r="H271" s="27" t="s">
        <v>96</v>
      </c>
      <c r="I271">
        <v>1</v>
      </c>
    </row>
    <row r="272" spans="1:9">
      <c r="A272" t="s">
        <v>687</v>
      </c>
      <c r="B272" s="27" t="s">
        <v>3219</v>
      </c>
      <c r="C272" s="27" t="s">
        <v>5765</v>
      </c>
      <c r="D272">
        <f>VLOOKUP(tblTargetMedicos[[#This Row],[codigo_id]],[1]DIM_REPRESENTANTE_MEDICO!$C:$F,4,0)</f>
        <v>4</v>
      </c>
      <c r="E272">
        <f>VLOOKUP(tblTargetMedicos[[#This Row],[codigo_id]],[1]DIM_REPRESENTANTE_MEDICO!$C:$F,3,0)</f>
        <v>10</v>
      </c>
      <c r="F272" s="27" t="s">
        <v>5796</v>
      </c>
      <c r="G272" s="27" t="s">
        <v>5786</v>
      </c>
      <c r="H272" s="27" t="s">
        <v>96</v>
      </c>
      <c r="I272">
        <v>1</v>
      </c>
    </row>
    <row r="273" spans="1:9">
      <c r="A273" t="s">
        <v>688</v>
      </c>
      <c r="B273" s="27" t="s">
        <v>3219</v>
      </c>
      <c r="C273" s="27" t="s">
        <v>5765</v>
      </c>
      <c r="D273">
        <f>VLOOKUP(tblTargetMedicos[[#This Row],[codigo_id]],[1]DIM_REPRESENTANTE_MEDICO!$C:$F,4,0)</f>
        <v>4</v>
      </c>
      <c r="E273">
        <f>VLOOKUP(tblTargetMedicos[[#This Row],[codigo_id]],[1]DIM_REPRESENTANTE_MEDICO!$C:$F,3,0)</f>
        <v>10</v>
      </c>
      <c r="F273" s="27" t="s">
        <v>5796</v>
      </c>
      <c r="G273" s="27" t="s">
        <v>5789</v>
      </c>
      <c r="H273" s="27" t="s">
        <v>97</v>
      </c>
      <c r="I273">
        <v>1</v>
      </c>
    </row>
    <row r="274" spans="1:9">
      <c r="A274" t="s">
        <v>689</v>
      </c>
      <c r="B274" s="27" t="s">
        <v>3219</v>
      </c>
      <c r="C274" s="27" t="s">
        <v>5765</v>
      </c>
      <c r="D274">
        <f>VLOOKUP(tblTargetMedicos[[#This Row],[codigo_id]],[1]DIM_REPRESENTANTE_MEDICO!$C:$F,4,0)</f>
        <v>4</v>
      </c>
      <c r="E274">
        <f>VLOOKUP(tblTargetMedicos[[#This Row],[codigo_id]],[1]DIM_REPRESENTANTE_MEDICO!$C:$F,3,0)</f>
        <v>10</v>
      </c>
      <c r="F274" s="27" t="s">
        <v>5796</v>
      </c>
      <c r="G274" s="27" t="s">
        <v>5789</v>
      </c>
      <c r="H274" s="27" t="s">
        <v>97</v>
      </c>
      <c r="I274">
        <v>1</v>
      </c>
    </row>
    <row r="275" spans="1:9">
      <c r="A275" t="s">
        <v>690</v>
      </c>
      <c r="B275" s="27" t="s">
        <v>3219</v>
      </c>
      <c r="C275" s="27" t="s">
        <v>5765</v>
      </c>
      <c r="D275">
        <f>VLOOKUP(tblTargetMedicos[[#This Row],[codigo_id]],[1]DIM_REPRESENTANTE_MEDICO!$C:$F,4,0)</f>
        <v>4</v>
      </c>
      <c r="E275">
        <f>VLOOKUP(tblTargetMedicos[[#This Row],[codigo_id]],[1]DIM_REPRESENTANTE_MEDICO!$C:$F,3,0)</f>
        <v>10</v>
      </c>
      <c r="F275" s="27" t="s">
        <v>5796</v>
      </c>
      <c r="G275" s="27" t="s">
        <v>5783</v>
      </c>
      <c r="H275" s="27" t="s">
        <v>96</v>
      </c>
      <c r="I275">
        <v>1</v>
      </c>
    </row>
    <row r="276" spans="1:9">
      <c r="A276" t="s">
        <v>691</v>
      </c>
      <c r="B276" s="27" t="s">
        <v>3219</v>
      </c>
      <c r="C276" s="27" t="s">
        <v>5765</v>
      </c>
      <c r="D276">
        <f>VLOOKUP(tblTargetMedicos[[#This Row],[codigo_id]],[1]DIM_REPRESENTANTE_MEDICO!$C:$F,4,0)</f>
        <v>4</v>
      </c>
      <c r="E276">
        <f>VLOOKUP(tblTargetMedicos[[#This Row],[codigo_id]],[1]DIM_REPRESENTANTE_MEDICO!$C:$F,3,0)</f>
        <v>10</v>
      </c>
      <c r="F276" s="27" t="s">
        <v>5796</v>
      </c>
      <c r="G276" s="27" t="s">
        <v>5779</v>
      </c>
      <c r="H276" s="27" t="s">
        <v>96</v>
      </c>
      <c r="I276">
        <v>1</v>
      </c>
    </row>
    <row r="277" spans="1:9">
      <c r="A277" t="s">
        <v>692</v>
      </c>
      <c r="B277" s="27" t="s">
        <v>3219</v>
      </c>
      <c r="C277" s="27" t="s">
        <v>5765</v>
      </c>
      <c r="D277">
        <f>VLOOKUP(tblTargetMedicos[[#This Row],[codigo_id]],[1]DIM_REPRESENTANTE_MEDICO!$C:$F,4,0)</f>
        <v>4</v>
      </c>
      <c r="E277">
        <f>VLOOKUP(tblTargetMedicos[[#This Row],[codigo_id]],[1]DIM_REPRESENTANTE_MEDICO!$C:$F,3,0)</f>
        <v>10</v>
      </c>
      <c r="F277" s="27" t="s">
        <v>5796</v>
      </c>
      <c r="G277" s="27" t="s">
        <v>5782</v>
      </c>
      <c r="H277" s="27" t="s">
        <v>96</v>
      </c>
      <c r="I277">
        <v>1</v>
      </c>
    </row>
    <row r="278" spans="1:9">
      <c r="A278" t="s">
        <v>693</v>
      </c>
      <c r="B278" s="27" t="s">
        <v>3219</v>
      </c>
      <c r="C278" s="27" t="s">
        <v>5765</v>
      </c>
      <c r="D278">
        <f>VLOOKUP(tblTargetMedicos[[#This Row],[codigo_id]],[1]DIM_REPRESENTANTE_MEDICO!$C:$F,4,0)</f>
        <v>4</v>
      </c>
      <c r="E278">
        <f>VLOOKUP(tblTargetMedicos[[#This Row],[codigo_id]],[1]DIM_REPRESENTANTE_MEDICO!$C:$F,3,0)</f>
        <v>10</v>
      </c>
      <c r="F278" s="27" t="s">
        <v>5796</v>
      </c>
      <c r="G278" s="27" t="s">
        <v>5787</v>
      </c>
      <c r="H278" s="27" t="s">
        <v>96</v>
      </c>
      <c r="I278">
        <v>1</v>
      </c>
    </row>
    <row r="279" spans="1:9">
      <c r="A279" t="s">
        <v>694</v>
      </c>
      <c r="B279" s="27" t="s">
        <v>3219</v>
      </c>
      <c r="C279" s="27" t="s">
        <v>5765</v>
      </c>
      <c r="D279">
        <f>VLOOKUP(tblTargetMedicos[[#This Row],[codigo_id]],[1]DIM_REPRESENTANTE_MEDICO!$C:$F,4,0)</f>
        <v>4</v>
      </c>
      <c r="E279">
        <f>VLOOKUP(tblTargetMedicos[[#This Row],[codigo_id]],[1]DIM_REPRESENTANTE_MEDICO!$C:$F,3,0)</f>
        <v>10</v>
      </c>
      <c r="F279" s="27" t="s">
        <v>5796</v>
      </c>
      <c r="G279" s="27" t="s">
        <v>5786</v>
      </c>
      <c r="H279" s="27" t="s">
        <v>95</v>
      </c>
      <c r="I279">
        <v>1</v>
      </c>
    </row>
    <row r="280" spans="1:9">
      <c r="A280" t="s">
        <v>695</v>
      </c>
      <c r="B280" s="27" t="s">
        <v>3219</v>
      </c>
      <c r="C280" s="27" t="s">
        <v>5765</v>
      </c>
      <c r="D280">
        <f>VLOOKUP(tblTargetMedicos[[#This Row],[codigo_id]],[1]DIM_REPRESENTANTE_MEDICO!$C:$F,4,0)</f>
        <v>4</v>
      </c>
      <c r="E280">
        <f>VLOOKUP(tblTargetMedicos[[#This Row],[codigo_id]],[1]DIM_REPRESENTANTE_MEDICO!$C:$F,3,0)</f>
        <v>10</v>
      </c>
      <c r="F280" s="27" t="s">
        <v>5796</v>
      </c>
      <c r="G280" s="27" t="s">
        <v>5786</v>
      </c>
      <c r="H280" s="27" t="s">
        <v>95</v>
      </c>
      <c r="I280">
        <v>1</v>
      </c>
    </row>
    <row r="281" spans="1:9">
      <c r="A281" t="s">
        <v>696</v>
      </c>
      <c r="B281" s="27" t="s">
        <v>3219</v>
      </c>
      <c r="C281" s="27" t="s">
        <v>5765</v>
      </c>
      <c r="D281">
        <f>VLOOKUP(tblTargetMedicos[[#This Row],[codigo_id]],[1]DIM_REPRESENTANTE_MEDICO!$C:$F,4,0)</f>
        <v>4</v>
      </c>
      <c r="E281">
        <f>VLOOKUP(tblTargetMedicos[[#This Row],[codigo_id]],[1]DIM_REPRESENTANTE_MEDICO!$C:$F,3,0)</f>
        <v>10</v>
      </c>
      <c r="F281" s="27" t="s">
        <v>5796</v>
      </c>
      <c r="G281" s="27" t="s">
        <v>5784</v>
      </c>
      <c r="H281" s="27" t="s">
        <v>97</v>
      </c>
      <c r="I281">
        <v>1</v>
      </c>
    </row>
    <row r="282" spans="1:9">
      <c r="A282" t="s">
        <v>697</v>
      </c>
      <c r="B282" s="27" t="s">
        <v>3219</v>
      </c>
      <c r="C282" s="27" t="s">
        <v>5765</v>
      </c>
      <c r="D282">
        <f>VLOOKUP(tblTargetMedicos[[#This Row],[codigo_id]],[1]DIM_REPRESENTANTE_MEDICO!$C:$F,4,0)</f>
        <v>4</v>
      </c>
      <c r="E282">
        <f>VLOOKUP(tblTargetMedicos[[#This Row],[codigo_id]],[1]DIM_REPRESENTANTE_MEDICO!$C:$F,3,0)</f>
        <v>10</v>
      </c>
      <c r="F282" s="27" t="s">
        <v>5796</v>
      </c>
      <c r="G282" s="27" t="s">
        <v>5789</v>
      </c>
      <c r="H282" s="27" t="s">
        <v>97</v>
      </c>
      <c r="I282">
        <v>1</v>
      </c>
    </row>
    <row r="283" spans="1:9">
      <c r="A283" t="s">
        <v>698</v>
      </c>
      <c r="B283" s="27" t="s">
        <v>3219</v>
      </c>
      <c r="C283" s="27" t="s">
        <v>5765</v>
      </c>
      <c r="D283">
        <f>VLOOKUP(tblTargetMedicos[[#This Row],[codigo_id]],[1]DIM_REPRESENTANTE_MEDICO!$C:$F,4,0)</f>
        <v>4</v>
      </c>
      <c r="E283">
        <f>VLOOKUP(tblTargetMedicos[[#This Row],[codigo_id]],[1]DIM_REPRESENTANTE_MEDICO!$C:$F,3,0)</f>
        <v>10</v>
      </c>
      <c r="F283" s="27" t="s">
        <v>5796</v>
      </c>
      <c r="G283" s="27" t="s">
        <v>5784</v>
      </c>
      <c r="H283" s="27" t="s">
        <v>96</v>
      </c>
      <c r="I283">
        <v>1</v>
      </c>
    </row>
    <row r="284" spans="1:9">
      <c r="A284" t="s">
        <v>699</v>
      </c>
      <c r="B284" s="27" t="s">
        <v>3219</v>
      </c>
      <c r="C284" s="27" t="s">
        <v>5765</v>
      </c>
      <c r="D284">
        <f>VLOOKUP(tblTargetMedicos[[#This Row],[codigo_id]],[1]DIM_REPRESENTANTE_MEDICO!$C:$F,4,0)</f>
        <v>4</v>
      </c>
      <c r="E284">
        <f>VLOOKUP(tblTargetMedicos[[#This Row],[codigo_id]],[1]DIM_REPRESENTANTE_MEDICO!$C:$F,3,0)</f>
        <v>10</v>
      </c>
      <c r="F284" s="27" t="s">
        <v>5796</v>
      </c>
      <c r="G284" s="27" t="s">
        <v>5786</v>
      </c>
      <c r="H284" s="27" t="s">
        <v>95</v>
      </c>
      <c r="I284">
        <v>1</v>
      </c>
    </row>
    <row r="285" spans="1:9">
      <c r="A285" t="s">
        <v>700</v>
      </c>
      <c r="B285" s="27" t="s">
        <v>3219</v>
      </c>
      <c r="C285" s="27" t="s">
        <v>5765</v>
      </c>
      <c r="D285">
        <f>VLOOKUP(tblTargetMedicos[[#This Row],[codigo_id]],[1]DIM_REPRESENTANTE_MEDICO!$C:$F,4,0)</f>
        <v>4</v>
      </c>
      <c r="E285">
        <f>VLOOKUP(tblTargetMedicos[[#This Row],[codigo_id]],[1]DIM_REPRESENTANTE_MEDICO!$C:$F,3,0)</f>
        <v>10</v>
      </c>
      <c r="F285" s="27" t="s">
        <v>5796</v>
      </c>
      <c r="G285" s="27" t="s">
        <v>5779</v>
      </c>
      <c r="H285" s="27" t="s">
        <v>95</v>
      </c>
      <c r="I285">
        <v>1</v>
      </c>
    </row>
    <row r="286" spans="1:9">
      <c r="A286" t="s">
        <v>701</v>
      </c>
      <c r="B286" s="27" t="s">
        <v>3219</v>
      </c>
      <c r="C286" s="27" t="s">
        <v>5765</v>
      </c>
      <c r="D286">
        <f>VLOOKUP(tblTargetMedicos[[#This Row],[codigo_id]],[1]DIM_REPRESENTANTE_MEDICO!$C:$F,4,0)</f>
        <v>4</v>
      </c>
      <c r="E286">
        <f>VLOOKUP(tblTargetMedicos[[#This Row],[codigo_id]],[1]DIM_REPRESENTANTE_MEDICO!$C:$F,3,0)</f>
        <v>10</v>
      </c>
      <c r="F286" s="27" t="s">
        <v>5796</v>
      </c>
      <c r="G286" s="27" t="s">
        <v>5779</v>
      </c>
      <c r="H286" s="27" t="s">
        <v>96</v>
      </c>
      <c r="I286">
        <v>1</v>
      </c>
    </row>
    <row r="287" spans="1:9">
      <c r="A287" t="s">
        <v>702</v>
      </c>
      <c r="B287" s="27" t="s">
        <v>3219</v>
      </c>
      <c r="C287" s="27" t="s">
        <v>5765</v>
      </c>
      <c r="D287">
        <f>VLOOKUP(tblTargetMedicos[[#This Row],[codigo_id]],[1]DIM_REPRESENTANTE_MEDICO!$C:$F,4,0)</f>
        <v>4</v>
      </c>
      <c r="E287">
        <f>VLOOKUP(tblTargetMedicos[[#This Row],[codigo_id]],[1]DIM_REPRESENTANTE_MEDICO!$C:$F,3,0)</f>
        <v>10</v>
      </c>
      <c r="F287" s="27" t="s">
        <v>5796</v>
      </c>
      <c r="G287" s="27" t="s">
        <v>5787</v>
      </c>
      <c r="H287" s="27" t="s">
        <v>96</v>
      </c>
      <c r="I287">
        <v>1</v>
      </c>
    </row>
    <row r="288" spans="1:9">
      <c r="A288" t="s">
        <v>703</v>
      </c>
      <c r="B288" s="27" t="s">
        <v>3219</v>
      </c>
      <c r="C288" s="27" t="s">
        <v>5765</v>
      </c>
      <c r="D288">
        <f>VLOOKUP(tblTargetMedicos[[#This Row],[codigo_id]],[1]DIM_REPRESENTANTE_MEDICO!$C:$F,4,0)</f>
        <v>4</v>
      </c>
      <c r="E288">
        <f>VLOOKUP(tblTargetMedicos[[#This Row],[codigo_id]],[1]DIM_REPRESENTANTE_MEDICO!$C:$F,3,0)</f>
        <v>10</v>
      </c>
      <c r="F288" s="27" t="s">
        <v>5796</v>
      </c>
      <c r="G288" s="27" t="s">
        <v>5781</v>
      </c>
      <c r="H288" s="27" t="s">
        <v>96</v>
      </c>
      <c r="I288">
        <v>1</v>
      </c>
    </row>
    <row r="289" spans="1:9">
      <c r="A289" t="s">
        <v>704</v>
      </c>
      <c r="B289" s="27" t="s">
        <v>3219</v>
      </c>
      <c r="C289" s="27" t="s">
        <v>5765</v>
      </c>
      <c r="D289">
        <f>VLOOKUP(tblTargetMedicos[[#This Row],[codigo_id]],[1]DIM_REPRESENTANTE_MEDICO!$C:$F,4,0)</f>
        <v>4</v>
      </c>
      <c r="E289">
        <f>VLOOKUP(tblTargetMedicos[[#This Row],[codigo_id]],[1]DIM_REPRESENTANTE_MEDICO!$C:$F,3,0)</f>
        <v>10</v>
      </c>
      <c r="F289" s="27" t="s">
        <v>5796</v>
      </c>
      <c r="G289" s="27" t="s">
        <v>5784</v>
      </c>
      <c r="H289" s="27" t="s">
        <v>96</v>
      </c>
      <c r="I289">
        <v>1</v>
      </c>
    </row>
    <row r="290" spans="1:9">
      <c r="A290" t="s">
        <v>705</v>
      </c>
      <c r="B290" s="27" t="s">
        <v>3219</v>
      </c>
      <c r="C290" s="27" t="s">
        <v>5765</v>
      </c>
      <c r="D290">
        <f>VLOOKUP(tblTargetMedicos[[#This Row],[codigo_id]],[1]DIM_REPRESENTANTE_MEDICO!$C:$F,4,0)</f>
        <v>4</v>
      </c>
      <c r="E290">
        <f>VLOOKUP(tblTargetMedicos[[#This Row],[codigo_id]],[1]DIM_REPRESENTANTE_MEDICO!$C:$F,3,0)</f>
        <v>10</v>
      </c>
      <c r="F290" s="27" t="s">
        <v>5796</v>
      </c>
      <c r="G290" s="27" t="s">
        <v>5784</v>
      </c>
      <c r="H290" s="27" t="s">
        <v>96</v>
      </c>
      <c r="I290">
        <v>1</v>
      </c>
    </row>
    <row r="291" spans="1:9">
      <c r="A291" t="s">
        <v>706</v>
      </c>
      <c r="B291" s="27" t="s">
        <v>3219</v>
      </c>
      <c r="C291" s="27" t="s">
        <v>5765</v>
      </c>
      <c r="D291">
        <f>VLOOKUP(tblTargetMedicos[[#This Row],[codigo_id]],[1]DIM_REPRESENTANTE_MEDICO!$C:$F,4,0)</f>
        <v>4</v>
      </c>
      <c r="E291">
        <f>VLOOKUP(tblTargetMedicos[[#This Row],[codigo_id]],[1]DIM_REPRESENTANTE_MEDICO!$C:$F,3,0)</f>
        <v>10</v>
      </c>
      <c r="F291" s="27" t="s">
        <v>5796</v>
      </c>
      <c r="G291" s="27" t="s">
        <v>5784</v>
      </c>
      <c r="H291" s="27" t="s">
        <v>96</v>
      </c>
      <c r="I291">
        <v>1</v>
      </c>
    </row>
    <row r="292" spans="1:9">
      <c r="A292" t="s">
        <v>707</v>
      </c>
      <c r="B292" s="27" t="s">
        <v>3219</v>
      </c>
      <c r="C292" s="27" t="s">
        <v>5765</v>
      </c>
      <c r="D292">
        <f>VLOOKUP(tblTargetMedicos[[#This Row],[codigo_id]],[1]DIM_REPRESENTANTE_MEDICO!$C:$F,4,0)</f>
        <v>4</v>
      </c>
      <c r="E292">
        <f>VLOOKUP(tblTargetMedicos[[#This Row],[codigo_id]],[1]DIM_REPRESENTANTE_MEDICO!$C:$F,3,0)</f>
        <v>10</v>
      </c>
      <c r="F292" s="27" t="s">
        <v>5796</v>
      </c>
      <c r="G292" s="27" t="s">
        <v>5787</v>
      </c>
      <c r="H292" s="27" t="s">
        <v>96</v>
      </c>
      <c r="I292">
        <v>1</v>
      </c>
    </row>
    <row r="293" spans="1:9">
      <c r="A293" t="s">
        <v>708</v>
      </c>
      <c r="B293" s="27" t="s">
        <v>3219</v>
      </c>
      <c r="C293" s="27" t="s">
        <v>5765</v>
      </c>
      <c r="D293">
        <f>VLOOKUP(tblTargetMedicos[[#This Row],[codigo_id]],[1]DIM_REPRESENTANTE_MEDICO!$C:$F,4,0)</f>
        <v>4</v>
      </c>
      <c r="E293">
        <f>VLOOKUP(tblTargetMedicos[[#This Row],[codigo_id]],[1]DIM_REPRESENTANTE_MEDICO!$C:$F,3,0)</f>
        <v>10</v>
      </c>
      <c r="F293" s="27" t="s">
        <v>5796</v>
      </c>
      <c r="G293" s="27" t="s">
        <v>5783</v>
      </c>
      <c r="H293" s="27" t="s">
        <v>95</v>
      </c>
      <c r="I293">
        <v>1</v>
      </c>
    </row>
    <row r="294" spans="1:9">
      <c r="A294" t="s">
        <v>709</v>
      </c>
      <c r="B294" s="27" t="s">
        <v>3219</v>
      </c>
      <c r="C294" s="27" t="s">
        <v>5765</v>
      </c>
      <c r="D294">
        <f>VLOOKUP(tblTargetMedicos[[#This Row],[codigo_id]],[1]DIM_REPRESENTANTE_MEDICO!$C:$F,4,0)</f>
        <v>4</v>
      </c>
      <c r="E294">
        <f>VLOOKUP(tblTargetMedicos[[#This Row],[codigo_id]],[1]DIM_REPRESENTANTE_MEDICO!$C:$F,3,0)</f>
        <v>10</v>
      </c>
      <c r="F294" s="27" t="s">
        <v>5796</v>
      </c>
      <c r="G294" s="27" t="s">
        <v>5783</v>
      </c>
      <c r="H294" s="27" t="s">
        <v>95</v>
      </c>
      <c r="I294">
        <v>1</v>
      </c>
    </row>
    <row r="295" spans="1:9">
      <c r="A295" t="s">
        <v>710</v>
      </c>
      <c r="B295" s="27" t="s">
        <v>3219</v>
      </c>
      <c r="C295" s="27" t="s">
        <v>5765</v>
      </c>
      <c r="D295">
        <f>VLOOKUP(tblTargetMedicos[[#This Row],[codigo_id]],[1]DIM_REPRESENTANTE_MEDICO!$C:$F,4,0)</f>
        <v>4</v>
      </c>
      <c r="E295">
        <f>VLOOKUP(tblTargetMedicos[[#This Row],[codigo_id]],[1]DIM_REPRESENTANTE_MEDICO!$C:$F,3,0)</f>
        <v>10</v>
      </c>
      <c r="F295" s="27" t="s">
        <v>5796</v>
      </c>
      <c r="G295" s="27" t="s">
        <v>5781</v>
      </c>
      <c r="H295" s="27" t="s">
        <v>97</v>
      </c>
      <c r="I295">
        <v>1</v>
      </c>
    </row>
    <row r="296" spans="1:9">
      <c r="A296" t="s">
        <v>711</v>
      </c>
      <c r="B296" s="27" t="s">
        <v>3219</v>
      </c>
      <c r="C296" s="27" t="s">
        <v>5765</v>
      </c>
      <c r="D296">
        <f>VLOOKUP(tblTargetMedicos[[#This Row],[codigo_id]],[1]DIM_REPRESENTANTE_MEDICO!$C:$F,4,0)</f>
        <v>4</v>
      </c>
      <c r="E296">
        <f>VLOOKUP(tblTargetMedicos[[#This Row],[codigo_id]],[1]DIM_REPRESENTANTE_MEDICO!$C:$F,3,0)</f>
        <v>10</v>
      </c>
      <c r="F296" s="27" t="s">
        <v>5796</v>
      </c>
      <c r="G296" s="27" t="s">
        <v>5783</v>
      </c>
      <c r="H296" s="27" t="s">
        <v>96</v>
      </c>
      <c r="I296">
        <v>1</v>
      </c>
    </row>
    <row r="297" spans="1:9">
      <c r="A297" t="s">
        <v>712</v>
      </c>
      <c r="B297" s="27" t="s">
        <v>3219</v>
      </c>
      <c r="C297" s="27" t="s">
        <v>5765</v>
      </c>
      <c r="D297">
        <f>VLOOKUP(tblTargetMedicos[[#This Row],[codigo_id]],[1]DIM_REPRESENTANTE_MEDICO!$C:$F,4,0)</f>
        <v>4</v>
      </c>
      <c r="E297">
        <f>VLOOKUP(tblTargetMedicos[[#This Row],[codigo_id]],[1]DIM_REPRESENTANTE_MEDICO!$C:$F,3,0)</f>
        <v>10</v>
      </c>
      <c r="F297" s="27" t="s">
        <v>5796</v>
      </c>
      <c r="G297" s="27" t="s">
        <v>5784</v>
      </c>
      <c r="H297" s="27" t="s">
        <v>95</v>
      </c>
      <c r="I297">
        <v>1</v>
      </c>
    </row>
    <row r="298" spans="1:9">
      <c r="A298" t="s">
        <v>713</v>
      </c>
      <c r="B298" s="27" t="s">
        <v>3219</v>
      </c>
      <c r="C298" s="27" t="s">
        <v>5765</v>
      </c>
      <c r="D298">
        <f>VLOOKUP(tblTargetMedicos[[#This Row],[codigo_id]],[1]DIM_REPRESENTANTE_MEDICO!$C:$F,4,0)</f>
        <v>4</v>
      </c>
      <c r="E298">
        <f>VLOOKUP(tblTargetMedicos[[#This Row],[codigo_id]],[1]DIM_REPRESENTANTE_MEDICO!$C:$F,3,0)</f>
        <v>10</v>
      </c>
      <c r="F298" s="27" t="s">
        <v>5796</v>
      </c>
      <c r="G298" s="27" t="s">
        <v>5784</v>
      </c>
      <c r="H298" s="27" t="s">
        <v>96</v>
      </c>
      <c r="I298">
        <v>1</v>
      </c>
    </row>
    <row r="299" spans="1:9">
      <c r="A299" t="s">
        <v>714</v>
      </c>
      <c r="B299" s="27" t="s">
        <v>3219</v>
      </c>
      <c r="C299" s="27" t="s">
        <v>5765</v>
      </c>
      <c r="D299">
        <f>VLOOKUP(tblTargetMedicos[[#This Row],[codigo_id]],[1]DIM_REPRESENTANTE_MEDICO!$C:$F,4,0)</f>
        <v>4</v>
      </c>
      <c r="E299">
        <f>VLOOKUP(tblTargetMedicos[[#This Row],[codigo_id]],[1]DIM_REPRESENTANTE_MEDICO!$C:$F,3,0)</f>
        <v>10</v>
      </c>
      <c r="F299" s="27" t="s">
        <v>5796</v>
      </c>
      <c r="G299" s="27" t="s">
        <v>5784</v>
      </c>
      <c r="H299" s="27" t="s">
        <v>96</v>
      </c>
      <c r="I299">
        <v>1</v>
      </c>
    </row>
    <row r="300" spans="1:9">
      <c r="A300" t="s">
        <v>715</v>
      </c>
      <c r="B300" s="27" t="s">
        <v>3219</v>
      </c>
      <c r="C300" s="27" t="s">
        <v>5765</v>
      </c>
      <c r="D300">
        <f>VLOOKUP(tblTargetMedicos[[#This Row],[codigo_id]],[1]DIM_REPRESENTANTE_MEDICO!$C:$F,4,0)</f>
        <v>4</v>
      </c>
      <c r="E300">
        <f>VLOOKUP(tblTargetMedicos[[#This Row],[codigo_id]],[1]DIM_REPRESENTANTE_MEDICO!$C:$F,3,0)</f>
        <v>10</v>
      </c>
      <c r="F300" s="27" t="s">
        <v>5796</v>
      </c>
      <c r="G300" s="27" t="s">
        <v>5790</v>
      </c>
      <c r="H300" s="27" t="s">
        <v>96</v>
      </c>
      <c r="I300">
        <v>1</v>
      </c>
    </row>
    <row r="301" spans="1:9">
      <c r="A301" t="s">
        <v>716</v>
      </c>
      <c r="B301" s="27" t="s">
        <v>3219</v>
      </c>
      <c r="C301" s="27" t="s">
        <v>5765</v>
      </c>
      <c r="D301">
        <f>VLOOKUP(tblTargetMedicos[[#This Row],[codigo_id]],[1]DIM_REPRESENTANTE_MEDICO!$C:$F,4,0)</f>
        <v>4</v>
      </c>
      <c r="E301">
        <f>VLOOKUP(tblTargetMedicos[[#This Row],[codigo_id]],[1]DIM_REPRESENTANTE_MEDICO!$C:$F,3,0)</f>
        <v>10</v>
      </c>
      <c r="F301" s="27" t="s">
        <v>5796</v>
      </c>
      <c r="G301" s="27" t="s">
        <v>5785</v>
      </c>
      <c r="H301" s="27" t="s">
        <v>96</v>
      </c>
      <c r="I301">
        <v>1</v>
      </c>
    </row>
    <row r="302" spans="1:9">
      <c r="A302" t="s">
        <v>717</v>
      </c>
      <c r="B302" s="27" t="s">
        <v>3219</v>
      </c>
      <c r="C302" s="27" t="s">
        <v>5765</v>
      </c>
      <c r="D302">
        <f>VLOOKUP(tblTargetMedicos[[#This Row],[codigo_id]],[1]DIM_REPRESENTANTE_MEDICO!$C:$F,4,0)</f>
        <v>4</v>
      </c>
      <c r="E302">
        <f>VLOOKUP(tblTargetMedicos[[#This Row],[codigo_id]],[1]DIM_REPRESENTANTE_MEDICO!$C:$F,3,0)</f>
        <v>10</v>
      </c>
      <c r="F302" s="27" t="s">
        <v>5796</v>
      </c>
      <c r="G302" s="27" t="s">
        <v>5786</v>
      </c>
      <c r="H302" s="27" t="s">
        <v>97</v>
      </c>
      <c r="I302">
        <v>1</v>
      </c>
    </row>
    <row r="303" spans="1:9">
      <c r="A303" t="s">
        <v>718</v>
      </c>
      <c r="B303" s="27" t="s">
        <v>3219</v>
      </c>
      <c r="C303" s="27" t="s">
        <v>5765</v>
      </c>
      <c r="D303">
        <f>VLOOKUP(tblTargetMedicos[[#This Row],[codigo_id]],[1]DIM_REPRESENTANTE_MEDICO!$C:$F,4,0)</f>
        <v>4</v>
      </c>
      <c r="E303">
        <f>VLOOKUP(tblTargetMedicos[[#This Row],[codigo_id]],[1]DIM_REPRESENTANTE_MEDICO!$C:$F,3,0)</f>
        <v>10</v>
      </c>
      <c r="F303" s="27" t="s">
        <v>5796</v>
      </c>
      <c r="G303" s="27" t="s">
        <v>5784</v>
      </c>
      <c r="H303" s="27" t="s">
        <v>96</v>
      </c>
      <c r="I303">
        <v>1</v>
      </c>
    </row>
    <row r="304" spans="1:9">
      <c r="A304" t="s">
        <v>719</v>
      </c>
      <c r="B304" s="27" t="s">
        <v>3219</v>
      </c>
      <c r="C304" s="27" t="s">
        <v>5765</v>
      </c>
      <c r="D304">
        <f>VLOOKUP(tblTargetMedicos[[#This Row],[codigo_id]],[1]DIM_REPRESENTANTE_MEDICO!$C:$F,4,0)</f>
        <v>4</v>
      </c>
      <c r="E304">
        <f>VLOOKUP(tblTargetMedicos[[#This Row],[codigo_id]],[1]DIM_REPRESENTANTE_MEDICO!$C:$F,3,0)</f>
        <v>10</v>
      </c>
      <c r="F304" s="27" t="s">
        <v>5796</v>
      </c>
      <c r="G304" s="27" t="s">
        <v>5785</v>
      </c>
      <c r="H304" s="27" t="s">
        <v>96</v>
      </c>
      <c r="I304">
        <v>1</v>
      </c>
    </row>
    <row r="305" spans="1:9">
      <c r="A305" t="s">
        <v>720</v>
      </c>
      <c r="B305" s="27" t="s">
        <v>3219</v>
      </c>
      <c r="C305" s="27" t="s">
        <v>5765</v>
      </c>
      <c r="D305">
        <f>VLOOKUP(tblTargetMedicos[[#This Row],[codigo_id]],[1]DIM_REPRESENTANTE_MEDICO!$C:$F,4,0)</f>
        <v>4</v>
      </c>
      <c r="E305">
        <f>VLOOKUP(tblTargetMedicos[[#This Row],[codigo_id]],[1]DIM_REPRESENTANTE_MEDICO!$C:$F,3,0)</f>
        <v>10</v>
      </c>
      <c r="F305" s="27" t="s">
        <v>5796</v>
      </c>
      <c r="G305" s="27" t="s">
        <v>5785</v>
      </c>
      <c r="H305" s="27" t="s">
        <v>96</v>
      </c>
      <c r="I305">
        <v>1</v>
      </c>
    </row>
    <row r="306" spans="1:9">
      <c r="A306" t="s">
        <v>721</v>
      </c>
      <c r="B306" s="27" t="s">
        <v>3219</v>
      </c>
      <c r="C306" s="27" t="s">
        <v>5765</v>
      </c>
      <c r="D306">
        <f>VLOOKUP(tblTargetMedicos[[#This Row],[codigo_id]],[1]DIM_REPRESENTANTE_MEDICO!$C:$F,4,0)</f>
        <v>4</v>
      </c>
      <c r="E306">
        <f>VLOOKUP(tblTargetMedicos[[#This Row],[codigo_id]],[1]DIM_REPRESENTANTE_MEDICO!$C:$F,3,0)</f>
        <v>10</v>
      </c>
      <c r="F306" s="27" t="s">
        <v>5796</v>
      </c>
      <c r="G306" s="27" t="s">
        <v>5784</v>
      </c>
      <c r="H306" s="27" t="s">
        <v>96</v>
      </c>
      <c r="I306">
        <v>1</v>
      </c>
    </row>
    <row r="307" spans="1:9">
      <c r="A307" t="s">
        <v>722</v>
      </c>
      <c r="B307" s="27" t="s">
        <v>3219</v>
      </c>
      <c r="C307" s="27" t="s">
        <v>5765</v>
      </c>
      <c r="D307">
        <f>VLOOKUP(tblTargetMedicos[[#This Row],[codigo_id]],[1]DIM_REPRESENTANTE_MEDICO!$C:$F,4,0)</f>
        <v>4</v>
      </c>
      <c r="E307">
        <f>VLOOKUP(tblTargetMedicos[[#This Row],[codigo_id]],[1]DIM_REPRESENTANTE_MEDICO!$C:$F,3,0)</f>
        <v>10</v>
      </c>
      <c r="F307" s="27" t="s">
        <v>5796</v>
      </c>
      <c r="G307" s="27" t="s">
        <v>5782</v>
      </c>
      <c r="H307" s="27" t="s">
        <v>96</v>
      </c>
      <c r="I307">
        <v>1</v>
      </c>
    </row>
    <row r="308" spans="1:9">
      <c r="A308" t="s">
        <v>723</v>
      </c>
      <c r="B308" s="27" t="s">
        <v>3219</v>
      </c>
      <c r="C308" s="27" t="s">
        <v>5765</v>
      </c>
      <c r="D308">
        <f>VLOOKUP(tblTargetMedicos[[#This Row],[codigo_id]],[1]DIM_REPRESENTANTE_MEDICO!$C:$F,4,0)</f>
        <v>4</v>
      </c>
      <c r="E308">
        <f>VLOOKUP(tblTargetMedicos[[#This Row],[codigo_id]],[1]DIM_REPRESENTANTE_MEDICO!$C:$F,3,0)</f>
        <v>10</v>
      </c>
      <c r="F308" s="27" t="s">
        <v>5796</v>
      </c>
      <c r="G308" s="27" t="s">
        <v>5785</v>
      </c>
      <c r="H308" s="27" t="s">
        <v>96</v>
      </c>
      <c r="I308">
        <v>1</v>
      </c>
    </row>
    <row r="309" spans="1:9">
      <c r="A309" t="s">
        <v>724</v>
      </c>
      <c r="B309" s="27" t="s">
        <v>3219</v>
      </c>
      <c r="C309" s="27" t="s">
        <v>5765</v>
      </c>
      <c r="D309">
        <f>VLOOKUP(tblTargetMedicos[[#This Row],[codigo_id]],[1]DIM_REPRESENTANTE_MEDICO!$C:$F,4,0)</f>
        <v>4</v>
      </c>
      <c r="E309">
        <f>VLOOKUP(tblTargetMedicos[[#This Row],[codigo_id]],[1]DIM_REPRESENTANTE_MEDICO!$C:$F,3,0)</f>
        <v>10</v>
      </c>
      <c r="F309" s="27" t="s">
        <v>5796</v>
      </c>
      <c r="G309" s="27" t="s">
        <v>5783</v>
      </c>
      <c r="H309" s="27" t="s">
        <v>96</v>
      </c>
      <c r="I309">
        <v>1</v>
      </c>
    </row>
    <row r="310" spans="1:9">
      <c r="A310" t="s">
        <v>725</v>
      </c>
      <c r="B310" s="27" t="s">
        <v>3219</v>
      </c>
      <c r="C310" s="27" t="s">
        <v>5765</v>
      </c>
      <c r="D310">
        <f>VLOOKUP(tblTargetMedicos[[#This Row],[codigo_id]],[1]DIM_REPRESENTANTE_MEDICO!$C:$F,4,0)</f>
        <v>4</v>
      </c>
      <c r="E310">
        <f>VLOOKUP(tblTargetMedicos[[#This Row],[codigo_id]],[1]DIM_REPRESENTANTE_MEDICO!$C:$F,3,0)</f>
        <v>10</v>
      </c>
      <c r="F310" s="27" t="s">
        <v>5796</v>
      </c>
      <c r="G310" s="27" t="s">
        <v>5786</v>
      </c>
      <c r="H310" s="27" t="s">
        <v>97</v>
      </c>
      <c r="I310">
        <v>1</v>
      </c>
    </row>
    <row r="311" spans="1:9">
      <c r="A311" t="s">
        <v>726</v>
      </c>
      <c r="B311" s="27" t="s">
        <v>3219</v>
      </c>
      <c r="C311" s="27" t="s">
        <v>5765</v>
      </c>
      <c r="D311">
        <f>VLOOKUP(tblTargetMedicos[[#This Row],[codigo_id]],[1]DIM_REPRESENTANTE_MEDICO!$C:$F,4,0)</f>
        <v>4</v>
      </c>
      <c r="E311">
        <f>VLOOKUP(tblTargetMedicos[[#This Row],[codigo_id]],[1]DIM_REPRESENTANTE_MEDICO!$C:$F,3,0)</f>
        <v>10</v>
      </c>
      <c r="F311" s="27" t="s">
        <v>5796</v>
      </c>
      <c r="G311" s="27" t="s">
        <v>5783</v>
      </c>
      <c r="H311" s="27" t="s">
        <v>95</v>
      </c>
      <c r="I311">
        <v>1</v>
      </c>
    </row>
    <row r="312" spans="1:9">
      <c r="A312" t="s">
        <v>727</v>
      </c>
      <c r="B312" s="27" t="s">
        <v>3219</v>
      </c>
      <c r="C312" s="27" t="s">
        <v>5765</v>
      </c>
      <c r="D312">
        <f>VLOOKUP(tblTargetMedicos[[#This Row],[codigo_id]],[1]DIM_REPRESENTANTE_MEDICO!$C:$F,4,0)</f>
        <v>4</v>
      </c>
      <c r="E312">
        <f>VLOOKUP(tblTargetMedicos[[#This Row],[codigo_id]],[1]DIM_REPRESENTANTE_MEDICO!$C:$F,3,0)</f>
        <v>10</v>
      </c>
      <c r="F312" s="27" t="s">
        <v>5796</v>
      </c>
      <c r="G312" s="27" t="s">
        <v>5783</v>
      </c>
      <c r="H312" s="27" t="s">
        <v>96</v>
      </c>
      <c r="I312">
        <v>1</v>
      </c>
    </row>
    <row r="313" spans="1:9">
      <c r="A313" t="s">
        <v>728</v>
      </c>
      <c r="B313" s="27" t="s">
        <v>3219</v>
      </c>
      <c r="C313" s="27" t="s">
        <v>5765</v>
      </c>
      <c r="D313">
        <f>VLOOKUP(tblTargetMedicos[[#This Row],[codigo_id]],[1]DIM_REPRESENTANTE_MEDICO!$C:$F,4,0)</f>
        <v>4</v>
      </c>
      <c r="E313">
        <f>VLOOKUP(tblTargetMedicos[[#This Row],[codigo_id]],[1]DIM_REPRESENTANTE_MEDICO!$C:$F,3,0)</f>
        <v>10</v>
      </c>
      <c r="F313" s="27" t="s">
        <v>5796</v>
      </c>
      <c r="G313" s="27" t="s">
        <v>5789</v>
      </c>
      <c r="H313" s="27" t="s">
        <v>97</v>
      </c>
      <c r="I313">
        <v>1</v>
      </c>
    </row>
    <row r="314" spans="1:9">
      <c r="A314" t="s">
        <v>729</v>
      </c>
      <c r="B314" s="27" t="s">
        <v>3219</v>
      </c>
      <c r="C314" s="27" t="s">
        <v>5765</v>
      </c>
      <c r="D314">
        <f>VLOOKUP(tblTargetMedicos[[#This Row],[codigo_id]],[1]DIM_REPRESENTANTE_MEDICO!$C:$F,4,0)</f>
        <v>4</v>
      </c>
      <c r="E314">
        <f>VLOOKUP(tblTargetMedicos[[#This Row],[codigo_id]],[1]DIM_REPRESENTANTE_MEDICO!$C:$F,3,0)</f>
        <v>10</v>
      </c>
      <c r="F314" s="27" t="s">
        <v>5796</v>
      </c>
      <c r="G314" s="27" t="s">
        <v>5779</v>
      </c>
      <c r="H314" s="27" t="s">
        <v>95</v>
      </c>
      <c r="I314">
        <v>1</v>
      </c>
    </row>
    <row r="315" spans="1:9">
      <c r="A315" t="s">
        <v>730</v>
      </c>
      <c r="B315" s="27" t="s">
        <v>3219</v>
      </c>
      <c r="C315" s="27" t="s">
        <v>5765</v>
      </c>
      <c r="D315">
        <f>VLOOKUP(tblTargetMedicos[[#This Row],[codigo_id]],[1]DIM_REPRESENTANTE_MEDICO!$C:$F,4,0)</f>
        <v>4</v>
      </c>
      <c r="E315">
        <f>VLOOKUP(tblTargetMedicos[[#This Row],[codigo_id]],[1]DIM_REPRESENTANTE_MEDICO!$C:$F,3,0)</f>
        <v>10</v>
      </c>
      <c r="F315" s="27" t="s">
        <v>5796</v>
      </c>
      <c r="G315" s="27" t="s">
        <v>5785</v>
      </c>
      <c r="H315" s="27" t="s">
        <v>96</v>
      </c>
      <c r="I315">
        <v>1</v>
      </c>
    </row>
    <row r="316" spans="1:9">
      <c r="A316" t="s">
        <v>731</v>
      </c>
      <c r="B316" s="27" t="s">
        <v>3219</v>
      </c>
      <c r="C316" s="27" t="s">
        <v>5765</v>
      </c>
      <c r="D316">
        <f>VLOOKUP(tblTargetMedicos[[#This Row],[codigo_id]],[1]DIM_REPRESENTANTE_MEDICO!$C:$F,4,0)</f>
        <v>4</v>
      </c>
      <c r="E316">
        <f>VLOOKUP(tblTargetMedicos[[#This Row],[codigo_id]],[1]DIM_REPRESENTANTE_MEDICO!$C:$F,3,0)</f>
        <v>10</v>
      </c>
      <c r="F316" s="27" t="s">
        <v>5796</v>
      </c>
      <c r="G316" s="27" t="s">
        <v>5782</v>
      </c>
      <c r="H316" s="27" t="s">
        <v>96</v>
      </c>
      <c r="I316">
        <v>1</v>
      </c>
    </row>
    <row r="317" spans="1:9">
      <c r="A317" t="s">
        <v>732</v>
      </c>
      <c r="B317" s="27" t="s">
        <v>3219</v>
      </c>
      <c r="C317" s="27" t="s">
        <v>5765</v>
      </c>
      <c r="D317">
        <f>VLOOKUP(tblTargetMedicos[[#This Row],[codigo_id]],[1]DIM_REPRESENTANTE_MEDICO!$C:$F,4,0)</f>
        <v>4</v>
      </c>
      <c r="E317">
        <f>VLOOKUP(tblTargetMedicos[[#This Row],[codigo_id]],[1]DIM_REPRESENTANTE_MEDICO!$C:$F,3,0)</f>
        <v>10</v>
      </c>
      <c r="F317" s="27" t="s">
        <v>5796</v>
      </c>
      <c r="G317" s="27" t="s">
        <v>5779</v>
      </c>
      <c r="H317" s="27" t="s">
        <v>96</v>
      </c>
      <c r="I317">
        <v>1</v>
      </c>
    </row>
    <row r="318" spans="1:9">
      <c r="A318" t="s">
        <v>733</v>
      </c>
      <c r="B318" s="27" t="s">
        <v>3219</v>
      </c>
      <c r="C318" s="27" t="s">
        <v>5765</v>
      </c>
      <c r="D318">
        <f>VLOOKUP(tblTargetMedicos[[#This Row],[codigo_id]],[1]DIM_REPRESENTANTE_MEDICO!$C:$F,4,0)</f>
        <v>4</v>
      </c>
      <c r="E318">
        <f>VLOOKUP(tblTargetMedicos[[#This Row],[codigo_id]],[1]DIM_REPRESENTANTE_MEDICO!$C:$F,3,0)</f>
        <v>10</v>
      </c>
      <c r="F318" s="27" t="s">
        <v>5796</v>
      </c>
      <c r="G318" s="27" t="s">
        <v>5784</v>
      </c>
      <c r="H318" s="27" t="s">
        <v>96</v>
      </c>
      <c r="I318">
        <v>1</v>
      </c>
    </row>
    <row r="319" spans="1:9">
      <c r="A319" t="s">
        <v>734</v>
      </c>
      <c r="B319" s="27" t="s">
        <v>3219</v>
      </c>
      <c r="C319" s="27" t="s">
        <v>5765</v>
      </c>
      <c r="D319">
        <f>VLOOKUP(tblTargetMedicos[[#This Row],[codigo_id]],[1]DIM_REPRESENTANTE_MEDICO!$C:$F,4,0)</f>
        <v>4</v>
      </c>
      <c r="E319">
        <f>VLOOKUP(tblTargetMedicos[[#This Row],[codigo_id]],[1]DIM_REPRESENTANTE_MEDICO!$C:$F,3,0)</f>
        <v>10</v>
      </c>
      <c r="F319" s="27" t="s">
        <v>5796</v>
      </c>
      <c r="G319" s="27" t="s">
        <v>5789</v>
      </c>
      <c r="H319" s="27" t="s">
        <v>97</v>
      </c>
      <c r="I319">
        <v>1</v>
      </c>
    </row>
    <row r="320" spans="1:9">
      <c r="A320" t="s">
        <v>735</v>
      </c>
      <c r="B320" s="27" t="s">
        <v>3219</v>
      </c>
      <c r="C320" s="27" t="s">
        <v>5765</v>
      </c>
      <c r="D320">
        <f>VLOOKUP(tblTargetMedicos[[#This Row],[codigo_id]],[1]DIM_REPRESENTANTE_MEDICO!$C:$F,4,0)</f>
        <v>4</v>
      </c>
      <c r="E320">
        <f>VLOOKUP(tblTargetMedicos[[#This Row],[codigo_id]],[1]DIM_REPRESENTANTE_MEDICO!$C:$F,3,0)</f>
        <v>10</v>
      </c>
      <c r="F320" s="27" t="s">
        <v>5796</v>
      </c>
      <c r="G320" s="27" t="s">
        <v>5784</v>
      </c>
      <c r="H320" s="27" t="s">
        <v>96</v>
      </c>
      <c r="I320">
        <v>1</v>
      </c>
    </row>
    <row r="321" spans="1:9">
      <c r="A321" t="s">
        <v>736</v>
      </c>
      <c r="B321" s="27" t="s">
        <v>3219</v>
      </c>
      <c r="C321" s="27" t="s">
        <v>5765</v>
      </c>
      <c r="D321">
        <f>VLOOKUP(tblTargetMedicos[[#This Row],[codigo_id]],[1]DIM_REPRESENTANTE_MEDICO!$C:$F,4,0)</f>
        <v>4</v>
      </c>
      <c r="E321">
        <f>VLOOKUP(tblTargetMedicos[[#This Row],[codigo_id]],[1]DIM_REPRESENTANTE_MEDICO!$C:$F,3,0)</f>
        <v>10</v>
      </c>
      <c r="F321" s="27" t="s">
        <v>5796</v>
      </c>
      <c r="G321" s="27" t="s">
        <v>5783</v>
      </c>
      <c r="H321" s="27" t="s">
        <v>96</v>
      </c>
      <c r="I321">
        <v>1</v>
      </c>
    </row>
    <row r="322" spans="1:9">
      <c r="A322" t="s">
        <v>737</v>
      </c>
      <c r="B322" s="27" t="s">
        <v>3219</v>
      </c>
      <c r="C322" s="27" t="s">
        <v>5765</v>
      </c>
      <c r="D322">
        <f>VLOOKUP(tblTargetMedicos[[#This Row],[codigo_id]],[1]DIM_REPRESENTANTE_MEDICO!$C:$F,4,0)</f>
        <v>4</v>
      </c>
      <c r="E322">
        <f>VLOOKUP(tblTargetMedicos[[#This Row],[codigo_id]],[1]DIM_REPRESENTANTE_MEDICO!$C:$F,3,0)</f>
        <v>10</v>
      </c>
      <c r="F322" s="27" t="s">
        <v>5796</v>
      </c>
      <c r="G322" s="27" t="s">
        <v>5781</v>
      </c>
      <c r="H322" s="27" t="s">
        <v>96</v>
      </c>
      <c r="I322">
        <v>1</v>
      </c>
    </row>
    <row r="323" spans="1:9">
      <c r="A323" t="s">
        <v>738</v>
      </c>
      <c r="B323" s="27" t="s">
        <v>3219</v>
      </c>
      <c r="C323" s="27" t="s">
        <v>5765</v>
      </c>
      <c r="D323">
        <f>VLOOKUP(tblTargetMedicos[[#This Row],[codigo_id]],[1]DIM_REPRESENTANTE_MEDICO!$C:$F,4,0)</f>
        <v>4</v>
      </c>
      <c r="E323">
        <f>VLOOKUP(tblTargetMedicos[[#This Row],[codigo_id]],[1]DIM_REPRESENTANTE_MEDICO!$C:$F,3,0)</f>
        <v>10</v>
      </c>
      <c r="F323" s="27" t="s">
        <v>5796</v>
      </c>
      <c r="G323" s="27" t="s">
        <v>5784</v>
      </c>
      <c r="H323" s="27" t="s">
        <v>95</v>
      </c>
      <c r="I323">
        <v>1</v>
      </c>
    </row>
    <row r="324" spans="1:9">
      <c r="A324" t="s">
        <v>739</v>
      </c>
      <c r="B324" s="27" t="s">
        <v>3219</v>
      </c>
      <c r="C324" s="27" t="s">
        <v>5765</v>
      </c>
      <c r="D324">
        <f>VLOOKUP(tblTargetMedicos[[#This Row],[codigo_id]],[1]DIM_REPRESENTANTE_MEDICO!$C:$F,4,0)</f>
        <v>4</v>
      </c>
      <c r="E324">
        <f>VLOOKUP(tblTargetMedicos[[#This Row],[codigo_id]],[1]DIM_REPRESENTANTE_MEDICO!$C:$F,3,0)</f>
        <v>10</v>
      </c>
      <c r="F324" s="27" t="s">
        <v>5796</v>
      </c>
      <c r="G324" s="27" t="s">
        <v>5779</v>
      </c>
      <c r="H324" s="27" t="s">
        <v>96</v>
      </c>
      <c r="I324">
        <v>1</v>
      </c>
    </row>
    <row r="325" spans="1:9">
      <c r="A325" t="s">
        <v>740</v>
      </c>
      <c r="B325" s="27" t="s">
        <v>3219</v>
      </c>
      <c r="C325" s="27" t="s">
        <v>5765</v>
      </c>
      <c r="D325">
        <f>VLOOKUP(tblTargetMedicos[[#This Row],[codigo_id]],[1]DIM_REPRESENTANTE_MEDICO!$C:$F,4,0)</f>
        <v>4</v>
      </c>
      <c r="E325">
        <f>VLOOKUP(tblTargetMedicos[[#This Row],[codigo_id]],[1]DIM_REPRESENTANTE_MEDICO!$C:$F,3,0)</f>
        <v>10</v>
      </c>
      <c r="F325" s="27" t="s">
        <v>5796</v>
      </c>
      <c r="G325" s="27" t="s">
        <v>5783</v>
      </c>
      <c r="H325" s="27" t="s">
        <v>96</v>
      </c>
      <c r="I325">
        <v>1</v>
      </c>
    </row>
    <row r="326" spans="1:9">
      <c r="A326" t="s">
        <v>741</v>
      </c>
      <c r="B326" s="27" t="s">
        <v>3219</v>
      </c>
      <c r="C326" s="27" t="s">
        <v>5765</v>
      </c>
      <c r="D326">
        <f>VLOOKUP(tblTargetMedicos[[#This Row],[codigo_id]],[1]DIM_REPRESENTANTE_MEDICO!$C:$F,4,0)</f>
        <v>4</v>
      </c>
      <c r="E326">
        <f>VLOOKUP(tblTargetMedicos[[#This Row],[codigo_id]],[1]DIM_REPRESENTANTE_MEDICO!$C:$F,3,0)</f>
        <v>10</v>
      </c>
      <c r="F326" s="27" t="s">
        <v>5796</v>
      </c>
      <c r="G326" s="27" t="s">
        <v>5779</v>
      </c>
      <c r="H326" s="27" t="s">
        <v>95</v>
      </c>
      <c r="I326">
        <v>1</v>
      </c>
    </row>
    <row r="327" spans="1:9">
      <c r="A327" t="s">
        <v>742</v>
      </c>
      <c r="B327" s="27" t="s">
        <v>3219</v>
      </c>
      <c r="C327" s="27" t="s">
        <v>5765</v>
      </c>
      <c r="D327">
        <f>VLOOKUP(tblTargetMedicos[[#This Row],[codigo_id]],[1]DIM_REPRESENTANTE_MEDICO!$C:$F,4,0)</f>
        <v>4</v>
      </c>
      <c r="E327">
        <f>VLOOKUP(tblTargetMedicos[[#This Row],[codigo_id]],[1]DIM_REPRESENTANTE_MEDICO!$C:$F,3,0)</f>
        <v>10</v>
      </c>
      <c r="F327" s="27" t="s">
        <v>5796</v>
      </c>
      <c r="G327" s="27" t="s">
        <v>5783</v>
      </c>
      <c r="H327" s="27" t="s">
        <v>97</v>
      </c>
      <c r="I327">
        <v>1</v>
      </c>
    </row>
    <row r="328" spans="1:9">
      <c r="A328" t="s">
        <v>743</v>
      </c>
      <c r="B328" s="27" t="s">
        <v>3219</v>
      </c>
      <c r="C328" s="27" t="s">
        <v>5765</v>
      </c>
      <c r="D328">
        <f>VLOOKUP(tblTargetMedicos[[#This Row],[codigo_id]],[1]DIM_REPRESENTANTE_MEDICO!$C:$F,4,0)</f>
        <v>4</v>
      </c>
      <c r="E328">
        <f>VLOOKUP(tblTargetMedicos[[#This Row],[codigo_id]],[1]DIM_REPRESENTANTE_MEDICO!$C:$F,3,0)</f>
        <v>10</v>
      </c>
      <c r="F328" s="27" t="s">
        <v>5796</v>
      </c>
      <c r="G328" s="27" t="s">
        <v>5781</v>
      </c>
      <c r="H328" s="27" t="s">
        <v>96</v>
      </c>
      <c r="I328">
        <v>1</v>
      </c>
    </row>
    <row r="329" spans="1:9">
      <c r="A329" t="s">
        <v>744</v>
      </c>
      <c r="B329" s="27" t="s">
        <v>3219</v>
      </c>
      <c r="C329" s="27" t="s">
        <v>5765</v>
      </c>
      <c r="D329">
        <f>VLOOKUP(tblTargetMedicos[[#This Row],[codigo_id]],[1]DIM_REPRESENTANTE_MEDICO!$C:$F,4,0)</f>
        <v>4</v>
      </c>
      <c r="E329">
        <f>VLOOKUP(tblTargetMedicos[[#This Row],[codigo_id]],[1]DIM_REPRESENTANTE_MEDICO!$C:$F,3,0)</f>
        <v>10</v>
      </c>
      <c r="F329" s="27" t="s">
        <v>5796</v>
      </c>
      <c r="G329" s="27" t="s">
        <v>5781</v>
      </c>
      <c r="H329" s="27" t="s">
        <v>96</v>
      </c>
      <c r="I329">
        <v>1</v>
      </c>
    </row>
    <row r="330" spans="1:9">
      <c r="A330" t="s">
        <v>745</v>
      </c>
      <c r="B330" s="27" t="s">
        <v>3219</v>
      </c>
      <c r="C330" s="27" t="s">
        <v>5765</v>
      </c>
      <c r="D330">
        <f>VLOOKUP(tblTargetMedicos[[#This Row],[codigo_id]],[1]DIM_REPRESENTANTE_MEDICO!$C:$F,4,0)</f>
        <v>4</v>
      </c>
      <c r="E330">
        <f>VLOOKUP(tblTargetMedicos[[#This Row],[codigo_id]],[1]DIM_REPRESENTANTE_MEDICO!$C:$F,3,0)</f>
        <v>10</v>
      </c>
      <c r="F330" s="27" t="s">
        <v>5796</v>
      </c>
      <c r="G330" s="27" t="s">
        <v>5784</v>
      </c>
      <c r="H330" s="27" t="s">
        <v>95</v>
      </c>
      <c r="I330">
        <v>1</v>
      </c>
    </row>
    <row r="331" spans="1:9">
      <c r="A331" t="s">
        <v>746</v>
      </c>
      <c r="B331" s="27" t="s">
        <v>3219</v>
      </c>
      <c r="C331" s="27" t="s">
        <v>5765</v>
      </c>
      <c r="D331">
        <f>VLOOKUP(tblTargetMedicos[[#This Row],[codigo_id]],[1]DIM_REPRESENTANTE_MEDICO!$C:$F,4,0)</f>
        <v>4</v>
      </c>
      <c r="E331">
        <f>VLOOKUP(tblTargetMedicos[[#This Row],[codigo_id]],[1]DIM_REPRESENTANTE_MEDICO!$C:$F,3,0)</f>
        <v>10</v>
      </c>
      <c r="F331" s="27" t="s">
        <v>5796</v>
      </c>
      <c r="G331" s="27" t="s">
        <v>5783</v>
      </c>
      <c r="H331" s="27" t="s">
        <v>96</v>
      </c>
      <c r="I331">
        <v>1</v>
      </c>
    </row>
    <row r="332" spans="1:9">
      <c r="A332" t="s">
        <v>747</v>
      </c>
      <c r="B332" s="27" t="s">
        <v>3219</v>
      </c>
      <c r="C332" s="27" t="s">
        <v>5765</v>
      </c>
      <c r="D332">
        <f>VLOOKUP(tblTargetMedicos[[#This Row],[codigo_id]],[1]DIM_REPRESENTANTE_MEDICO!$C:$F,4,0)</f>
        <v>4</v>
      </c>
      <c r="E332">
        <f>VLOOKUP(tblTargetMedicos[[#This Row],[codigo_id]],[1]DIM_REPRESENTANTE_MEDICO!$C:$F,3,0)</f>
        <v>10</v>
      </c>
      <c r="F332" s="27" t="s">
        <v>5796</v>
      </c>
      <c r="G332" s="27" t="s">
        <v>5786</v>
      </c>
      <c r="H332" s="27" t="s">
        <v>96</v>
      </c>
      <c r="I332">
        <v>1</v>
      </c>
    </row>
    <row r="333" spans="1:9">
      <c r="A333" t="s">
        <v>748</v>
      </c>
      <c r="B333" s="27" t="s">
        <v>3219</v>
      </c>
      <c r="C333" s="27" t="s">
        <v>5765</v>
      </c>
      <c r="D333">
        <f>VLOOKUP(tblTargetMedicos[[#This Row],[codigo_id]],[1]DIM_REPRESENTANTE_MEDICO!$C:$F,4,0)</f>
        <v>4</v>
      </c>
      <c r="E333">
        <f>VLOOKUP(tblTargetMedicos[[#This Row],[codigo_id]],[1]DIM_REPRESENTANTE_MEDICO!$C:$F,3,0)</f>
        <v>10</v>
      </c>
      <c r="F333" s="27" t="s">
        <v>5796</v>
      </c>
      <c r="G333" s="27" t="s">
        <v>5783</v>
      </c>
      <c r="H333" s="27" t="s">
        <v>96</v>
      </c>
      <c r="I333">
        <v>1</v>
      </c>
    </row>
    <row r="334" spans="1:9">
      <c r="A334" t="s">
        <v>749</v>
      </c>
      <c r="B334" s="27" t="s">
        <v>3219</v>
      </c>
      <c r="C334" s="27" t="s">
        <v>5765</v>
      </c>
      <c r="D334">
        <f>VLOOKUP(tblTargetMedicos[[#This Row],[codigo_id]],[1]DIM_REPRESENTANTE_MEDICO!$C:$F,4,0)</f>
        <v>4</v>
      </c>
      <c r="E334">
        <f>VLOOKUP(tblTargetMedicos[[#This Row],[codigo_id]],[1]DIM_REPRESENTANTE_MEDICO!$C:$F,3,0)</f>
        <v>10</v>
      </c>
      <c r="F334" s="27" t="s">
        <v>5796</v>
      </c>
      <c r="G334" s="27" t="s">
        <v>5781</v>
      </c>
      <c r="H334" s="27" t="s">
        <v>96</v>
      </c>
      <c r="I334">
        <v>1</v>
      </c>
    </row>
    <row r="335" spans="1:9">
      <c r="A335" t="s">
        <v>750</v>
      </c>
      <c r="B335" s="27" t="s">
        <v>3219</v>
      </c>
      <c r="C335" s="27" t="s">
        <v>5765</v>
      </c>
      <c r="D335">
        <f>VLOOKUP(tblTargetMedicos[[#This Row],[codigo_id]],[1]DIM_REPRESENTANTE_MEDICO!$C:$F,4,0)</f>
        <v>4</v>
      </c>
      <c r="E335">
        <f>VLOOKUP(tblTargetMedicos[[#This Row],[codigo_id]],[1]DIM_REPRESENTANTE_MEDICO!$C:$F,3,0)</f>
        <v>10</v>
      </c>
      <c r="F335" s="27" t="s">
        <v>5796</v>
      </c>
      <c r="G335" s="27" t="s">
        <v>5783</v>
      </c>
      <c r="H335" s="27" t="s">
        <v>96</v>
      </c>
      <c r="I335">
        <v>1</v>
      </c>
    </row>
    <row r="336" spans="1:9">
      <c r="A336" t="s">
        <v>751</v>
      </c>
      <c r="B336" s="27" t="s">
        <v>3219</v>
      </c>
      <c r="C336" s="27" t="s">
        <v>5765</v>
      </c>
      <c r="D336">
        <f>VLOOKUP(tblTargetMedicos[[#This Row],[codigo_id]],[1]DIM_REPRESENTANTE_MEDICO!$C:$F,4,0)</f>
        <v>4</v>
      </c>
      <c r="E336">
        <f>VLOOKUP(tblTargetMedicos[[#This Row],[codigo_id]],[1]DIM_REPRESENTANTE_MEDICO!$C:$F,3,0)</f>
        <v>10</v>
      </c>
      <c r="F336" s="27" t="s">
        <v>5796</v>
      </c>
      <c r="G336" s="27" t="s">
        <v>5782</v>
      </c>
      <c r="H336" s="27" t="s">
        <v>95</v>
      </c>
      <c r="I336">
        <v>1</v>
      </c>
    </row>
    <row r="337" spans="1:9">
      <c r="A337" t="s">
        <v>752</v>
      </c>
      <c r="B337" s="27" t="s">
        <v>3219</v>
      </c>
      <c r="C337" s="27" t="s">
        <v>5765</v>
      </c>
      <c r="D337">
        <f>VLOOKUP(tblTargetMedicos[[#This Row],[codigo_id]],[1]DIM_REPRESENTANTE_MEDICO!$C:$F,4,0)</f>
        <v>4</v>
      </c>
      <c r="E337">
        <f>VLOOKUP(tblTargetMedicos[[#This Row],[codigo_id]],[1]DIM_REPRESENTANTE_MEDICO!$C:$F,3,0)</f>
        <v>10</v>
      </c>
      <c r="F337" s="27" t="s">
        <v>5796</v>
      </c>
      <c r="G337" s="27" t="s">
        <v>5783</v>
      </c>
      <c r="H337" s="27" t="s">
        <v>96</v>
      </c>
      <c r="I337">
        <v>1</v>
      </c>
    </row>
    <row r="338" spans="1:9">
      <c r="A338" t="s">
        <v>753</v>
      </c>
      <c r="B338" s="27" t="s">
        <v>3219</v>
      </c>
      <c r="C338" s="27" t="s">
        <v>5765</v>
      </c>
      <c r="D338">
        <f>VLOOKUP(tblTargetMedicos[[#This Row],[codigo_id]],[1]DIM_REPRESENTANTE_MEDICO!$C:$F,4,0)</f>
        <v>4</v>
      </c>
      <c r="E338">
        <f>VLOOKUP(tblTargetMedicos[[#This Row],[codigo_id]],[1]DIM_REPRESENTANTE_MEDICO!$C:$F,3,0)</f>
        <v>10</v>
      </c>
      <c r="F338" s="27" t="s">
        <v>5796</v>
      </c>
      <c r="G338" s="27" t="s">
        <v>5784</v>
      </c>
      <c r="H338" s="27" t="s">
        <v>96</v>
      </c>
      <c r="I338">
        <v>1</v>
      </c>
    </row>
    <row r="339" spans="1:9">
      <c r="A339" t="s">
        <v>754</v>
      </c>
      <c r="B339" s="27" t="s">
        <v>3219</v>
      </c>
      <c r="C339" s="27" t="s">
        <v>5765</v>
      </c>
      <c r="D339">
        <f>VLOOKUP(tblTargetMedicos[[#This Row],[codigo_id]],[1]DIM_REPRESENTANTE_MEDICO!$C:$F,4,0)</f>
        <v>4</v>
      </c>
      <c r="E339">
        <f>VLOOKUP(tblTargetMedicos[[#This Row],[codigo_id]],[1]DIM_REPRESENTANTE_MEDICO!$C:$F,3,0)</f>
        <v>10</v>
      </c>
      <c r="F339" s="27" t="s">
        <v>5796</v>
      </c>
      <c r="G339" s="27" t="s">
        <v>5784</v>
      </c>
      <c r="H339" s="27" t="s">
        <v>96</v>
      </c>
      <c r="I339">
        <v>1</v>
      </c>
    </row>
    <row r="340" spans="1:9">
      <c r="A340" t="s">
        <v>755</v>
      </c>
      <c r="B340" s="27" t="s">
        <v>3219</v>
      </c>
      <c r="C340" s="27" t="s">
        <v>5765</v>
      </c>
      <c r="D340">
        <f>VLOOKUP(tblTargetMedicos[[#This Row],[codigo_id]],[1]DIM_REPRESENTANTE_MEDICO!$C:$F,4,0)</f>
        <v>4</v>
      </c>
      <c r="E340">
        <f>VLOOKUP(tblTargetMedicos[[#This Row],[codigo_id]],[1]DIM_REPRESENTANTE_MEDICO!$C:$F,3,0)</f>
        <v>10</v>
      </c>
      <c r="F340" s="27" t="s">
        <v>5796</v>
      </c>
      <c r="G340" s="27" t="s">
        <v>5783</v>
      </c>
      <c r="H340" s="27" t="s">
        <v>95</v>
      </c>
      <c r="I340">
        <v>1</v>
      </c>
    </row>
    <row r="341" spans="1:9">
      <c r="A341" t="s">
        <v>756</v>
      </c>
      <c r="B341" s="27" t="s">
        <v>3219</v>
      </c>
      <c r="C341" s="27" t="s">
        <v>5765</v>
      </c>
      <c r="D341">
        <f>VLOOKUP(tblTargetMedicos[[#This Row],[codigo_id]],[1]DIM_REPRESENTANTE_MEDICO!$C:$F,4,0)</f>
        <v>4</v>
      </c>
      <c r="E341">
        <f>VLOOKUP(tblTargetMedicos[[#This Row],[codigo_id]],[1]DIM_REPRESENTANTE_MEDICO!$C:$F,3,0)</f>
        <v>10</v>
      </c>
      <c r="F341" s="27" t="s">
        <v>5796</v>
      </c>
      <c r="G341" s="27" t="s">
        <v>5779</v>
      </c>
      <c r="H341" s="27" t="s">
        <v>96</v>
      </c>
      <c r="I341">
        <v>1</v>
      </c>
    </row>
    <row r="342" spans="1:9">
      <c r="A342" t="s">
        <v>757</v>
      </c>
      <c r="B342" s="27" t="s">
        <v>3219</v>
      </c>
      <c r="C342" s="27" t="s">
        <v>5765</v>
      </c>
      <c r="D342">
        <f>VLOOKUP(tblTargetMedicos[[#This Row],[codigo_id]],[1]DIM_REPRESENTANTE_MEDICO!$C:$F,4,0)</f>
        <v>4</v>
      </c>
      <c r="E342">
        <f>VLOOKUP(tblTargetMedicos[[#This Row],[codigo_id]],[1]DIM_REPRESENTANTE_MEDICO!$C:$F,3,0)</f>
        <v>10</v>
      </c>
      <c r="F342" s="27" t="s">
        <v>5796</v>
      </c>
      <c r="G342" s="27" t="s">
        <v>5784</v>
      </c>
      <c r="H342" s="27" t="s">
        <v>96</v>
      </c>
      <c r="I342">
        <v>1</v>
      </c>
    </row>
    <row r="343" spans="1:9">
      <c r="A343" t="s">
        <v>758</v>
      </c>
      <c r="B343" s="27" t="s">
        <v>3219</v>
      </c>
      <c r="C343" s="27" t="s">
        <v>5765</v>
      </c>
      <c r="D343">
        <f>VLOOKUP(tblTargetMedicos[[#This Row],[codigo_id]],[1]DIM_REPRESENTANTE_MEDICO!$C:$F,4,0)</f>
        <v>4</v>
      </c>
      <c r="E343">
        <f>VLOOKUP(tblTargetMedicos[[#This Row],[codigo_id]],[1]DIM_REPRESENTANTE_MEDICO!$C:$F,3,0)</f>
        <v>10</v>
      </c>
      <c r="F343" s="27" t="s">
        <v>5796</v>
      </c>
      <c r="G343" s="27" t="s">
        <v>5784</v>
      </c>
      <c r="H343" s="27" t="s">
        <v>95</v>
      </c>
      <c r="I343">
        <v>1</v>
      </c>
    </row>
    <row r="344" spans="1:9">
      <c r="A344" t="s">
        <v>759</v>
      </c>
      <c r="B344" s="27" t="s">
        <v>3219</v>
      </c>
      <c r="C344" s="27" t="s">
        <v>5765</v>
      </c>
      <c r="D344">
        <f>VLOOKUP(tblTargetMedicos[[#This Row],[codigo_id]],[1]DIM_REPRESENTANTE_MEDICO!$C:$F,4,0)</f>
        <v>4</v>
      </c>
      <c r="E344">
        <f>VLOOKUP(tblTargetMedicos[[#This Row],[codigo_id]],[1]DIM_REPRESENTANTE_MEDICO!$C:$F,3,0)</f>
        <v>10</v>
      </c>
      <c r="F344" s="27" t="s">
        <v>5796</v>
      </c>
      <c r="G344" s="27" t="s">
        <v>5783</v>
      </c>
      <c r="H344" s="27" t="s">
        <v>96</v>
      </c>
      <c r="I344">
        <v>1</v>
      </c>
    </row>
    <row r="345" spans="1:9">
      <c r="A345" t="s">
        <v>760</v>
      </c>
      <c r="B345" s="27" t="s">
        <v>3219</v>
      </c>
      <c r="C345" s="27" t="s">
        <v>5765</v>
      </c>
      <c r="D345">
        <f>VLOOKUP(tblTargetMedicos[[#This Row],[codigo_id]],[1]DIM_REPRESENTANTE_MEDICO!$C:$F,4,0)</f>
        <v>4</v>
      </c>
      <c r="E345">
        <f>VLOOKUP(tblTargetMedicos[[#This Row],[codigo_id]],[1]DIM_REPRESENTANTE_MEDICO!$C:$F,3,0)</f>
        <v>10</v>
      </c>
      <c r="F345" s="27" t="s">
        <v>5796</v>
      </c>
      <c r="G345" s="27" t="s">
        <v>5783</v>
      </c>
      <c r="H345" s="27" t="s">
        <v>96</v>
      </c>
      <c r="I345">
        <v>1</v>
      </c>
    </row>
    <row r="346" spans="1:9">
      <c r="A346" t="s">
        <v>761</v>
      </c>
      <c r="B346" s="27" t="s">
        <v>3219</v>
      </c>
      <c r="C346" s="27" t="s">
        <v>5765</v>
      </c>
      <c r="D346">
        <f>VLOOKUP(tblTargetMedicos[[#This Row],[codigo_id]],[1]DIM_REPRESENTANTE_MEDICO!$C:$F,4,0)</f>
        <v>4</v>
      </c>
      <c r="E346">
        <f>VLOOKUP(tblTargetMedicos[[#This Row],[codigo_id]],[1]DIM_REPRESENTANTE_MEDICO!$C:$F,3,0)</f>
        <v>10</v>
      </c>
      <c r="F346" s="27" t="s">
        <v>5796</v>
      </c>
      <c r="G346" s="27" t="s">
        <v>5781</v>
      </c>
      <c r="H346" s="27" t="s">
        <v>96</v>
      </c>
      <c r="I346">
        <v>1</v>
      </c>
    </row>
    <row r="347" spans="1:9">
      <c r="A347" t="s">
        <v>762</v>
      </c>
      <c r="B347" s="27" t="s">
        <v>3219</v>
      </c>
      <c r="C347" s="27" t="s">
        <v>5765</v>
      </c>
      <c r="D347">
        <f>VLOOKUP(tblTargetMedicos[[#This Row],[codigo_id]],[1]DIM_REPRESENTANTE_MEDICO!$C:$F,4,0)</f>
        <v>4</v>
      </c>
      <c r="E347">
        <f>VLOOKUP(tblTargetMedicos[[#This Row],[codigo_id]],[1]DIM_REPRESENTANTE_MEDICO!$C:$F,3,0)</f>
        <v>10</v>
      </c>
      <c r="F347" s="27" t="s">
        <v>5796</v>
      </c>
      <c r="G347" s="27" t="s">
        <v>5783</v>
      </c>
      <c r="H347" s="27" t="s">
        <v>97</v>
      </c>
      <c r="I347">
        <v>1</v>
      </c>
    </row>
    <row r="348" spans="1:9">
      <c r="A348" t="s">
        <v>763</v>
      </c>
      <c r="B348" s="27" t="s">
        <v>3219</v>
      </c>
      <c r="C348" s="27" t="s">
        <v>5765</v>
      </c>
      <c r="D348">
        <f>VLOOKUP(tblTargetMedicos[[#This Row],[codigo_id]],[1]DIM_REPRESENTANTE_MEDICO!$C:$F,4,0)</f>
        <v>4</v>
      </c>
      <c r="E348">
        <f>VLOOKUP(tblTargetMedicos[[#This Row],[codigo_id]],[1]DIM_REPRESENTANTE_MEDICO!$C:$F,3,0)</f>
        <v>10</v>
      </c>
      <c r="F348" s="27" t="s">
        <v>5796</v>
      </c>
      <c r="G348" s="27" t="s">
        <v>5786</v>
      </c>
      <c r="H348" s="27" t="s">
        <v>96</v>
      </c>
      <c r="I348">
        <v>1</v>
      </c>
    </row>
    <row r="349" spans="1:9">
      <c r="A349" t="s">
        <v>764</v>
      </c>
      <c r="B349" s="27" t="s">
        <v>3219</v>
      </c>
      <c r="C349" s="27" t="s">
        <v>5765</v>
      </c>
      <c r="D349">
        <f>VLOOKUP(tblTargetMedicos[[#This Row],[codigo_id]],[1]DIM_REPRESENTANTE_MEDICO!$C:$F,4,0)</f>
        <v>4</v>
      </c>
      <c r="E349">
        <f>VLOOKUP(tblTargetMedicos[[#This Row],[codigo_id]],[1]DIM_REPRESENTANTE_MEDICO!$C:$F,3,0)</f>
        <v>10</v>
      </c>
      <c r="F349" s="27" t="s">
        <v>5796</v>
      </c>
      <c r="G349" s="27" t="s">
        <v>5784</v>
      </c>
      <c r="H349" s="27" t="s">
        <v>96</v>
      </c>
      <c r="I349">
        <v>1</v>
      </c>
    </row>
    <row r="350" spans="1:9">
      <c r="A350" t="s">
        <v>765</v>
      </c>
      <c r="B350" s="27" t="s">
        <v>3219</v>
      </c>
      <c r="C350" s="27" t="s">
        <v>5765</v>
      </c>
      <c r="D350">
        <f>VLOOKUP(tblTargetMedicos[[#This Row],[codigo_id]],[1]DIM_REPRESENTANTE_MEDICO!$C:$F,4,0)</f>
        <v>4</v>
      </c>
      <c r="E350">
        <f>VLOOKUP(tblTargetMedicos[[#This Row],[codigo_id]],[1]DIM_REPRESENTANTE_MEDICO!$C:$F,3,0)</f>
        <v>10</v>
      </c>
      <c r="F350" s="27" t="s">
        <v>5796</v>
      </c>
      <c r="G350" s="27" t="s">
        <v>5784</v>
      </c>
      <c r="H350" s="27" t="s">
        <v>95</v>
      </c>
      <c r="I350">
        <v>1</v>
      </c>
    </row>
    <row r="351" spans="1:9">
      <c r="A351" t="s">
        <v>766</v>
      </c>
      <c r="B351" s="27" t="s">
        <v>3219</v>
      </c>
      <c r="C351" s="27" t="s">
        <v>5765</v>
      </c>
      <c r="D351">
        <f>VLOOKUP(tblTargetMedicos[[#This Row],[codigo_id]],[1]DIM_REPRESENTANTE_MEDICO!$C:$F,4,0)</f>
        <v>4</v>
      </c>
      <c r="E351">
        <f>VLOOKUP(tblTargetMedicos[[#This Row],[codigo_id]],[1]DIM_REPRESENTANTE_MEDICO!$C:$F,3,0)</f>
        <v>10</v>
      </c>
      <c r="F351" s="27" t="s">
        <v>5796</v>
      </c>
      <c r="G351" s="27" t="s">
        <v>5779</v>
      </c>
      <c r="H351" s="27" t="s">
        <v>95</v>
      </c>
      <c r="I351">
        <v>1</v>
      </c>
    </row>
    <row r="352" spans="1:9">
      <c r="A352" t="s">
        <v>767</v>
      </c>
      <c r="B352" s="27" t="s">
        <v>3219</v>
      </c>
      <c r="C352" s="27" t="s">
        <v>5765</v>
      </c>
      <c r="D352">
        <f>VLOOKUP(tblTargetMedicos[[#This Row],[codigo_id]],[1]DIM_REPRESENTANTE_MEDICO!$C:$F,4,0)</f>
        <v>4</v>
      </c>
      <c r="E352">
        <f>VLOOKUP(tblTargetMedicos[[#This Row],[codigo_id]],[1]DIM_REPRESENTANTE_MEDICO!$C:$F,3,0)</f>
        <v>10</v>
      </c>
      <c r="F352" s="27" t="s">
        <v>5796</v>
      </c>
      <c r="G352" s="27" t="s">
        <v>5783</v>
      </c>
      <c r="H352" s="27" t="s">
        <v>96</v>
      </c>
      <c r="I352">
        <v>1</v>
      </c>
    </row>
    <row r="353" spans="1:9">
      <c r="A353" t="s">
        <v>768</v>
      </c>
      <c r="B353" s="27" t="s">
        <v>3219</v>
      </c>
      <c r="C353" s="27" t="s">
        <v>5765</v>
      </c>
      <c r="D353">
        <f>VLOOKUP(tblTargetMedicos[[#This Row],[codigo_id]],[1]DIM_REPRESENTANTE_MEDICO!$C:$F,4,0)</f>
        <v>4</v>
      </c>
      <c r="E353">
        <f>VLOOKUP(tblTargetMedicos[[#This Row],[codigo_id]],[1]DIM_REPRESENTANTE_MEDICO!$C:$F,3,0)</f>
        <v>10</v>
      </c>
      <c r="F353" s="27" t="s">
        <v>5796</v>
      </c>
      <c r="G353" s="27" t="s">
        <v>5779</v>
      </c>
      <c r="H353" s="27" t="s">
        <v>96</v>
      </c>
      <c r="I353">
        <v>1</v>
      </c>
    </row>
    <row r="354" spans="1:9">
      <c r="A354" t="s">
        <v>769</v>
      </c>
      <c r="B354" s="27" t="s">
        <v>3219</v>
      </c>
      <c r="C354" s="27" t="s">
        <v>5765</v>
      </c>
      <c r="D354">
        <f>VLOOKUP(tblTargetMedicos[[#This Row],[codigo_id]],[1]DIM_REPRESENTANTE_MEDICO!$C:$F,4,0)</f>
        <v>4</v>
      </c>
      <c r="E354">
        <f>VLOOKUP(tblTargetMedicos[[#This Row],[codigo_id]],[1]DIM_REPRESENTANTE_MEDICO!$C:$F,3,0)</f>
        <v>10</v>
      </c>
      <c r="F354" s="27" t="s">
        <v>5796</v>
      </c>
      <c r="G354" s="27" t="s">
        <v>5784</v>
      </c>
      <c r="H354" s="27" t="s">
        <v>96</v>
      </c>
      <c r="I354">
        <v>1</v>
      </c>
    </row>
    <row r="355" spans="1:9">
      <c r="A355" t="s">
        <v>770</v>
      </c>
      <c r="B355" s="27" t="s">
        <v>3219</v>
      </c>
      <c r="C355" s="27" t="s">
        <v>5765</v>
      </c>
      <c r="D355">
        <f>VLOOKUP(tblTargetMedicos[[#This Row],[codigo_id]],[1]DIM_REPRESENTANTE_MEDICO!$C:$F,4,0)</f>
        <v>4</v>
      </c>
      <c r="E355">
        <f>VLOOKUP(tblTargetMedicos[[#This Row],[codigo_id]],[1]DIM_REPRESENTANTE_MEDICO!$C:$F,3,0)</f>
        <v>10</v>
      </c>
      <c r="F355" s="27" t="s">
        <v>5796</v>
      </c>
      <c r="G355" s="27" t="s">
        <v>5784</v>
      </c>
      <c r="H355" s="27" t="s">
        <v>95</v>
      </c>
      <c r="I355">
        <v>1</v>
      </c>
    </row>
    <row r="356" spans="1:9">
      <c r="A356" t="s">
        <v>771</v>
      </c>
      <c r="B356" s="27" t="s">
        <v>3219</v>
      </c>
      <c r="C356" s="27" t="s">
        <v>5765</v>
      </c>
      <c r="D356">
        <f>VLOOKUP(tblTargetMedicos[[#This Row],[codigo_id]],[1]DIM_REPRESENTANTE_MEDICO!$C:$F,4,0)</f>
        <v>4</v>
      </c>
      <c r="E356">
        <f>VLOOKUP(tblTargetMedicos[[#This Row],[codigo_id]],[1]DIM_REPRESENTANTE_MEDICO!$C:$F,3,0)</f>
        <v>10</v>
      </c>
      <c r="F356" s="27" t="s">
        <v>5796</v>
      </c>
      <c r="G356" s="27" t="s">
        <v>5787</v>
      </c>
      <c r="H356" s="27" t="s">
        <v>95</v>
      </c>
      <c r="I356">
        <v>1</v>
      </c>
    </row>
    <row r="357" spans="1:9">
      <c r="A357" t="s">
        <v>772</v>
      </c>
      <c r="B357" s="27" t="s">
        <v>3219</v>
      </c>
      <c r="C357" s="27" t="s">
        <v>5765</v>
      </c>
      <c r="D357">
        <f>VLOOKUP(tblTargetMedicos[[#This Row],[codigo_id]],[1]DIM_REPRESENTANTE_MEDICO!$C:$F,4,0)</f>
        <v>4</v>
      </c>
      <c r="E357">
        <f>VLOOKUP(tblTargetMedicos[[#This Row],[codigo_id]],[1]DIM_REPRESENTANTE_MEDICO!$C:$F,3,0)</f>
        <v>10</v>
      </c>
      <c r="F357" s="27" t="s">
        <v>5796</v>
      </c>
      <c r="G357" s="27" t="s">
        <v>5784</v>
      </c>
      <c r="H357" s="27" t="s">
        <v>95</v>
      </c>
      <c r="I357">
        <v>1</v>
      </c>
    </row>
    <row r="358" spans="1:9">
      <c r="A358" t="s">
        <v>773</v>
      </c>
      <c r="B358" s="27" t="s">
        <v>3219</v>
      </c>
      <c r="C358" s="27" t="s">
        <v>5765</v>
      </c>
      <c r="D358">
        <f>VLOOKUP(tblTargetMedicos[[#This Row],[codigo_id]],[1]DIM_REPRESENTANTE_MEDICO!$C:$F,4,0)</f>
        <v>4</v>
      </c>
      <c r="E358">
        <f>VLOOKUP(tblTargetMedicos[[#This Row],[codigo_id]],[1]DIM_REPRESENTANTE_MEDICO!$C:$F,3,0)</f>
        <v>10</v>
      </c>
      <c r="F358" s="27" t="s">
        <v>5796</v>
      </c>
      <c r="G358" s="27" t="s">
        <v>5781</v>
      </c>
      <c r="H358" s="27" t="s">
        <v>96</v>
      </c>
      <c r="I358">
        <v>1</v>
      </c>
    </row>
    <row r="359" spans="1:9">
      <c r="A359" t="s">
        <v>774</v>
      </c>
      <c r="B359" s="27" t="s">
        <v>3219</v>
      </c>
      <c r="C359" s="27" t="s">
        <v>5765</v>
      </c>
      <c r="D359">
        <f>VLOOKUP(tblTargetMedicos[[#This Row],[codigo_id]],[1]DIM_REPRESENTANTE_MEDICO!$C:$F,4,0)</f>
        <v>4</v>
      </c>
      <c r="E359">
        <f>VLOOKUP(tblTargetMedicos[[#This Row],[codigo_id]],[1]DIM_REPRESENTANTE_MEDICO!$C:$F,3,0)</f>
        <v>10</v>
      </c>
      <c r="F359" s="27" t="s">
        <v>5796</v>
      </c>
      <c r="G359" s="27" t="s">
        <v>5784</v>
      </c>
      <c r="H359" s="27" t="s">
        <v>96</v>
      </c>
      <c r="I359">
        <v>1</v>
      </c>
    </row>
    <row r="360" spans="1:9">
      <c r="A360" t="s">
        <v>775</v>
      </c>
      <c r="B360" s="27" t="s">
        <v>3219</v>
      </c>
      <c r="C360" s="27" t="s">
        <v>5765</v>
      </c>
      <c r="D360">
        <f>VLOOKUP(tblTargetMedicos[[#This Row],[codigo_id]],[1]DIM_REPRESENTANTE_MEDICO!$C:$F,4,0)</f>
        <v>4</v>
      </c>
      <c r="E360">
        <f>VLOOKUP(tblTargetMedicos[[#This Row],[codigo_id]],[1]DIM_REPRESENTANTE_MEDICO!$C:$F,3,0)</f>
        <v>10</v>
      </c>
      <c r="F360" s="27" t="s">
        <v>5796</v>
      </c>
      <c r="G360" s="27" t="s">
        <v>5782</v>
      </c>
      <c r="H360" s="27" t="s">
        <v>97</v>
      </c>
      <c r="I360">
        <v>1</v>
      </c>
    </row>
    <row r="361" spans="1:9">
      <c r="A361" t="s">
        <v>776</v>
      </c>
      <c r="B361" s="27" t="s">
        <v>3219</v>
      </c>
      <c r="C361" s="27" t="s">
        <v>5765</v>
      </c>
      <c r="D361">
        <f>VLOOKUP(tblTargetMedicos[[#This Row],[codigo_id]],[1]DIM_REPRESENTANTE_MEDICO!$C:$F,4,0)</f>
        <v>4</v>
      </c>
      <c r="E361">
        <f>VLOOKUP(tblTargetMedicos[[#This Row],[codigo_id]],[1]DIM_REPRESENTANTE_MEDICO!$C:$F,3,0)</f>
        <v>10</v>
      </c>
      <c r="F361" s="27" t="s">
        <v>5796</v>
      </c>
      <c r="G361" s="27" t="s">
        <v>5781</v>
      </c>
      <c r="H361" s="27" t="s">
        <v>96</v>
      </c>
      <c r="I361">
        <v>1</v>
      </c>
    </row>
    <row r="362" spans="1:9">
      <c r="A362" t="s">
        <v>777</v>
      </c>
      <c r="B362" s="27" t="s">
        <v>3219</v>
      </c>
      <c r="C362" s="27" t="s">
        <v>5765</v>
      </c>
      <c r="D362">
        <f>VLOOKUP(tblTargetMedicos[[#This Row],[codigo_id]],[1]DIM_REPRESENTANTE_MEDICO!$C:$F,4,0)</f>
        <v>4</v>
      </c>
      <c r="E362">
        <f>VLOOKUP(tblTargetMedicos[[#This Row],[codigo_id]],[1]DIM_REPRESENTANTE_MEDICO!$C:$F,3,0)</f>
        <v>10</v>
      </c>
      <c r="F362" s="27" t="s">
        <v>5796</v>
      </c>
      <c r="G362" s="27" t="s">
        <v>5785</v>
      </c>
      <c r="H362" s="27" t="s">
        <v>96</v>
      </c>
      <c r="I362">
        <v>1</v>
      </c>
    </row>
    <row r="363" spans="1:9">
      <c r="A363" t="s">
        <v>778</v>
      </c>
      <c r="B363" s="27" t="s">
        <v>3219</v>
      </c>
      <c r="C363" s="27" t="s">
        <v>5765</v>
      </c>
      <c r="D363">
        <f>VLOOKUP(tblTargetMedicos[[#This Row],[codigo_id]],[1]DIM_REPRESENTANTE_MEDICO!$C:$F,4,0)</f>
        <v>4</v>
      </c>
      <c r="E363">
        <f>VLOOKUP(tblTargetMedicos[[#This Row],[codigo_id]],[1]DIM_REPRESENTANTE_MEDICO!$C:$F,3,0)</f>
        <v>10</v>
      </c>
      <c r="F363" s="27" t="s">
        <v>5796</v>
      </c>
      <c r="G363" s="27" t="s">
        <v>5779</v>
      </c>
      <c r="H363" s="27" t="s">
        <v>96</v>
      </c>
      <c r="I363">
        <v>1</v>
      </c>
    </row>
    <row r="364" spans="1:9">
      <c r="A364" t="s">
        <v>779</v>
      </c>
      <c r="B364" s="27" t="s">
        <v>3219</v>
      </c>
      <c r="C364" s="27" t="s">
        <v>5765</v>
      </c>
      <c r="D364">
        <f>VLOOKUP(tblTargetMedicos[[#This Row],[codigo_id]],[1]DIM_REPRESENTANTE_MEDICO!$C:$F,4,0)</f>
        <v>4</v>
      </c>
      <c r="E364">
        <f>VLOOKUP(tblTargetMedicos[[#This Row],[codigo_id]],[1]DIM_REPRESENTANTE_MEDICO!$C:$F,3,0)</f>
        <v>10</v>
      </c>
      <c r="F364" s="27" t="s">
        <v>5796</v>
      </c>
      <c r="G364" s="27" t="s">
        <v>5789</v>
      </c>
      <c r="H364" s="27" t="s">
        <v>97</v>
      </c>
      <c r="I364">
        <v>1</v>
      </c>
    </row>
    <row r="365" spans="1:9">
      <c r="A365" t="s">
        <v>780</v>
      </c>
      <c r="B365" s="27" t="s">
        <v>3219</v>
      </c>
      <c r="C365" s="27" t="s">
        <v>5765</v>
      </c>
      <c r="D365">
        <f>VLOOKUP(tblTargetMedicos[[#This Row],[codigo_id]],[1]DIM_REPRESENTANTE_MEDICO!$C:$F,4,0)</f>
        <v>4</v>
      </c>
      <c r="E365">
        <f>VLOOKUP(tblTargetMedicos[[#This Row],[codigo_id]],[1]DIM_REPRESENTANTE_MEDICO!$C:$F,3,0)</f>
        <v>10</v>
      </c>
      <c r="F365" s="27" t="s">
        <v>5796</v>
      </c>
      <c r="G365" s="27" t="s">
        <v>5782</v>
      </c>
      <c r="H365" s="27" t="s">
        <v>97</v>
      </c>
      <c r="I365">
        <v>1</v>
      </c>
    </row>
    <row r="366" spans="1:9">
      <c r="A366" t="s">
        <v>781</v>
      </c>
      <c r="B366" s="27" t="s">
        <v>3219</v>
      </c>
      <c r="C366" s="27" t="s">
        <v>5765</v>
      </c>
      <c r="D366">
        <f>VLOOKUP(tblTargetMedicos[[#This Row],[codigo_id]],[1]DIM_REPRESENTANTE_MEDICO!$C:$F,4,0)</f>
        <v>4</v>
      </c>
      <c r="E366">
        <f>VLOOKUP(tblTargetMedicos[[#This Row],[codigo_id]],[1]DIM_REPRESENTANTE_MEDICO!$C:$F,3,0)</f>
        <v>10</v>
      </c>
      <c r="F366" s="27" t="s">
        <v>5796</v>
      </c>
      <c r="G366" s="27" t="s">
        <v>5783</v>
      </c>
      <c r="H366" s="27" t="s">
        <v>97</v>
      </c>
      <c r="I366">
        <v>1</v>
      </c>
    </row>
    <row r="367" spans="1:9">
      <c r="A367" t="s">
        <v>782</v>
      </c>
      <c r="B367" s="27" t="s">
        <v>3219</v>
      </c>
      <c r="C367" s="27" t="s">
        <v>5765</v>
      </c>
      <c r="D367">
        <f>VLOOKUP(tblTargetMedicos[[#This Row],[codigo_id]],[1]DIM_REPRESENTANTE_MEDICO!$C:$F,4,0)</f>
        <v>4</v>
      </c>
      <c r="E367">
        <f>VLOOKUP(tblTargetMedicos[[#This Row],[codigo_id]],[1]DIM_REPRESENTANTE_MEDICO!$C:$F,3,0)</f>
        <v>10</v>
      </c>
      <c r="F367" s="27" t="s">
        <v>5796</v>
      </c>
      <c r="G367" s="27" t="s">
        <v>5789</v>
      </c>
      <c r="H367" s="27" t="s">
        <v>97</v>
      </c>
      <c r="I367">
        <v>1</v>
      </c>
    </row>
    <row r="368" spans="1:9">
      <c r="A368" t="s">
        <v>783</v>
      </c>
      <c r="B368" s="27" t="s">
        <v>3219</v>
      </c>
      <c r="C368" s="27" t="s">
        <v>5765</v>
      </c>
      <c r="D368">
        <f>VLOOKUP(tblTargetMedicos[[#This Row],[codigo_id]],[1]DIM_REPRESENTANTE_MEDICO!$C:$F,4,0)</f>
        <v>4</v>
      </c>
      <c r="E368">
        <f>VLOOKUP(tblTargetMedicos[[#This Row],[codigo_id]],[1]DIM_REPRESENTANTE_MEDICO!$C:$F,3,0)</f>
        <v>10</v>
      </c>
      <c r="F368" s="27" t="s">
        <v>5796</v>
      </c>
      <c r="G368" s="27" t="s">
        <v>5781</v>
      </c>
      <c r="H368" s="27" t="s">
        <v>97</v>
      </c>
      <c r="I368">
        <v>1</v>
      </c>
    </row>
    <row r="369" spans="1:9">
      <c r="A369" t="s">
        <v>784</v>
      </c>
      <c r="B369" s="27" t="s">
        <v>3219</v>
      </c>
      <c r="C369" s="27" t="s">
        <v>5765</v>
      </c>
      <c r="D369">
        <f>VLOOKUP(tblTargetMedicos[[#This Row],[codigo_id]],[1]DIM_REPRESENTANTE_MEDICO!$C:$F,4,0)</f>
        <v>4</v>
      </c>
      <c r="E369">
        <f>VLOOKUP(tblTargetMedicos[[#This Row],[codigo_id]],[1]DIM_REPRESENTANTE_MEDICO!$C:$F,3,0)</f>
        <v>10</v>
      </c>
      <c r="F369" s="27" t="s">
        <v>5796</v>
      </c>
      <c r="G369" s="27" t="s">
        <v>5789</v>
      </c>
      <c r="H369" s="27" t="s">
        <v>97</v>
      </c>
      <c r="I369">
        <v>1</v>
      </c>
    </row>
    <row r="370" spans="1:9">
      <c r="A370" t="s">
        <v>785</v>
      </c>
      <c r="B370" s="27" t="s">
        <v>3219</v>
      </c>
      <c r="C370" s="27" t="s">
        <v>5765</v>
      </c>
      <c r="D370">
        <f>VLOOKUP(tblTargetMedicos[[#This Row],[codigo_id]],[1]DIM_REPRESENTANTE_MEDICO!$C:$F,4,0)</f>
        <v>4</v>
      </c>
      <c r="E370">
        <f>VLOOKUP(tblTargetMedicos[[#This Row],[codigo_id]],[1]DIM_REPRESENTANTE_MEDICO!$C:$F,3,0)</f>
        <v>10</v>
      </c>
      <c r="F370" s="27" t="s">
        <v>5796</v>
      </c>
      <c r="G370" s="27" t="s">
        <v>5783</v>
      </c>
      <c r="H370" s="27" t="s">
        <v>97</v>
      </c>
      <c r="I370">
        <v>1</v>
      </c>
    </row>
    <row r="371" spans="1:9">
      <c r="A371" t="s">
        <v>786</v>
      </c>
      <c r="B371" s="27" t="s">
        <v>3219</v>
      </c>
      <c r="C371" s="27" t="s">
        <v>5765</v>
      </c>
      <c r="D371">
        <f>VLOOKUP(tblTargetMedicos[[#This Row],[codigo_id]],[1]DIM_REPRESENTANTE_MEDICO!$C:$F,4,0)</f>
        <v>4</v>
      </c>
      <c r="E371">
        <f>VLOOKUP(tblTargetMedicos[[#This Row],[codigo_id]],[1]DIM_REPRESENTANTE_MEDICO!$C:$F,3,0)</f>
        <v>10</v>
      </c>
      <c r="F371" s="27" t="s">
        <v>5796</v>
      </c>
      <c r="G371" s="27" t="s">
        <v>5781</v>
      </c>
      <c r="H371" s="27" t="s">
        <v>97</v>
      </c>
      <c r="I371">
        <v>1</v>
      </c>
    </row>
    <row r="372" spans="1:9">
      <c r="A372" t="s">
        <v>787</v>
      </c>
      <c r="B372" s="27" t="s">
        <v>3219</v>
      </c>
      <c r="C372" s="27" t="s">
        <v>5765</v>
      </c>
      <c r="D372">
        <f>VLOOKUP(tblTargetMedicos[[#This Row],[codigo_id]],[1]DIM_REPRESENTANTE_MEDICO!$C:$F,4,0)</f>
        <v>4</v>
      </c>
      <c r="E372">
        <f>VLOOKUP(tblTargetMedicos[[#This Row],[codigo_id]],[1]DIM_REPRESENTANTE_MEDICO!$C:$F,3,0)</f>
        <v>10</v>
      </c>
      <c r="F372" s="27" t="s">
        <v>5796</v>
      </c>
      <c r="G372" s="27" t="s">
        <v>5781</v>
      </c>
      <c r="H372" s="27" t="s">
        <v>97</v>
      </c>
      <c r="I372">
        <v>1</v>
      </c>
    </row>
    <row r="373" spans="1:9">
      <c r="A373" t="s">
        <v>788</v>
      </c>
      <c r="B373" s="27" t="s">
        <v>3219</v>
      </c>
      <c r="C373" s="27" t="s">
        <v>5765</v>
      </c>
      <c r="D373">
        <f>VLOOKUP(tblTargetMedicos[[#This Row],[codigo_id]],[1]DIM_REPRESENTANTE_MEDICO!$C:$F,4,0)</f>
        <v>4</v>
      </c>
      <c r="E373">
        <f>VLOOKUP(tblTargetMedicos[[#This Row],[codigo_id]],[1]DIM_REPRESENTANTE_MEDICO!$C:$F,3,0)</f>
        <v>10</v>
      </c>
      <c r="F373" s="27" t="s">
        <v>5796</v>
      </c>
      <c r="G373" s="27" t="s">
        <v>5781</v>
      </c>
      <c r="H373" s="27" t="s">
        <v>97</v>
      </c>
      <c r="I373">
        <v>1</v>
      </c>
    </row>
    <row r="374" spans="1:9">
      <c r="A374" t="s">
        <v>789</v>
      </c>
      <c r="B374" s="27" t="s">
        <v>3219</v>
      </c>
      <c r="C374" s="27" t="s">
        <v>5765</v>
      </c>
      <c r="D374">
        <f>VLOOKUP(tblTargetMedicos[[#This Row],[codigo_id]],[1]DIM_REPRESENTANTE_MEDICO!$C:$F,4,0)</f>
        <v>4</v>
      </c>
      <c r="E374">
        <f>VLOOKUP(tblTargetMedicos[[#This Row],[codigo_id]],[1]DIM_REPRESENTANTE_MEDICO!$C:$F,3,0)</f>
        <v>10</v>
      </c>
      <c r="F374" s="27" t="s">
        <v>5796</v>
      </c>
      <c r="G374" s="27" t="s">
        <v>5783</v>
      </c>
      <c r="H374" s="27" t="s">
        <v>96</v>
      </c>
      <c r="I374">
        <v>1</v>
      </c>
    </row>
    <row r="375" spans="1:9">
      <c r="A375" t="s">
        <v>790</v>
      </c>
      <c r="B375" s="27" t="s">
        <v>3219</v>
      </c>
      <c r="C375" s="27" t="s">
        <v>5765</v>
      </c>
      <c r="D375">
        <f>VLOOKUP(tblTargetMedicos[[#This Row],[codigo_id]],[1]DIM_REPRESENTANTE_MEDICO!$C:$F,4,0)</f>
        <v>4</v>
      </c>
      <c r="E375">
        <f>VLOOKUP(tblTargetMedicos[[#This Row],[codigo_id]],[1]DIM_REPRESENTANTE_MEDICO!$C:$F,3,0)</f>
        <v>10</v>
      </c>
      <c r="F375" s="27" t="s">
        <v>5796</v>
      </c>
      <c r="G375" s="27" t="s">
        <v>5783</v>
      </c>
      <c r="H375" s="27" t="s">
        <v>97</v>
      </c>
      <c r="I375">
        <v>1</v>
      </c>
    </row>
    <row r="376" spans="1:9">
      <c r="A376" t="s">
        <v>791</v>
      </c>
      <c r="B376" s="27" t="s">
        <v>3219</v>
      </c>
      <c r="C376" s="27" t="s">
        <v>5765</v>
      </c>
      <c r="D376">
        <f>VLOOKUP(tblTargetMedicos[[#This Row],[codigo_id]],[1]DIM_REPRESENTANTE_MEDICO!$C:$F,4,0)</f>
        <v>4</v>
      </c>
      <c r="E376">
        <f>VLOOKUP(tblTargetMedicos[[#This Row],[codigo_id]],[1]DIM_REPRESENTANTE_MEDICO!$C:$F,3,0)</f>
        <v>10</v>
      </c>
      <c r="F376" s="27" t="s">
        <v>5796</v>
      </c>
      <c r="G376" s="27" t="s">
        <v>5783</v>
      </c>
      <c r="H376" s="27" t="s">
        <v>96</v>
      </c>
      <c r="I376">
        <v>1</v>
      </c>
    </row>
    <row r="377" spans="1:9">
      <c r="A377" t="s">
        <v>792</v>
      </c>
      <c r="B377" s="27" t="s">
        <v>3219</v>
      </c>
      <c r="C377" s="27" t="s">
        <v>5765</v>
      </c>
      <c r="D377">
        <f>VLOOKUP(tblTargetMedicos[[#This Row],[codigo_id]],[1]DIM_REPRESENTANTE_MEDICO!$C:$F,4,0)</f>
        <v>4</v>
      </c>
      <c r="E377">
        <f>VLOOKUP(tblTargetMedicos[[#This Row],[codigo_id]],[1]DIM_REPRESENTANTE_MEDICO!$C:$F,3,0)</f>
        <v>10</v>
      </c>
      <c r="F377" s="27" t="s">
        <v>5796</v>
      </c>
      <c r="G377" s="27" t="s">
        <v>5784</v>
      </c>
      <c r="H377" s="27" t="s">
        <v>95</v>
      </c>
      <c r="I377">
        <v>1</v>
      </c>
    </row>
    <row r="378" spans="1:9">
      <c r="A378" t="s">
        <v>793</v>
      </c>
      <c r="B378" s="27" t="s">
        <v>3219</v>
      </c>
      <c r="C378" s="27" t="s">
        <v>5765</v>
      </c>
      <c r="D378">
        <f>VLOOKUP(tblTargetMedicos[[#This Row],[codigo_id]],[1]DIM_REPRESENTANTE_MEDICO!$C:$F,4,0)</f>
        <v>4</v>
      </c>
      <c r="E378">
        <f>VLOOKUP(tblTargetMedicos[[#This Row],[codigo_id]],[1]DIM_REPRESENTANTE_MEDICO!$C:$F,3,0)</f>
        <v>10</v>
      </c>
      <c r="F378" s="27" t="s">
        <v>5796</v>
      </c>
      <c r="G378" s="27" t="s">
        <v>5785</v>
      </c>
      <c r="H378" s="27" t="s">
        <v>96</v>
      </c>
      <c r="I378">
        <v>1</v>
      </c>
    </row>
    <row r="379" spans="1:9">
      <c r="A379" t="s">
        <v>794</v>
      </c>
      <c r="B379" s="27" t="s">
        <v>3219</v>
      </c>
      <c r="C379" s="27" t="s">
        <v>5765</v>
      </c>
      <c r="D379">
        <f>VLOOKUP(tblTargetMedicos[[#This Row],[codigo_id]],[1]DIM_REPRESENTANTE_MEDICO!$C:$F,4,0)</f>
        <v>4</v>
      </c>
      <c r="E379">
        <f>VLOOKUP(tblTargetMedicos[[#This Row],[codigo_id]],[1]DIM_REPRESENTANTE_MEDICO!$C:$F,3,0)</f>
        <v>10</v>
      </c>
      <c r="F379" s="27" t="s">
        <v>5796</v>
      </c>
      <c r="G379" s="27" t="s">
        <v>5784</v>
      </c>
      <c r="H379" s="27" t="s">
        <v>96</v>
      </c>
      <c r="I379">
        <v>1</v>
      </c>
    </row>
    <row r="380" spans="1:9">
      <c r="A380" t="s">
        <v>795</v>
      </c>
      <c r="B380" s="27" t="s">
        <v>3219</v>
      </c>
      <c r="C380" s="27" t="s">
        <v>5765</v>
      </c>
      <c r="D380">
        <f>VLOOKUP(tblTargetMedicos[[#This Row],[codigo_id]],[1]DIM_REPRESENTANTE_MEDICO!$C:$F,4,0)</f>
        <v>4</v>
      </c>
      <c r="E380">
        <f>VLOOKUP(tblTargetMedicos[[#This Row],[codigo_id]],[1]DIM_REPRESENTANTE_MEDICO!$C:$F,3,0)</f>
        <v>10</v>
      </c>
      <c r="F380" s="27" t="s">
        <v>5796</v>
      </c>
      <c r="G380" s="27" t="s">
        <v>5781</v>
      </c>
      <c r="H380" s="27" t="s">
        <v>97</v>
      </c>
      <c r="I380">
        <v>1</v>
      </c>
    </row>
    <row r="381" spans="1:9">
      <c r="A381" t="s">
        <v>796</v>
      </c>
      <c r="B381" s="27" t="s">
        <v>3219</v>
      </c>
      <c r="C381" s="27" t="s">
        <v>5765</v>
      </c>
      <c r="D381">
        <f>VLOOKUP(tblTargetMedicos[[#This Row],[codigo_id]],[1]DIM_REPRESENTANTE_MEDICO!$C:$F,4,0)</f>
        <v>4</v>
      </c>
      <c r="E381">
        <f>VLOOKUP(tblTargetMedicos[[#This Row],[codigo_id]],[1]DIM_REPRESENTANTE_MEDICO!$C:$F,3,0)</f>
        <v>10</v>
      </c>
      <c r="F381" s="27" t="s">
        <v>5796</v>
      </c>
      <c r="G381" s="27" t="s">
        <v>5784</v>
      </c>
      <c r="H381" s="27" t="s">
        <v>96</v>
      </c>
      <c r="I381">
        <v>1</v>
      </c>
    </row>
    <row r="382" spans="1:9">
      <c r="A382" t="s">
        <v>797</v>
      </c>
      <c r="B382" s="27" t="s">
        <v>3219</v>
      </c>
      <c r="C382" s="27" t="s">
        <v>5765</v>
      </c>
      <c r="D382">
        <f>VLOOKUP(tblTargetMedicos[[#This Row],[codigo_id]],[1]DIM_REPRESENTANTE_MEDICO!$C:$F,4,0)</f>
        <v>4</v>
      </c>
      <c r="E382">
        <f>VLOOKUP(tblTargetMedicos[[#This Row],[codigo_id]],[1]DIM_REPRESENTANTE_MEDICO!$C:$F,3,0)</f>
        <v>10</v>
      </c>
      <c r="F382" s="27" t="s">
        <v>5796</v>
      </c>
      <c r="G382" s="27" t="s">
        <v>5785</v>
      </c>
      <c r="H382" s="27" t="s">
        <v>96</v>
      </c>
      <c r="I382">
        <v>1</v>
      </c>
    </row>
    <row r="383" spans="1:9">
      <c r="A383" t="s">
        <v>798</v>
      </c>
      <c r="B383" s="27" t="s">
        <v>3219</v>
      </c>
      <c r="C383" s="27" t="s">
        <v>5765</v>
      </c>
      <c r="D383">
        <f>VLOOKUP(tblTargetMedicos[[#This Row],[codigo_id]],[1]DIM_REPRESENTANTE_MEDICO!$C:$F,4,0)</f>
        <v>4</v>
      </c>
      <c r="E383">
        <f>VLOOKUP(tblTargetMedicos[[#This Row],[codigo_id]],[1]DIM_REPRESENTANTE_MEDICO!$C:$F,3,0)</f>
        <v>10</v>
      </c>
      <c r="F383" s="27" t="s">
        <v>5796</v>
      </c>
      <c r="G383" s="27" t="s">
        <v>5786</v>
      </c>
      <c r="H383" s="27" t="s">
        <v>96</v>
      </c>
      <c r="I383">
        <v>1</v>
      </c>
    </row>
    <row r="384" spans="1:9">
      <c r="A384" t="s">
        <v>799</v>
      </c>
      <c r="B384" s="27" t="s">
        <v>3219</v>
      </c>
      <c r="C384" s="27" t="s">
        <v>5765</v>
      </c>
      <c r="D384">
        <f>VLOOKUP(tblTargetMedicos[[#This Row],[codigo_id]],[1]DIM_REPRESENTANTE_MEDICO!$C:$F,4,0)</f>
        <v>4</v>
      </c>
      <c r="E384">
        <f>VLOOKUP(tblTargetMedicos[[#This Row],[codigo_id]],[1]DIM_REPRESENTANTE_MEDICO!$C:$F,3,0)</f>
        <v>10</v>
      </c>
      <c r="F384" s="27" t="s">
        <v>5796</v>
      </c>
      <c r="G384" s="27" t="s">
        <v>5784</v>
      </c>
      <c r="H384" s="27" t="s">
        <v>96</v>
      </c>
      <c r="I384">
        <v>1</v>
      </c>
    </row>
    <row r="385" spans="1:9">
      <c r="A385" t="s">
        <v>800</v>
      </c>
      <c r="B385" s="27" t="s">
        <v>3219</v>
      </c>
      <c r="C385" s="27" t="s">
        <v>5765</v>
      </c>
      <c r="D385">
        <f>VLOOKUP(tblTargetMedicos[[#This Row],[codigo_id]],[1]DIM_REPRESENTANTE_MEDICO!$C:$F,4,0)</f>
        <v>4</v>
      </c>
      <c r="E385">
        <f>VLOOKUP(tblTargetMedicos[[#This Row],[codigo_id]],[1]DIM_REPRESENTANTE_MEDICO!$C:$F,3,0)</f>
        <v>10</v>
      </c>
      <c r="F385" s="27" t="s">
        <v>5796</v>
      </c>
      <c r="G385" s="27" t="s">
        <v>5783</v>
      </c>
      <c r="H385" s="27" t="s">
        <v>96</v>
      </c>
      <c r="I385">
        <v>1</v>
      </c>
    </row>
    <row r="386" spans="1:9">
      <c r="A386" t="s">
        <v>801</v>
      </c>
      <c r="B386" s="27" t="s">
        <v>3219</v>
      </c>
      <c r="C386" s="27" t="s">
        <v>5765</v>
      </c>
      <c r="D386">
        <f>VLOOKUP(tblTargetMedicos[[#This Row],[codigo_id]],[1]DIM_REPRESENTANTE_MEDICO!$C:$F,4,0)</f>
        <v>4</v>
      </c>
      <c r="E386">
        <f>VLOOKUP(tblTargetMedicos[[#This Row],[codigo_id]],[1]DIM_REPRESENTANTE_MEDICO!$C:$F,3,0)</f>
        <v>10</v>
      </c>
      <c r="F386" s="27" t="s">
        <v>5796</v>
      </c>
      <c r="G386" s="27" t="s">
        <v>5787</v>
      </c>
      <c r="H386" s="27" t="s">
        <v>96</v>
      </c>
      <c r="I386">
        <v>1</v>
      </c>
    </row>
    <row r="387" spans="1:9">
      <c r="A387" t="s">
        <v>802</v>
      </c>
      <c r="B387" s="27" t="s">
        <v>3219</v>
      </c>
      <c r="C387" s="27" t="s">
        <v>5765</v>
      </c>
      <c r="D387">
        <f>VLOOKUP(tblTargetMedicos[[#This Row],[codigo_id]],[1]DIM_REPRESENTANTE_MEDICO!$C:$F,4,0)</f>
        <v>4</v>
      </c>
      <c r="E387">
        <f>VLOOKUP(tblTargetMedicos[[#This Row],[codigo_id]],[1]DIM_REPRESENTANTE_MEDICO!$C:$F,3,0)</f>
        <v>10</v>
      </c>
      <c r="F387" s="27" t="s">
        <v>5796</v>
      </c>
      <c r="G387" s="27" t="s">
        <v>5779</v>
      </c>
      <c r="H387" s="27" t="s">
        <v>96</v>
      </c>
      <c r="I387">
        <v>1</v>
      </c>
    </row>
    <row r="388" spans="1:9">
      <c r="A388" t="s">
        <v>803</v>
      </c>
      <c r="B388" s="27" t="s">
        <v>3219</v>
      </c>
      <c r="C388" s="27" t="s">
        <v>5765</v>
      </c>
      <c r="D388">
        <f>VLOOKUP(tblTargetMedicos[[#This Row],[codigo_id]],[1]DIM_REPRESENTANTE_MEDICO!$C:$F,4,0)</f>
        <v>4</v>
      </c>
      <c r="E388">
        <f>VLOOKUP(tblTargetMedicos[[#This Row],[codigo_id]],[1]DIM_REPRESENTANTE_MEDICO!$C:$F,3,0)</f>
        <v>10</v>
      </c>
      <c r="F388" s="27" t="s">
        <v>5796</v>
      </c>
      <c r="G388" s="27" t="s">
        <v>5782</v>
      </c>
      <c r="H388" s="27" t="s">
        <v>96</v>
      </c>
      <c r="I388">
        <v>1</v>
      </c>
    </row>
    <row r="389" spans="1:9">
      <c r="A389" t="s">
        <v>804</v>
      </c>
      <c r="B389" s="27" t="s">
        <v>3219</v>
      </c>
      <c r="C389" s="27" t="s">
        <v>5765</v>
      </c>
      <c r="D389">
        <f>VLOOKUP(tblTargetMedicos[[#This Row],[codigo_id]],[1]DIM_REPRESENTANTE_MEDICO!$C:$F,4,0)</f>
        <v>4</v>
      </c>
      <c r="E389">
        <f>VLOOKUP(tblTargetMedicos[[#This Row],[codigo_id]],[1]DIM_REPRESENTANTE_MEDICO!$C:$F,3,0)</f>
        <v>10</v>
      </c>
      <c r="F389" s="27" t="s">
        <v>5796</v>
      </c>
      <c r="G389" s="27" t="s">
        <v>5786</v>
      </c>
      <c r="H389" s="27" t="s">
        <v>96</v>
      </c>
      <c r="I389">
        <v>1</v>
      </c>
    </row>
    <row r="390" spans="1:9">
      <c r="A390" t="s">
        <v>805</v>
      </c>
      <c r="B390" s="27" t="s">
        <v>3219</v>
      </c>
      <c r="C390" s="27" t="s">
        <v>5765</v>
      </c>
      <c r="D390">
        <f>VLOOKUP(tblTargetMedicos[[#This Row],[codigo_id]],[1]DIM_REPRESENTANTE_MEDICO!$C:$F,4,0)</f>
        <v>4</v>
      </c>
      <c r="E390">
        <f>VLOOKUP(tblTargetMedicos[[#This Row],[codigo_id]],[1]DIM_REPRESENTANTE_MEDICO!$C:$F,3,0)</f>
        <v>10</v>
      </c>
      <c r="F390" s="27" t="s">
        <v>5796</v>
      </c>
      <c r="G390" s="27" t="s">
        <v>5786</v>
      </c>
      <c r="H390" s="27" t="s">
        <v>96</v>
      </c>
      <c r="I390">
        <v>1</v>
      </c>
    </row>
    <row r="391" spans="1:9">
      <c r="A391" t="s">
        <v>806</v>
      </c>
      <c r="B391" s="27" t="s">
        <v>3219</v>
      </c>
      <c r="C391" s="27" t="s">
        <v>5765</v>
      </c>
      <c r="D391">
        <f>VLOOKUP(tblTargetMedicos[[#This Row],[codigo_id]],[1]DIM_REPRESENTANTE_MEDICO!$C:$F,4,0)</f>
        <v>4</v>
      </c>
      <c r="E391">
        <f>VLOOKUP(tblTargetMedicos[[#This Row],[codigo_id]],[1]DIM_REPRESENTANTE_MEDICO!$C:$F,3,0)</f>
        <v>10</v>
      </c>
      <c r="F391" s="27" t="s">
        <v>5796</v>
      </c>
      <c r="G391" s="27" t="s">
        <v>5785</v>
      </c>
      <c r="H391" s="27" t="s">
        <v>96</v>
      </c>
      <c r="I391">
        <v>1</v>
      </c>
    </row>
    <row r="392" spans="1:9">
      <c r="A392" t="s">
        <v>807</v>
      </c>
      <c r="B392" s="27" t="s">
        <v>3219</v>
      </c>
      <c r="C392" s="27" t="s">
        <v>5765</v>
      </c>
      <c r="D392">
        <f>VLOOKUP(tblTargetMedicos[[#This Row],[codigo_id]],[1]DIM_REPRESENTANTE_MEDICO!$C:$F,4,0)</f>
        <v>4</v>
      </c>
      <c r="E392">
        <f>VLOOKUP(tblTargetMedicos[[#This Row],[codigo_id]],[1]DIM_REPRESENTANTE_MEDICO!$C:$F,3,0)</f>
        <v>10</v>
      </c>
      <c r="F392" s="27" t="s">
        <v>5796</v>
      </c>
      <c r="G392" s="27" t="s">
        <v>5784</v>
      </c>
      <c r="H392" s="27" t="s">
        <v>96</v>
      </c>
      <c r="I392">
        <v>1</v>
      </c>
    </row>
    <row r="393" spans="1:9">
      <c r="A393" t="s">
        <v>808</v>
      </c>
      <c r="B393" s="27" t="s">
        <v>3219</v>
      </c>
      <c r="C393" s="27" t="s">
        <v>5765</v>
      </c>
      <c r="D393">
        <f>VLOOKUP(tblTargetMedicos[[#This Row],[codigo_id]],[1]DIM_REPRESENTANTE_MEDICO!$C:$F,4,0)</f>
        <v>4</v>
      </c>
      <c r="E393">
        <f>VLOOKUP(tblTargetMedicos[[#This Row],[codigo_id]],[1]DIM_REPRESENTANTE_MEDICO!$C:$F,3,0)</f>
        <v>10</v>
      </c>
      <c r="F393" s="27" t="s">
        <v>5796</v>
      </c>
      <c r="G393" s="27" t="s">
        <v>5787</v>
      </c>
      <c r="H393" s="27" t="s">
        <v>96</v>
      </c>
      <c r="I393">
        <v>1</v>
      </c>
    </row>
    <row r="394" spans="1:9">
      <c r="A394" t="s">
        <v>809</v>
      </c>
      <c r="B394" s="27" t="s">
        <v>3219</v>
      </c>
      <c r="C394" s="27" t="s">
        <v>5765</v>
      </c>
      <c r="D394">
        <f>VLOOKUP(tblTargetMedicos[[#This Row],[codigo_id]],[1]DIM_REPRESENTANTE_MEDICO!$C:$F,4,0)</f>
        <v>4</v>
      </c>
      <c r="E394">
        <f>VLOOKUP(tblTargetMedicos[[#This Row],[codigo_id]],[1]DIM_REPRESENTANTE_MEDICO!$C:$F,3,0)</f>
        <v>10</v>
      </c>
      <c r="F394" s="27" t="s">
        <v>5796</v>
      </c>
      <c r="G394" s="27" t="s">
        <v>5783</v>
      </c>
      <c r="H394" s="27" t="s">
        <v>97</v>
      </c>
      <c r="I394">
        <v>1</v>
      </c>
    </row>
    <row r="395" spans="1:9">
      <c r="A395" t="s">
        <v>810</v>
      </c>
      <c r="B395" s="27" t="s">
        <v>3219</v>
      </c>
      <c r="C395" s="27" t="s">
        <v>5765</v>
      </c>
      <c r="D395">
        <f>VLOOKUP(tblTargetMedicos[[#This Row],[codigo_id]],[1]DIM_REPRESENTANTE_MEDICO!$C:$F,4,0)</f>
        <v>4</v>
      </c>
      <c r="E395">
        <f>VLOOKUP(tblTargetMedicos[[#This Row],[codigo_id]],[1]DIM_REPRESENTANTE_MEDICO!$C:$F,3,0)</f>
        <v>10</v>
      </c>
      <c r="F395" s="27" t="s">
        <v>5796</v>
      </c>
      <c r="G395" s="27" t="s">
        <v>5783</v>
      </c>
      <c r="H395" s="27" t="s">
        <v>95</v>
      </c>
      <c r="I395">
        <v>1</v>
      </c>
    </row>
    <row r="396" spans="1:9">
      <c r="A396" t="s">
        <v>811</v>
      </c>
      <c r="B396" s="27" t="s">
        <v>3219</v>
      </c>
      <c r="C396" s="27" t="s">
        <v>5765</v>
      </c>
      <c r="D396">
        <f>VLOOKUP(tblTargetMedicos[[#This Row],[codigo_id]],[1]DIM_REPRESENTANTE_MEDICO!$C:$F,4,0)</f>
        <v>4</v>
      </c>
      <c r="E396">
        <f>VLOOKUP(tblTargetMedicos[[#This Row],[codigo_id]],[1]DIM_REPRESENTANTE_MEDICO!$C:$F,3,0)</f>
        <v>10</v>
      </c>
      <c r="F396" s="27" t="s">
        <v>5796</v>
      </c>
      <c r="G396" s="27" t="s">
        <v>5785</v>
      </c>
      <c r="H396" s="27" t="s">
        <v>96</v>
      </c>
      <c r="I396">
        <v>1</v>
      </c>
    </row>
    <row r="397" spans="1:9">
      <c r="A397" t="s">
        <v>812</v>
      </c>
      <c r="B397" s="27" t="s">
        <v>3219</v>
      </c>
      <c r="C397" s="27" t="s">
        <v>5765</v>
      </c>
      <c r="D397">
        <f>VLOOKUP(tblTargetMedicos[[#This Row],[codigo_id]],[1]DIM_REPRESENTANTE_MEDICO!$C:$F,4,0)</f>
        <v>4</v>
      </c>
      <c r="E397">
        <f>VLOOKUP(tblTargetMedicos[[#This Row],[codigo_id]],[1]DIM_REPRESENTANTE_MEDICO!$C:$F,3,0)</f>
        <v>10</v>
      </c>
      <c r="F397" s="27" t="s">
        <v>5796</v>
      </c>
      <c r="G397" s="27" t="s">
        <v>5781</v>
      </c>
      <c r="H397" s="27" t="s">
        <v>97</v>
      </c>
      <c r="I397">
        <v>1</v>
      </c>
    </row>
    <row r="398" spans="1:9">
      <c r="A398" t="s">
        <v>813</v>
      </c>
      <c r="B398" s="27" t="s">
        <v>3219</v>
      </c>
      <c r="C398" s="27" t="s">
        <v>5765</v>
      </c>
      <c r="D398">
        <f>VLOOKUP(tblTargetMedicos[[#This Row],[codigo_id]],[1]DIM_REPRESENTANTE_MEDICO!$C:$F,4,0)</f>
        <v>4</v>
      </c>
      <c r="E398">
        <f>VLOOKUP(tblTargetMedicos[[#This Row],[codigo_id]],[1]DIM_REPRESENTANTE_MEDICO!$C:$F,3,0)</f>
        <v>10</v>
      </c>
      <c r="F398" s="27" t="s">
        <v>5796</v>
      </c>
      <c r="G398" s="27" t="s">
        <v>5783</v>
      </c>
      <c r="H398" s="27" t="s">
        <v>97</v>
      </c>
      <c r="I398">
        <v>1</v>
      </c>
    </row>
    <row r="399" spans="1:9">
      <c r="A399" t="s">
        <v>814</v>
      </c>
      <c r="B399" s="27" t="s">
        <v>3219</v>
      </c>
      <c r="C399" s="27" t="s">
        <v>5765</v>
      </c>
      <c r="D399">
        <f>VLOOKUP(tblTargetMedicos[[#This Row],[codigo_id]],[1]DIM_REPRESENTANTE_MEDICO!$C:$F,4,0)</f>
        <v>4</v>
      </c>
      <c r="E399">
        <f>VLOOKUP(tblTargetMedicos[[#This Row],[codigo_id]],[1]DIM_REPRESENTANTE_MEDICO!$C:$F,3,0)</f>
        <v>10</v>
      </c>
      <c r="F399" s="27" t="s">
        <v>5796</v>
      </c>
      <c r="G399" s="27" t="s">
        <v>5785</v>
      </c>
      <c r="H399" s="27" t="s">
        <v>95</v>
      </c>
      <c r="I399">
        <v>1</v>
      </c>
    </row>
    <row r="400" spans="1:9">
      <c r="A400" t="s">
        <v>815</v>
      </c>
      <c r="B400" s="27" t="s">
        <v>3219</v>
      </c>
      <c r="C400" s="27" t="s">
        <v>5765</v>
      </c>
      <c r="D400">
        <f>VLOOKUP(tblTargetMedicos[[#This Row],[codigo_id]],[1]DIM_REPRESENTANTE_MEDICO!$C:$F,4,0)</f>
        <v>4</v>
      </c>
      <c r="E400">
        <f>VLOOKUP(tblTargetMedicos[[#This Row],[codigo_id]],[1]DIM_REPRESENTANTE_MEDICO!$C:$F,3,0)</f>
        <v>10</v>
      </c>
      <c r="F400" s="27" t="s">
        <v>5796</v>
      </c>
      <c r="G400" s="27" t="s">
        <v>5786</v>
      </c>
      <c r="H400" s="27" t="s">
        <v>96</v>
      </c>
      <c r="I400">
        <v>1</v>
      </c>
    </row>
    <row r="401" spans="1:9">
      <c r="A401" t="s">
        <v>816</v>
      </c>
      <c r="B401" s="27" t="s">
        <v>3219</v>
      </c>
      <c r="C401" s="27" t="s">
        <v>5765</v>
      </c>
      <c r="D401">
        <f>VLOOKUP(tblTargetMedicos[[#This Row],[codigo_id]],[1]DIM_REPRESENTANTE_MEDICO!$C:$F,4,0)</f>
        <v>4</v>
      </c>
      <c r="E401">
        <f>VLOOKUP(tblTargetMedicos[[#This Row],[codigo_id]],[1]DIM_REPRESENTANTE_MEDICO!$C:$F,3,0)</f>
        <v>10</v>
      </c>
      <c r="F401" s="27" t="s">
        <v>5796</v>
      </c>
      <c r="G401" s="27" t="s">
        <v>5781</v>
      </c>
      <c r="H401" s="27" t="s">
        <v>96</v>
      </c>
      <c r="I401">
        <v>1</v>
      </c>
    </row>
    <row r="402" spans="1:9">
      <c r="A402" t="s">
        <v>817</v>
      </c>
      <c r="B402" s="27" t="s">
        <v>3219</v>
      </c>
      <c r="C402" s="27" t="s">
        <v>5765</v>
      </c>
      <c r="D402">
        <f>VLOOKUP(tblTargetMedicos[[#This Row],[codigo_id]],[1]DIM_REPRESENTANTE_MEDICO!$C:$F,4,0)</f>
        <v>4</v>
      </c>
      <c r="E402">
        <f>VLOOKUP(tblTargetMedicos[[#This Row],[codigo_id]],[1]DIM_REPRESENTANTE_MEDICO!$C:$F,3,0)</f>
        <v>10</v>
      </c>
      <c r="F402" s="27" t="s">
        <v>5796</v>
      </c>
      <c r="G402" s="27" t="s">
        <v>5785</v>
      </c>
      <c r="H402" s="27" t="s">
        <v>97</v>
      </c>
      <c r="I402">
        <v>1</v>
      </c>
    </row>
    <row r="403" spans="1:9">
      <c r="A403" t="s">
        <v>818</v>
      </c>
      <c r="B403" s="27" t="s">
        <v>3219</v>
      </c>
      <c r="C403" s="27" t="s">
        <v>5765</v>
      </c>
      <c r="D403">
        <f>VLOOKUP(tblTargetMedicos[[#This Row],[codigo_id]],[1]DIM_REPRESENTANTE_MEDICO!$C:$F,4,0)</f>
        <v>4</v>
      </c>
      <c r="E403">
        <f>VLOOKUP(tblTargetMedicos[[#This Row],[codigo_id]],[1]DIM_REPRESENTANTE_MEDICO!$C:$F,3,0)</f>
        <v>10</v>
      </c>
      <c r="F403" s="27" t="s">
        <v>5796</v>
      </c>
      <c r="G403" s="27" t="s">
        <v>5783</v>
      </c>
      <c r="H403" s="27" t="s">
        <v>96</v>
      </c>
      <c r="I403">
        <v>1</v>
      </c>
    </row>
    <row r="404" spans="1:9">
      <c r="A404" t="s">
        <v>819</v>
      </c>
      <c r="B404" s="27" t="s">
        <v>3219</v>
      </c>
      <c r="C404" s="27" t="s">
        <v>5765</v>
      </c>
      <c r="D404">
        <f>VLOOKUP(tblTargetMedicos[[#This Row],[codigo_id]],[1]DIM_REPRESENTANTE_MEDICO!$C:$F,4,0)</f>
        <v>4</v>
      </c>
      <c r="E404">
        <f>VLOOKUP(tblTargetMedicos[[#This Row],[codigo_id]],[1]DIM_REPRESENTANTE_MEDICO!$C:$F,3,0)</f>
        <v>10</v>
      </c>
      <c r="F404" s="27" t="s">
        <v>5796</v>
      </c>
      <c r="G404" s="27" t="s">
        <v>5783</v>
      </c>
      <c r="H404" s="27" t="s">
        <v>96</v>
      </c>
      <c r="I404">
        <v>1</v>
      </c>
    </row>
    <row r="405" spans="1:9">
      <c r="A405" t="s">
        <v>820</v>
      </c>
      <c r="B405" s="27" t="s">
        <v>3219</v>
      </c>
      <c r="C405" s="27" t="s">
        <v>5765</v>
      </c>
      <c r="D405">
        <f>VLOOKUP(tblTargetMedicos[[#This Row],[codigo_id]],[1]DIM_REPRESENTANTE_MEDICO!$C:$F,4,0)</f>
        <v>4</v>
      </c>
      <c r="E405">
        <f>VLOOKUP(tblTargetMedicos[[#This Row],[codigo_id]],[1]DIM_REPRESENTANTE_MEDICO!$C:$F,3,0)</f>
        <v>10</v>
      </c>
      <c r="F405" s="27" t="s">
        <v>5796</v>
      </c>
      <c r="G405" s="27" t="s">
        <v>5786</v>
      </c>
      <c r="H405" s="27" t="s">
        <v>95</v>
      </c>
      <c r="I405">
        <v>1</v>
      </c>
    </row>
    <row r="406" spans="1:9">
      <c r="A406" t="s">
        <v>821</v>
      </c>
      <c r="B406" s="27" t="s">
        <v>3219</v>
      </c>
      <c r="C406" s="27" t="s">
        <v>5765</v>
      </c>
      <c r="D406">
        <f>VLOOKUP(tblTargetMedicos[[#This Row],[codigo_id]],[1]DIM_REPRESENTANTE_MEDICO!$C:$F,4,0)</f>
        <v>4</v>
      </c>
      <c r="E406">
        <f>VLOOKUP(tblTargetMedicos[[#This Row],[codigo_id]],[1]DIM_REPRESENTANTE_MEDICO!$C:$F,3,0)</f>
        <v>10</v>
      </c>
      <c r="F406" s="27" t="s">
        <v>5796</v>
      </c>
      <c r="G406" s="27" t="s">
        <v>5781</v>
      </c>
      <c r="H406" s="27" t="s">
        <v>96</v>
      </c>
      <c r="I406">
        <v>1</v>
      </c>
    </row>
    <row r="407" spans="1:9">
      <c r="A407" t="s">
        <v>822</v>
      </c>
      <c r="B407" s="27" t="s">
        <v>3219</v>
      </c>
      <c r="C407" s="27" t="s">
        <v>5765</v>
      </c>
      <c r="D407">
        <f>VLOOKUP(tblTargetMedicos[[#This Row],[codigo_id]],[1]DIM_REPRESENTANTE_MEDICO!$C:$F,4,0)</f>
        <v>4</v>
      </c>
      <c r="E407">
        <f>VLOOKUP(tblTargetMedicos[[#This Row],[codigo_id]],[1]DIM_REPRESENTANTE_MEDICO!$C:$F,3,0)</f>
        <v>10</v>
      </c>
      <c r="F407" s="27" t="s">
        <v>5796</v>
      </c>
      <c r="G407" s="27" t="s">
        <v>5783</v>
      </c>
      <c r="H407" s="27" t="s">
        <v>96</v>
      </c>
      <c r="I407">
        <v>1</v>
      </c>
    </row>
    <row r="408" spans="1:9">
      <c r="A408" t="s">
        <v>823</v>
      </c>
      <c r="B408" s="27" t="s">
        <v>3219</v>
      </c>
      <c r="C408" s="27" t="s">
        <v>5765</v>
      </c>
      <c r="D408">
        <f>VLOOKUP(tblTargetMedicos[[#This Row],[codigo_id]],[1]DIM_REPRESENTANTE_MEDICO!$C:$F,4,0)</f>
        <v>4</v>
      </c>
      <c r="E408">
        <f>VLOOKUP(tblTargetMedicos[[#This Row],[codigo_id]],[1]DIM_REPRESENTANTE_MEDICO!$C:$F,3,0)</f>
        <v>10</v>
      </c>
      <c r="F408" s="27" t="s">
        <v>5796</v>
      </c>
      <c r="G408" s="27" t="s">
        <v>5784</v>
      </c>
      <c r="H408" s="27" t="s">
        <v>95</v>
      </c>
      <c r="I408">
        <v>1</v>
      </c>
    </row>
    <row r="409" spans="1:9">
      <c r="A409" t="s">
        <v>824</v>
      </c>
      <c r="B409" s="27" t="s">
        <v>3219</v>
      </c>
      <c r="C409" s="27" t="s">
        <v>5765</v>
      </c>
      <c r="D409">
        <f>VLOOKUP(tblTargetMedicos[[#This Row],[codigo_id]],[1]DIM_REPRESENTANTE_MEDICO!$C:$F,4,0)</f>
        <v>4</v>
      </c>
      <c r="E409">
        <f>VLOOKUP(tblTargetMedicos[[#This Row],[codigo_id]],[1]DIM_REPRESENTANTE_MEDICO!$C:$F,3,0)</f>
        <v>10</v>
      </c>
      <c r="F409" s="27" t="s">
        <v>5796</v>
      </c>
      <c r="G409" s="27" t="s">
        <v>5786</v>
      </c>
      <c r="H409" s="27" t="s">
        <v>96</v>
      </c>
      <c r="I409">
        <v>1</v>
      </c>
    </row>
    <row r="410" spans="1:9">
      <c r="A410" t="s">
        <v>825</v>
      </c>
      <c r="B410" s="27" t="s">
        <v>3219</v>
      </c>
      <c r="C410" s="27" t="s">
        <v>5765</v>
      </c>
      <c r="D410">
        <f>VLOOKUP(tblTargetMedicos[[#This Row],[codigo_id]],[1]DIM_REPRESENTANTE_MEDICO!$C:$F,4,0)</f>
        <v>4</v>
      </c>
      <c r="E410">
        <f>VLOOKUP(tblTargetMedicos[[#This Row],[codigo_id]],[1]DIM_REPRESENTANTE_MEDICO!$C:$F,3,0)</f>
        <v>10</v>
      </c>
      <c r="F410" s="27" t="s">
        <v>5796</v>
      </c>
      <c r="G410" s="27" t="s">
        <v>5782</v>
      </c>
      <c r="H410" s="27" t="s">
        <v>96</v>
      </c>
      <c r="I410">
        <v>1</v>
      </c>
    </row>
    <row r="411" spans="1:9">
      <c r="A411" t="s">
        <v>826</v>
      </c>
      <c r="B411" s="27" t="s">
        <v>3219</v>
      </c>
      <c r="C411" s="27" t="s">
        <v>5765</v>
      </c>
      <c r="D411">
        <f>VLOOKUP(tblTargetMedicos[[#This Row],[codigo_id]],[1]DIM_REPRESENTANTE_MEDICO!$C:$F,4,0)</f>
        <v>4</v>
      </c>
      <c r="E411">
        <f>VLOOKUP(tblTargetMedicos[[#This Row],[codigo_id]],[1]DIM_REPRESENTANTE_MEDICO!$C:$F,3,0)</f>
        <v>10</v>
      </c>
      <c r="F411" s="27" t="s">
        <v>5796</v>
      </c>
      <c r="G411" s="27" t="s">
        <v>5784</v>
      </c>
      <c r="H411" s="27" t="s">
        <v>96</v>
      </c>
      <c r="I411">
        <v>1</v>
      </c>
    </row>
    <row r="412" spans="1:9">
      <c r="A412" t="s">
        <v>827</v>
      </c>
      <c r="B412" s="27" t="s">
        <v>3219</v>
      </c>
      <c r="C412" s="27" t="s">
        <v>5765</v>
      </c>
      <c r="D412">
        <f>VLOOKUP(tblTargetMedicos[[#This Row],[codigo_id]],[1]DIM_REPRESENTANTE_MEDICO!$C:$F,4,0)</f>
        <v>4</v>
      </c>
      <c r="E412">
        <f>VLOOKUP(tblTargetMedicos[[#This Row],[codigo_id]],[1]DIM_REPRESENTANTE_MEDICO!$C:$F,3,0)</f>
        <v>10</v>
      </c>
      <c r="F412" s="27" t="s">
        <v>5796</v>
      </c>
      <c r="G412" s="27" t="s">
        <v>5784</v>
      </c>
      <c r="H412" s="27" t="s">
        <v>96</v>
      </c>
      <c r="I412">
        <v>1</v>
      </c>
    </row>
    <row r="413" spans="1:9">
      <c r="A413" t="s">
        <v>828</v>
      </c>
      <c r="B413" s="27" t="s">
        <v>3219</v>
      </c>
      <c r="C413" s="27" t="s">
        <v>5765</v>
      </c>
      <c r="D413">
        <f>VLOOKUP(tblTargetMedicos[[#This Row],[codigo_id]],[1]DIM_REPRESENTANTE_MEDICO!$C:$F,4,0)</f>
        <v>4</v>
      </c>
      <c r="E413">
        <f>VLOOKUP(tblTargetMedicos[[#This Row],[codigo_id]],[1]DIM_REPRESENTANTE_MEDICO!$C:$F,3,0)</f>
        <v>10</v>
      </c>
      <c r="F413" s="27" t="s">
        <v>5796</v>
      </c>
      <c r="G413" s="27" t="s">
        <v>5782</v>
      </c>
      <c r="H413" s="27" t="s">
        <v>96</v>
      </c>
      <c r="I413">
        <v>1</v>
      </c>
    </row>
    <row r="414" spans="1:9">
      <c r="A414" t="s">
        <v>829</v>
      </c>
      <c r="B414" s="27" t="s">
        <v>3219</v>
      </c>
      <c r="C414" s="27" t="s">
        <v>5765</v>
      </c>
      <c r="D414">
        <f>VLOOKUP(tblTargetMedicos[[#This Row],[codigo_id]],[1]DIM_REPRESENTANTE_MEDICO!$C:$F,4,0)</f>
        <v>4</v>
      </c>
      <c r="E414">
        <f>VLOOKUP(tblTargetMedicos[[#This Row],[codigo_id]],[1]DIM_REPRESENTANTE_MEDICO!$C:$F,3,0)</f>
        <v>10</v>
      </c>
      <c r="F414" s="27" t="s">
        <v>5796</v>
      </c>
      <c r="G414" s="27" t="s">
        <v>5786</v>
      </c>
      <c r="H414" s="27" t="s">
        <v>97</v>
      </c>
      <c r="I414">
        <v>1</v>
      </c>
    </row>
    <row r="415" spans="1:9">
      <c r="A415" t="s">
        <v>830</v>
      </c>
      <c r="B415" s="27" t="s">
        <v>3219</v>
      </c>
      <c r="C415" s="27" t="s">
        <v>5765</v>
      </c>
      <c r="D415">
        <f>VLOOKUP(tblTargetMedicos[[#This Row],[codigo_id]],[1]DIM_REPRESENTANTE_MEDICO!$C:$F,4,0)</f>
        <v>4</v>
      </c>
      <c r="E415">
        <f>VLOOKUP(tblTargetMedicos[[#This Row],[codigo_id]],[1]DIM_REPRESENTANTE_MEDICO!$C:$F,3,0)</f>
        <v>10</v>
      </c>
      <c r="F415" s="27" t="s">
        <v>5796</v>
      </c>
      <c r="G415" s="27" t="s">
        <v>5782</v>
      </c>
      <c r="H415" s="27" t="s">
        <v>97</v>
      </c>
      <c r="I415">
        <v>1</v>
      </c>
    </row>
    <row r="416" spans="1:9">
      <c r="A416" t="s">
        <v>831</v>
      </c>
      <c r="B416" s="27" t="s">
        <v>3219</v>
      </c>
      <c r="C416" s="27" t="s">
        <v>5765</v>
      </c>
      <c r="D416">
        <f>VLOOKUP(tblTargetMedicos[[#This Row],[codigo_id]],[1]DIM_REPRESENTANTE_MEDICO!$C:$F,4,0)</f>
        <v>4</v>
      </c>
      <c r="E416">
        <f>VLOOKUP(tblTargetMedicos[[#This Row],[codigo_id]],[1]DIM_REPRESENTANTE_MEDICO!$C:$F,3,0)</f>
        <v>10</v>
      </c>
      <c r="F416" s="27" t="s">
        <v>5796</v>
      </c>
      <c r="G416" s="27" t="s">
        <v>5781</v>
      </c>
      <c r="H416" s="27" t="s">
        <v>97</v>
      </c>
      <c r="I416">
        <v>1</v>
      </c>
    </row>
    <row r="417" spans="1:9">
      <c r="A417" t="s">
        <v>832</v>
      </c>
      <c r="B417" s="27" t="s">
        <v>3220</v>
      </c>
      <c r="C417" s="27" t="s">
        <v>5766</v>
      </c>
      <c r="D417">
        <f>VLOOKUP(tblTargetMedicos[[#This Row],[codigo_id]],[1]DIM_REPRESENTANTE_MEDICO!$C:$F,4,0)</f>
        <v>8</v>
      </c>
      <c r="E417">
        <f>VLOOKUP(tblTargetMedicos[[#This Row],[codigo_id]],[1]DIM_REPRESENTANTE_MEDICO!$C:$F,3,0)</f>
        <v>9</v>
      </c>
      <c r="F417" s="27" t="s">
        <v>5796</v>
      </c>
      <c r="G417" s="27" t="s">
        <v>5783</v>
      </c>
      <c r="H417" s="27" t="s">
        <v>96</v>
      </c>
      <c r="I417">
        <v>1</v>
      </c>
    </row>
    <row r="418" spans="1:9">
      <c r="A418" t="s">
        <v>833</v>
      </c>
      <c r="B418" s="27" t="s">
        <v>3220</v>
      </c>
      <c r="C418" s="27" t="s">
        <v>5766</v>
      </c>
      <c r="D418">
        <f>VLOOKUP(tblTargetMedicos[[#This Row],[codigo_id]],[1]DIM_REPRESENTANTE_MEDICO!$C:$F,4,0)</f>
        <v>8</v>
      </c>
      <c r="E418">
        <f>VLOOKUP(tblTargetMedicos[[#This Row],[codigo_id]],[1]DIM_REPRESENTANTE_MEDICO!$C:$F,3,0)</f>
        <v>9</v>
      </c>
      <c r="F418" s="27" t="s">
        <v>5796</v>
      </c>
      <c r="G418" s="27" t="s">
        <v>5783</v>
      </c>
      <c r="H418" s="27" t="s">
        <v>96</v>
      </c>
      <c r="I418">
        <v>1</v>
      </c>
    </row>
    <row r="419" spans="1:9">
      <c r="A419" t="s">
        <v>834</v>
      </c>
      <c r="B419" s="27" t="s">
        <v>3220</v>
      </c>
      <c r="C419" s="27" t="s">
        <v>5766</v>
      </c>
      <c r="D419">
        <f>VLOOKUP(tblTargetMedicos[[#This Row],[codigo_id]],[1]DIM_REPRESENTANTE_MEDICO!$C:$F,4,0)</f>
        <v>8</v>
      </c>
      <c r="E419">
        <f>VLOOKUP(tblTargetMedicos[[#This Row],[codigo_id]],[1]DIM_REPRESENTANTE_MEDICO!$C:$F,3,0)</f>
        <v>9</v>
      </c>
      <c r="F419" s="27" t="s">
        <v>5796</v>
      </c>
      <c r="G419" s="27" t="s">
        <v>5784</v>
      </c>
      <c r="H419" s="27" t="s">
        <v>97</v>
      </c>
      <c r="I419">
        <v>1</v>
      </c>
    </row>
    <row r="420" spans="1:9">
      <c r="A420" t="s">
        <v>835</v>
      </c>
      <c r="B420" s="27" t="s">
        <v>3220</v>
      </c>
      <c r="C420" s="27" t="s">
        <v>5766</v>
      </c>
      <c r="D420">
        <f>VLOOKUP(tblTargetMedicos[[#This Row],[codigo_id]],[1]DIM_REPRESENTANTE_MEDICO!$C:$F,4,0)</f>
        <v>8</v>
      </c>
      <c r="E420">
        <f>VLOOKUP(tblTargetMedicos[[#This Row],[codigo_id]],[1]DIM_REPRESENTANTE_MEDICO!$C:$F,3,0)</f>
        <v>9</v>
      </c>
      <c r="F420" s="27" t="s">
        <v>5796</v>
      </c>
      <c r="G420" s="27" t="s">
        <v>5785</v>
      </c>
      <c r="H420" s="27" t="s">
        <v>96</v>
      </c>
      <c r="I420">
        <v>1</v>
      </c>
    </row>
    <row r="421" spans="1:9">
      <c r="A421" t="s">
        <v>836</v>
      </c>
      <c r="B421" s="27" t="s">
        <v>3220</v>
      </c>
      <c r="C421" s="27" t="s">
        <v>5766</v>
      </c>
      <c r="D421">
        <f>VLOOKUP(tblTargetMedicos[[#This Row],[codigo_id]],[1]DIM_REPRESENTANTE_MEDICO!$C:$F,4,0)</f>
        <v>8</v>
      </c>
      <c r="E421">
        <f>VLOOKUP(tblTargetMedicos[[#This Row],[codigo_id]],[1]DIM_REPRESENTANTE_MEDICO!$C:$F,3,0)</f>
        <v>9</v>
      </c>
      <c r="F421" s="27" t="s">
        <v>5796</v>
      </c>
      <c r="G421" s="27" t="s">
        <v>5783</v>
      </c>
      <c r="H421" s="27" t="s">
        <v>96</v>
      </c>
      <c r="I421">
        <v>1</v>
      </c>
    </row>
    <row r="422" spans="1:9">
      <c r="A422" t="s">
        <v>837</v>
      </c>
      <c r="B422" s="27" t="s">
        <v>3220</v>
      </c>
      <c r="C422" s="27" t="s">
        <v>5766</v>
      </c>
      <c r="D422">
        <f>VLOOKUP(tblTargetMedicos[[#This Row],[codigo_id]],[1]DIM_REPRESENTANTE_MEDICO!$C:$F,4,0)</f>
        <v>8</v>
      </c>
      <c r="E422">
        <f>VLOOKUP(tblTargetMedicos[[#This Row],[codigo_id]],[1]DIM_REPRESENTANTE_MEDICO!$C:$F,3,0)</f>
        <v>9</v>
      </c>
      <c r="F422" s="27" t="s">
        <v>5796</v>
      </c>
      <c r="G422" s="27" t="s">
        <v>5780</v>
      </c>
      <c r="H422" s="27" t="s">
        <v>97</v>
      </c>
      <c r="I422">
        <v>1</v>
      </c>
    </row>
    <row r="423" spans="1:9">
      <c r="A423" t="s">
        <v>838</v>
      </c>
      <c r="B423" s="27" t="s">
        <v>3220</v>
      </c>
      <c r="C423" s="27" t="s">
        <v>5766</v>
      </c>
      <c r="D423">
        <f>VLOOKUP(tblTargetMedicos[[#This Row],[codigo_id]],[1]DIM_REPRESENTANTE_MEDICO!$C:$F,4,0)</f>
        <v>8</v>
      </c>
      <c r="E423">
        <f>VLOOKUP(tblTargetMedicos[[#This Row],[codigo_id]],[1]DIM_REPRESENTANTE_MEDICO!$C:$F,3,0)</f>
        <v>9</v>
      </c>
      <c r="F423" s="27" t="s">
        <v>5796</v>
      </c>
      <c r="G423" s="27" t="s">
        <v>5786</v>
      </c>
      <c r="H423" s="27" t="s">
        <v>97</v>
      </c>
      <c r="I423">
        <v>1</v>
      </c>
    </row>
    <row r="424" spans="1:9">
      <c r="A424" t="s">
        <v>839</v>
      </c>
      <c r="B424" s="27" t="s">
        <v>3220</v>
      </c>
      <c r="C424" s="27" t="s">
        <v>5766</v>
      </c>
      <c r="D424">
        <f>VLOOKUP(tblTargetMedicos[[#This Row],[codigo_id]],[1]DIM_REPRESENTANTE_MEDICO!$C:$F,4,0)</f>
        <v>8</v>
      </c>
      <c r="E424">
        <f>VLOOKUP(tblTargetMedicos[[#This Row],[codigo_id]],[1]DIM_REPRESENTANTE_MEDICO!$C:$F,3,0)</f>
        <v>9</v>
      </c>
      <c r="F424" s="27" t="s">
        <v>5796</v>
      </c>
      <c r="G424" s="27" t="s">
        <v>5783</v>
      </c>
      <c r="H424" s="27" t="s">
        <v>97</v>
      </c>
      <c r="I424">
        <v>1</v>
      </c>
    </row>
    <row r="425" spans="1:9">
      <c r="A425" t="s">
        <v>840</v>
      </c>
      <c r="B425" s="27" t="s">
        <v>3220</v>
      </c>
      <c r="C425" s="27" t="s">
        <v>5766</v>
      </c>
      <c r="D425">
        <f>VLOOKUP(tblTargetMedicos[[#This Row],[codigo_id]],[1]DIM_REPRESENTANTE_MEDICO!$C:$F,4,0)</f>
        <v>8</v>
      </c>
      <c r="E425">
        <f>VLOOKUP(tblTargetMedicos[[#This Row],[codigo_id]],[1]DIM_REPRESENTANTE_MEDICO!$C:$F,3,0)</f>
        <v>9</v>
      </c>
      <c r="F425" s="27" t="s">
        <v>5796</v>
      </c>
      <c r="G425" s="27" t="s">
        <v>5784</v>
      </c>
      <c r="H425" s="27" t="s">
        <v>96</v>
      </c>
      <c r="I425">
        <v>1</v>
      </c>
    </row>
    <row r="426" spans="1:9">
      <c r="A426" t="s">
        <v>841</v>
      </c>
      <c r="B426" s="27" t="s">
        <v>3220</v>
      </c>
      <c r="C426" s="27" t="s">
        <v>5766</v>
      </c>
      <c r="D426">
        <f>VLOOKUP(tblTargetMedicos[[#This Row],[codigo_id]],[1]DIM_REPRESENTANTE_MEDICO!$C:$F,4,0)</f>
        <v>8</v>
      </c>
      <c r="E426">
        <f>VLOOKUP(tblTargetMedicos[[#This Row],[codigo_id]],[1]DIM_REPRESENTANTE_MEDICO!$C:$F,3,0)</f>
        <v>9</v>
      </c>
      <c r="F426" s="27" t="s">
        <v>5796</v>
      </c>
      <c r="G426" s="27" t="s">
        <v>5783</v>
      </c>
      <c r="H426" s="27" t="s">
        <v>97</v>
      </c>
      <c r="I426">
        <v>1</v>
      </c>
    </row>
    <row r="427" spans="1:9">
      <c r="A427" t="s">
        <v>842</v>
      </c>
      <c r="B427" s="27" t="s">
        <v>3220</v>
      </c>
      <c r="C427" s="27" t="s">
        <v>5766</v>
      </c>
      <c r="D427">
        <f>VLOOKUP(tblTargetMedicos[[#This Row],[codigo_id]],[1]DIM_REPRESENTANTE_MEDICO!$C:$F,4,0)</f>
        <v>8</v>
      </c>
      <c r="E427">
        <f>VLOOKUP(tblTargetMedicos[[#This Row],[codigo_id]],[1]DIM_REPRESENTANTE_MEDICO!$C:$F,3,0)</f>
        <v>9</v>
      </c>
      <c r="F427" s="27" t="s">
        <v>5796</v>
      </c>
      <c r="G427" s="27" t="s">
        <v>5783</v>
      </c>
      <c r="H427" s="27" t="s">
        <v>97</v>
      </c>
      <c r="I427">
        <v>1</v>
      </c>
    </row>
    <row r="428" spans="1:9">
      <c r="A428" t="s">
        <v>843</v>
      </c>
      <c r="B428" s="27" t="s">
        <v>3220</v>
      </c>
      <c r="C428" s="27" t="s">
        <v>5766</v>
      </c>
      <c r="D428">
        <f>VLOOKUP(tblTargetMedicos[[#This Row],[codigo_id]],[1]DIM_REPRESENTANTE_MEDICO!$C:$F,4,0)</f>
        <v>8</v>
      </c>
      <c r="E428">
        <f>VLOOKUP(tblTargetMedicos[[#This Row],[codigo_id]],[1]DIM_REPRESENTANTE_MEDICO!$C:$F,3,0)</f>
        <v>9</v>
      </c>
      <c r="F428" s="27" t="s">
        <v>5796</v>
      </c>
      <c r="G428" s="27" t="s">
        <v>5782</v>
      </c>
      <c r="H428" s="27" t="s">
        <v>97</v>
      </c>
      <c r="I428">
        <v>1</v>
      </c>
    </row>
    <row r="429" spans="1:9">
      <c r="A429" t="s">
        <v>844</v>
      </c>
      <c r="B429" s="27" t="s">
        <v>3220</v>
      </c>
      <c r="C429" s="27" t="s">
        <v>5766</v>
      </c>
      <c r="D429">
        <f>VLOOKUP(tblTargetMedicos[[#This Row],[codigo_id]],[1]DIM_REPRESENTANTE_MEDICO!$C:$F,4,0)</f>
        <v>8</v>
      </c>
      <c r="E429">
        <f>VLOOKUP(tblTargetMedicos[[#This Row],[codigo_id]],[1]DIM_REPRESENTANTE_MEDICO!$C:$F,3,0)</f>
        <v>9</v>
      </c>
      <c r="F429" s="27" t="s">
        <v>5796</v>
      </c>
      <c r="G429" s="27" t="s">
        <v>5784</v>
      </c>
      <c r="H429" s="27" t="s">
        <v>97</v>
      </c>
      <c r="I429">
        <v>1</v>
      </c>
    </row>
    <row r="430" spans="1:9">
      <c r="A430" t="s">
        <v>845</v>
      </c>
      <c r="B430" s="27" t="s">
        <v>3220</v>
      </c>
      <c r="C430" s="27" t="s">
        <v>5766</v>
      </c>
      <c r="D430">
        <f>VLOOKUP(tblTargetMedicos[[#This Row],[codigo_id]],[1]DIM_REPRESENTANTE_MEDICO!$C:$F,4,0)</f>
        <v>8</v>
      </c>
      <c r="E430">
        <f>VLOOKUP(tblTargetMedicos[[#This Row],[codigo_id]],[1]DIM_REPRESENTANTE_MEDICO!$C:$F,3,0)</f>
        <v>9</v>
      </c>
      <c r="F430" s="27" t="s">
        <v>5796</v>
      </c>
      <c r="G430" s="27" t="s">
        <v>5783</v>
      </c>
      <c r="H430" s="27" t="s">
        <v>97</v>
      </c>
      <c r="I430">
        <v>1</v>
      </c>
    </row>
    <row r="431" spans="1:9">
      <c r="A431" t="s">
        <v>846</v>
      </c>
      <c r="B431" s="27" t="s">
        <v>3220</v>
      </c>
      <c r="C431" s="27" t="s">
        <v>5766</v>
      </c>
      <c r="D431">
        <f>VLOOKUP(tblTargetMedicos[[#This Row],[codigo_id]],[1]DIM_REPRESENTANTE_MEDICO!$C:$F,4,0)</f>
        <v>8</v>
      </c>
      <c r="E431">
        <f>VLOOKUP(tblTargetMedicos[[#This Row],[codigo_id]],[1]DIM_REPRESENTANTE_MEDICO!$C:$F,3,0)</f>
        <v>9</v>
      </c>
      <c r="F431" s="27" t="s">
        <v>5796</v>
      </c>
      <c r="G431" s="27" t="s">
        <v>5782</v>
      </c>
      <c r="H431" s="27" t="s">
        <v>5793</v>
      </c>
      <c r="I431">
        <v>1</v>
      </c>
    </row>
    <row r="432" spans="1:9">
      <c r="A432" t="s">
        <v>847</v>
      </c>
      <c r="B432" s="27" t="s">
        <v>3220</v>
      </c>
      <c r="C432" s="27" t="s">
        <v>5766</v>
      </c>
      <c r="D432">
        <f>VLOOKUP(tblTargetMedicos[[#This Row],[codigo_id]],[1]DIM_REPRESENTANTE_MEDICO!$C:$F,4,0)</f>
        <v>8</v>
      </c>
      <c r="E432">
        <f>VLOOKUP(tblTargetMedicos[[#This Row],[codigo_id]],[1]DIM_REPRESENTANTE_MEDICO!$C:$F,3,0)</f>
        <v>9</v>
      </c>
      <c r="F432" s="27" t="s">
        <v>5796</v>
      </c>
      <c r="G432" s="27" t="s">
        <v>5784</v>
      </c>
      <c r="H432" s="27" t="s">
        <v>96</v>
      </c>
      <c r="I432">
        <v>1</v>
      </c>
    </row>
    <row r="433" spans="1:9">
      <c r="A433" t="s">
        <v>848</v>
      </c>
      <c r="B433" s="27" t="s">
        <v>3220</v>
      </c>
      <c r="C433" s="27" t="s">
        <v>5766</v>
      </c>
      <c r="D433">
        <f>VLOOKUP(tblTargetMedicos[[#This Row],[codigo_id]],[1]DIM_REPRESENTANTE_MEDICO!$C:$F,4,0)</f>
        <v>8</v>
      </c>
      <c r="E433">
        <f>VLOOKUP(tblTargetMedicos[[#This Row],[codigo_id]],[1]DIM_REPRESENTANTE_MEDICO!$C:$F,3,0)</f>
        <v>9</v>
      </c>
      <c r="F433" s="27" t="s">
        <v>5796</v>
      </c>
      <c r="G433" s="27" t="s">
        <v>5782</v>
      </c>
      <c r="H433" s="27" t="s">
        <v>96</v>
      </c>
      <c r="I433">
        <v>1</v>
      </c>
    </row>
    <row r="434" spans="1:9">
      <c r="A434" t="s">
        <v>849</v>
      </c>
      <c r="B434" s="27" t="s">
        <v>3220</v>
      </c>
      <c r="C434" s="27" t="s">
        <v>5766</v>
      </c>
      <c r="D434">
        <f>VLOOKUP(tblTargetMedicos[[#This Row],[codigo_id]],[1]DIM_REPRESENTANTE_MEDICO!$C:$F,4,0)</f>
        <v>8</v>
      </c>
      <c r="E434">
        <f>VLOOKUP(tblTargetMedicos[[#This Row],[codigo_id]],[1]DIM_REPRESENTANTE_MEDICO!$C:$F,3,0)</f>
        <v>9</v>
      </c>
      <c r="F434" s="27" t="s">
        <v>5796</v>
      </c>
      <c r="G434" s="27" t="s">
        <v>5786</v>
      </c>
      <c r="H434" s="27" t="s">
        <v>97</v>
      </c>
      <c r="I434">
        <v>1</v>
      </c>
    </row>
    <row r="435" spans="1:9">
      <c r="A435" t="s">
        <v>850</v>
      </c>
      <c r="B435" s="27" t="s">
        <v>3220</v>
      </c>
      <c r="C435" s="27" t="s">
        <v>5766</v>
      </c>
      <c r="D435">
        <f>VLOOKUP(tblTargetMedicos[[#This Row],[codigo_id]],[1]DIM_REPRESENTANTE_MEDICO!$C:$F,4,0)</f>
        <v>8</v>
      </c>
      <c r="E435">
        <f>VLOOKUP(tblTargetMedicos[[#This Row],[codigo_id]],[1]DIM_REPRESENTANTE_MEDICO!$C:$F,3,0)</f>
        <v>9</v>
      </c>
      <c r="F435" s="27" t="s">
        <v>5796</v>
      </c>
      <c r="G435" s="27" t="s">
        <v>5786</v>
      </c>
      <c r="H435" s="27" t="s">
        <v>96</v>
      </c>
      <c r="I435">
        <v>1</v>
      </c>
    </row>
    <row r="436" spans="1:9">
      <c r="A436" t="s">
        <v>851</v>
      </c>
      <c r="B436" s="27" t="s">
        <v>3220</v>
      </c>
      <c r="C436" s="27" t="s">
        <v>5766</v>
      </c>
      <c r="D436">
        <f>VLOOKUP(tblTargetMedicos[[#This Row],[codigo_id]],[1]DIM_REPRESENTANTE_MEDICO!$C:$F,4,0)</f>
        <v>8</v>
      </c>
      <c r="E436">
        <f>VLOOKUP(tblTargetMedicos[[#This Row],[codigo_id]],[1]DIM_REPRESENTANTE_MEDICO!$C:$F,3,0)</f>
        <v>9</v>
      </c>
      <c r="F436" s="27" t="s">
        <v>5796</v>
      </c>
      <c r="G436" s="27" t="s">
        <v>5783</v>
      </c>
      <c r="H436" s="27" t="s">
        <v>96</v>
      </c>
      <c r="I436">
        <v>1</v>
      </c>
    </row>
    <row r="437" spans="1:9">
      <c r="A437" t="s">
        <v>852</v>
      </c>
      <c r="B437" s="27" t="s">
        <v>3220</v>
      </c>
      <c r="C437" s="27" t="s">
        <v>5766</v>
      </c>
      <c r="D437">
        <f>VLOOKUP(tblTargetMedicos[[#This Row],[codigo_id]],[1]DIM_REPRESENTANTE_MEDICO!$C:$F,4,0)</f>
        <v>8</v>
      </c>
      <c r="E437">
        <f>VLOOKUP(tblTargetMedicos[[#This Row],[codigo_id]],[1]DIM_REPRESENTANTE_MEDICO!$C:$F,3,0)</f>
        <v>9</v>
      </c>
      <c r="F437" s="27" t="s">
        <v>5796</v>
      </c>
      <c r="G437" s="27" t="s">
        <v>5783</v>
      </c>
      <c r="H437" s="27" t="s">
        <v>97</v>
      </c>
      <c r="I437">
        <v>1</v>
      </c>
    </row>
    <row r="438" spans="1:9">
      <c r="A438" t="s">
        <v>853</v>
      </c>
      <c r="B438" s="27" t="s">
        <v>3220</v>
      </c>
      <c r="C438" s="27" t="s">
        <v>5766</v>
      </c>
      <c r="D438">
        <f>VLOOKUP(tblTargetMedicos[[#This Row],[codigo_id]],[1]DIM_REPRESENTANTE_MEDICO!$C:$F,4,0)</f>
        <v>8</v>
      </c>
      <c r="E438">
        <f>VLOOKUP(tblTargetMedicos[[#This Row],[codigo_id]],[1]DIM_REPRESENTANTE_MEDICO!$C:$F,3,0)</f>
        <v>9</v>
      </c>
      <c r="F438" s="27" t="s">
        <v>5796</v>
      </c>
      <c r="G438" s="27" t="s">
        <v>5786</v>
      </c>
      <c r="H438" s="27" t="s">
        <v>97</v>
      </c>
      <c r="I438">
        <v>1</v>
      </c>
    </row>
    <row r="439" spans="1:9">
      <c r="A439" t="s">
        <v>854</v>
      </c>
      <c r="B439" s="27" t="s">
        <v>3220</v>
      </c>
      <c r="C439" s="27" t="s">
        <v>5766</v>
      </c>
      <c r="D439">
        <f>VLOOKUP(tblTargetMedicos[[#This Row],[codigo_id]],[1]DIM_REPRESENTANTE_MEDICO!$C:$F,4,0)</f>
        <v>8</v>
      </c>
      <c r="E439">
        <f>VLOOKUP(tblTargetMedicos[[#This Row],[codigo_id]],[1]DIM_REPRESENTANTE_MEDICO!$C:$F,3,0)</f>
        <v>9</v>
      </c>
      <c r="F439" s="27" t="s">
        <v>5796</v>
      </c>
      <c r="G439" s="27" t="s">
        <v>5782</v>
      </c>
      <c r="H439" s="27" t="s">
        <v>97</v>
      </c>
      <c r="I439">
        <v>1</v>
      </c>
    </row>
    <row r="440" spans="1:9">
      <c r="A440" t="s">
        <v>855</v>
      </c>
      <c r="B440" s="27" t="s">
        <v>3220</v>
      </c>
      <c r="C440" s="27" t="s">
        <v>5766</v>
      </c>
      <c r="D440">
        <f>VLOOKUP(tblTargetMedicos[[#This Row],[codigo_id]],[1]DIM_REPRESENTANTE_MEDICO!$C:$F,4,0)</f>
        <v>8</v>
      </c>
      <c r="E440">
        <f>VLOOKUP(tblTargetMedicos[[#This Row],[codigo_id]],[1]DIM_REPRESENTANTE_MEDICO!$C:$F,3,0)</f>
        <v>9</v>
      </c>
      <c r="F440" s="27" t="s">
        <v>5796</v>
      </c>
      <c r="G440" s="27" t="s">
        <v>5783</v>
      </c>
      <c r="H440" s="27" t="s">
        <v>5793</v>
      </c>
      <c r="I440">
        <v>1</v>
      </c>
    </row>
    <row r="441" spans="1:9">
      <c r="A441" t="s">
        <v>856</v>
      </c>
      <c r="B441" s="27" t="s">
        <v>3220</v>
      </c>
      <c r="C441" s="27" t="s">
        <v>5766</v>
      </c>
      <c r="D441">
        <f>VLOOKUP(tblTargetMedicos[[#This Row],[codigo_id]],[1]DIM_REPRESENTANTE_MEDICO!$C:$F,4,0)</f>
        <v>8</v>
      </c>
      <c r="E441">
        <f>VLOOKUP(tblTargetMedicos[[#This Row],[codigo_id]],[1]DIM_REPRESENTANTE_MEDICO!$C:$F,3,0)</f>
        <v>9</v>
      </c>
      <c r="F441" s="27" t="s">
        <v>5796</v>
      </c>
      <c r="G441" s="27" t="s">
        <v>5782</v>
      </c>
      <c r="H441" s="27" t="s">
        <v>96</v>
      </c>
      <c r="I441">
        <v>1</v>
      </c>
    </row>
    <row r="442" spans="1:9">
      <c r="A442" t="s">
        <v>857</v>
      </c>
      <c r="B442" s="27" t="s">
        <v>3220</v>
      </c>
      <c r="C442" s="27" t="s">
        <v>5766</v>
      </c>
      <c r="D442">
        <f>VLOOKUP(tblTargetMedicos[[#This Row],[codigo_id]],[1]DIM_REPRESENTANTE_MEDICO!$C:$F,4,0)</f>
        <v>8</v>
      </c>
      <c r="E442">
        <f>VLOOKUP(tblTargetMedicos[[#This Row],[codigo_id]],[1]DIM_REPRESENTANTE_MEDICO!$C:$F,3,0)</f>
        <v>9</v>
      </c>
      <c r="F442" s="27" t="s">
        <v>5796</v>
      </c>
      <c r="G442" s="27" t="s">
        <v>5784</v>
      </c>
      <c r="H442" s="27" t="s">
        <v>97</v>
      </c>
      <c r="I442">
        <v>1</v>
      </c>
    </row>
    <row r="443" spans="1:9">
      <c r="A443" t="s">
        <v>858</v>
      </c>
      <c r="B443" s="27" t="s">
        <v>3220</v>
      </c>
      <c r="C443" s="27" t="s">
        <v>5766</v>
      </c>
      <c r="D443">
        <f>VLOOKUP(tblTargetMedicos[[#This Row],[codigo_id]],[1]DIM_REPRESENTANTE_MEDICO!$C:$F,4,0)</f>
        <v>8</v>
      </c>
      <c r="E443">
        <f>VLOOKUP(tblTargetMedicos[[#This Row],[codigo_id]],[1]DIM_REPRESENTANTE_MEDICO!$C:$F,3,0)</f>
        <v>9</v>
      </c>
      <c r="F443" s="27" t="s">
        <v>5796</v>
      </c>
      <c r="G443" s="27" t="s">
        <v>5784</v>
      </c>
      <c r="H443" s="27" t="s">
        <v>96</v>
      </c>
      <c r="I443">
        <v>1</v>
      </c>
    </row>
    <row r="444" spans="1:9">
      <c r="A444" t="s">
        <v>859</v>
      </c>
      <c r="B444" s="27" t="s">
        <v>3220</v>
      </c>
      <c r="C444" s="27" t="s">
        <v>5766</v>
      </c>
      <c r="D444">
        <f>VLOOKUP(tblTargetMedicos[[#This Row],[codigo_id]],[1]DIM_REPRESENTANTE_MEDICO!$C:$F,4,0)</f>
        <v>8</v>
      </c>
      <c r="E444">
        <f>VLOOKUP(tblTargetMedicos[[#This Row],[codigo_id]],[1]DIM_REPRESENTANTE_MEDICO!$C:$F,3,0)</f>
        <v>9</v>
      </c>
      <c r="F444" s="27" t="s">
        <v>5796</v>
      </c>
      <c r="G444" s="27" t="s">
        <v>5784</v>
      </c>
      <c r="H444" s="27" t="s">
        <v>97</v>
      </c>
      <c r="I444">
        <v>1</v>
      </c>
    </row>
    <row r="445" spans="1:9">
      <c r="A445" t="s">
        <v>860</v>
      </c>
      <c r="B445" s="27" t="s">
        <v>3220</v>
      </c>
      <c r="C445" s="27" t="s">
        <v>5766</v>
      </c>
      <c r="D445">
        <f>VLOOKUP(tblTargetMedicos[[#This Row],[codigo_id]],[1]DIM_REPRESENTANTE_MEDICO!$C:$F,4,0)</f>
        <v>8</v>
      </c>
      <c r="E445">
        <f>VLOOKUP(tblTargetMedicos[[#This Row],[codigo_id]],[1]DIM_REPRESENTANTE_MEDICO!$C:$F,3,0)</f>
        <v>9</v>
      </c>
      <c r="F445" s="27" t="s">
        <v>5796</v>
      </c>
      <c r="G445" s="27" t="s">
        <v>5783</v>
      </c>
      <c r="H445" s="27" t="s">
        <v>5793</v>
      </c>
      <c r="I445">
        <v>1</v>
      </c>
    </row>
    <row r="446" spans="1:9">
      <c r="A446" t="s">
        <v>861</v>
      </c>
      <c r="B446" s="27" t="s">
        <v>3220</v>
      </c>
      <c r="C446" s="27" t="s">
        <v>5766</v>
      </c>
      <c r="D446">
        <f>VLOOKUP(tblTargetMedicos[[#This Row],[codigo_id]],[1]DIM_REPRESENTANTE_MEDICO!$C:$F,4,0)</f>
        <v>8</v>
      </c>
      <c r="E446">
        <f>VLOOKUP(tblTargetMedicos[[#This Row],[codigo_id]],[1]DIM_REPRESENTANTE_MEDICO!$C:$F,3,0)</f>
        <v>9</v>
      </c>
      <c r="F446" s="27" t="s">
        <v>5796</v>
      </c>
      <c r="G446" s="27" t="s">
        <v>5783</v>
      </c>
      <c r="H446" s="27" t="s">
        <v>5793</v>
      </c>
      <c r="I446">
        <v>1</v>
      </c>
    </row>
    <row r="447" spans="1:9">
      <c r="A447" t="s">
        <v>862</v>
      </c>
      <c r="B447" s="27" t="s">
        <v>3220</v>
      </c>
      <c r="C447" s="27" t="s">
        <v>5766</v>
      </c>
      <c r="D447">
        <f>VLOOKUP(tblTargetMedicos[[#This Row],[codigo_id]],[1]DIM_REPRESENTANTE_MEDICO!$C:$F,4,0)</f>
        <v>8</v>
      </c>
      <c r="E447">
        <f>VLOOKUP(tblTargetMedicos[[#This Row],[codigo_id]],[1]DIM_REPRESENTANTE_MEDICO!$C:$F,3,0)</f>
        <v>9</v>
      </c>
      <c r="F447" s="27" t="s">
        <v>5796</v>
      </c>
      <c r="G447" s="27" t="s">
        <v>5784</v>
      </c>
      <c r="H447" s="27" t="s">
        <v>96</v>
      </c>
      <c r="I447">
        <v>1</v>
      </c>
    </row>
    <row r="448" spans="1:9">
      <c r="A448" t="s">
        <v>863</v>
      </c>
      <c r="B448" s="27" t="s">
        <v>3220</v>
      </c>
      <c r="C448" s="27" t="s">
        <v>5766</v>
      </c>
      <c r="D448">
        <f>VLOOKUP(tblTargetMedicos[[#This Row],[codigo_id]],[1]DIM_REPRESENTANTE_MEDICO!$C:$F,4,0)</f>
        <v>8</v>
      </c>
      <c r="E448">
        <f>VLOOKUP(tblTargetMedicos[[#This Row],[codigo_id]],[1]DIM_REPRESENTANTE_MEDICO!$C:$F,3,0)</f>
        <v>9</v>
      </c>
      <c r="F448" s="27" t="s">
        <v>5796</v>
      </c>
      <c r="G448" s="27" t="s">
        <v>5784</v>
      </c>
      <c r="H448" s="27" t="s">
        <v>97</v>
      </c>
      <c r="I448">
        <v>1</v>
      </c>
    </row>
    <row r="449" spans="1:9">
      <c r="A449" t="s">
        <v>864</v>
      </c>
      <c r="B449" s="27" t="s">
        <v>3220</v>
      </c>
      <c r="C449" s="27" t="s">
        <v>5766</v>
      </c>
      <c r="D449">
        <f>VLOOKUP(tblTargetMedicos[[#This Row],[codigo_id]],[1]DIM_REPRESENTANTE_MEDICO!$C:$F,4,0)</f>
        <v>8</v>
      </c>
      <c r="E449">
        <f>VLOOKUP(tblTargetMedicos[[#This Row],[codigo_id]],[1]DIM_REPRESENTANTE_MEDICO!$C:$F,3,0)</f>
        <v>9</v>
      </c>
      <c r="F449" s="27" t="s">
        <v>5796</v>
      </c>
      <c r="G449" s="27" t="s">
        <v>5784</v>
      </c>
      <c r="H449" s="27" t="s">
        <v>96</v>
      </c>
      <c r="I449">
        <v>1</v>
      </c>
    </row>
    <row r="450" spans="1:9">
      <c r="A450" t="s">
        <v>865</v>
      </c>
      <c r="B450" s="27" t="s">
        <v>3220</v>
      </c>
      <c r="C450" s="27" t="s">
        <v>5766</v>
      </c>
      <c r="D450">
        <f>VLOOKUP(tblTargetMedicos[[#This Row],[codigo_id]],[1]DIM_REPRESENTANTE_MEDICO!$C:$F,4,0)</f>
        <v>8</v>
      </c>
      <c r="E450">
        <f>VLOOKUP(tblTargetMedicos[[#This Row],[codigo_id]],[1]DIM_REPRESENTANTE_MEDICO!$C:$F,3,0)</f>
        <v>9</v>
      </c>
      <c r="F450" s="27" t="s">
        <v>5796</v>
      </c>
      <c r="G450" s="27" t="s">
        <v>5782</v>
      </c>
      <c r="H450" s="27" t="s">
        <v>97</v>
      </c>
      <c r="I450">
        <v>1</v>
      </c>
    </row>
    <row r="451" spans="1:9">
      <c r="A451" t="s">
        <v>866</v>
      </c>
      <c r="B451" s="27" t="s">
        <v>3220</v>
      </c>
      <c r="C451" s="27" t="s">
        <v>5766</v>
      </c>
      <c r="D451">
        <f>VLOOKUP(tblTargetMedicos[[#This Row],[codigo_id]],[1]DIM_REPRESENTANTE_MEDICO!$C:$F,4,0)</f>
        <v>8</v>
      </c>
      <c r="E451">
        <f>VLOOKUP(tblTargetMedicos[[#This Row],[codigo_id]],[1]DIM_REPRESENTANTE_MEDICO!$C:$F,3,0)</f>
        <v>9</v>
      </c>
      <c r="F451" s="27" t="s">
        <v>5796</v>
      </c>
      <c r="G451" s="27" t="s">
        <v>5781</v>
      </c>
      <c r="H451" s="27" t="s">
        <v>96</v>
      </c>
      <c r="I451">
        <v>1</v>
      </c>
    </row>
    <row r="452" spans="1:9">
      <c r="A452" t="s">
        <v>867</v>
      </c>
      <c r="B452" s="27" t="s">
        <v>3220</v>
      </c>
      <c r="C452" s="27" t="s">
        <v>5766</v>
      </c>
      <c r="D452">
        <f>VLOOKUP(tblTargetMedicos[[#This Row],[codigo_id]],[1]DIM_REPRESENTANTE_MEDICO!$C:$F,4,0)</f>
        <v>8</v>
      </c>
      <c r="E452">
        <f>VLOOKUP(tblTargetMedicos[[#This Row],[codigo_id]],[1]DIM_REPRESENTANTE_MEDICO!$C:$F,3,0)</f>
        <v>9</v>
      </c>
      <c r="F452" s="27" t="s">
        <v>5796</v>
      </c>
      <c r="G452" s="27" t="s">
        <v>5784</v>
      </c>
      <c r="H452" s="27" t="s">
        <v>97</v>
      </c>
      <c r="I452">
        <v>1</v>
      </c>
    </row>
    <row r="453" spans="1:9">
      <c r="A453" t="s">
        <v>868</v>
      </c>
      <c r="B453" s="27" t="s">
        <v>3220</v>
      </c>
      <c r="C453" s="27" t="s">
        <v>5766</v>
      </c>
      <c r="D453">
        <f>VLOOKUP(tblTargetMedicos[[#This Row],[codigo_id]],[1]DIM_REPRESENTANTE_MEDICO!$C:$F,4,0)</f>
        <v>8</v>
      </c>
      <c r="E453">
        <f>VLOOKUP(tblTargetMedicos[[#This Row],[codigo_id]],[1]DIM_REPRESENTANTE_MEDICO!$C:$F,3,0)</f>
        <v>9</v>
      </c>
      <c r="F453" s="27" t="s">
        <v>5796</v>
      </c>
      <c r="G453" s="27" t="s">
        <v>5785</v>
      </c>
      <c r="H453" s="27" t="s">
        <v>97</v>
      </c>
      <c r="I453">
        <v>1</v>
      </c>
    </row>
    <row r="454" spans="1:9">
      <c r="A454" t="s">
        <v>869</v>
      </c>
      <c r="B454" s="27" t="s">
        <v>3220</v>
      </c>
      <c r="C454" s="27" t="s">
        <v>5766</v>
      </c>
      <c r="D454">
        <f>VLOOKUP(tblTargetMedicos[[#This Row],[codigo_id]],[1]DIM_REPRESENTANTE_MEDICO!$C:$F,4,0)</f>
        <v>8</v>
      </c>
      <c r="E454">
        <f>VLOOKUP(tblTargetMedicos[[#This Row],[codigo_id]],[1]DIM_REPRESENTANTE_MEDICO!$C:$F,3,0)</f>
        <v>9</v>
      </c>
      <c r="F454" s="27" t="s">
        <v>5796</v>
      </c>
      <c r="G454" s="27" t="s">
        <v>5784</v>
      </c>
      <c r="H454" s="27" t="s">
        <v>97</v>
      </c>
      <c r="I454">
        <v>1</v>
      </c>
    </row>
    <row r="455" spans="1:9">
      <c r="A455" t="s">
        <v>870</v>
      </c>
      <c r="B455" s="27" t="s">
        <v>3220</v>
      </c>
      <c r="C455" s="27" t="s">
        <v>5766</v>
      </c>
      <c r="D455">
        <f>VLOOKUP(tblTargetMedicos[[#This Row],[codigo_id]],[1]DIM_REPRESENTANTE_MEDICO!$C:$F,4,0)</f>
        <v>8</v>
      </c>
      <c r="E455">
        <f>VLOOKUP(tblTargetMedicos[[#This Row],[codigo_id]],[1]DIM_REPRESENTANTE_MEDICO!$C:$F,3,0)</f>
        <v>9</v>
      </c>
      <c r="F455" s="27" t="s">
        <v>5796</v>
      </c>
      <c r="G455" s="27" t="s">
        <v>5787</v>
      </c>
      <c r="H455" s="27" t="s">
        <v>96</v>
      </c>
      <c r="I455">
        <v>1</v>
      </c>
    </row>
    <row r="456" spans="1:9">
      <c r="A456" t="s">
        <v>871</v>
      </c>
      <c r="B456" s="27" t="s">
        <v>3220</v>
      </c>
      <c r="C456" s="27" t="s">
        <v>5766</v>
      </c>
      <c r="D456">
        <f>VLOOKUP(tblTargetMedicos[[#This Row],[codigo_id]],[1]DIM_REPRESENTANTE_MEDICO!$C:$F,4,0)</f>
        <v>8</v>
      </c>
      <c r="E456">
        <f>VLOOKUP(tblTargetMedicos[[#This Row],[codigo_id]],[1]DIM_REPRESENTANTE_MEDICO!$C:$F,3,0)</f>
        <v>9</v>
      </c>
      <c r="F456" s="27" t="s">
        <v>5796</v>
      </c>
      <c r="G456" s="27" t="s">
        <v>5784</v>
      </c>
      <c r="H456" s="27" t="s">
        <v>97</v>
      </c>
      <c r="I456">
        <v>1</v>
      </c>
    </row>
    <row r="457" spans="1:9">
      <c r="A457" t="s">
        <v>872</v>
      </c>
      <c r="B457" s="27" t="s">
        <v>3220</v>
      </c>
      <c r="C457" s="27" t="s">
        <v>5766</v>
      </c>
      <c r="D457">
        <f>VLOOKUP(tblTargetMedicos[[#This Row],[codigo_id]],[1]DIM_REPRESENTANTE_MEDICO!$C:$F,4,0)</f>
        <v>8</v>
      </c>
      <c r="E457">
        <f>VLOOKUP(tblTargetMedicos[[#This Row],[codigo_id]],[1]DIM_REPRESENTANTE_MEDICO!$C:$F,3,0)</f>
        <v>9</v>
      </c>
      <c r="F457" s="27" t="s">
        <v>5796</v>
      </c>
      <c r="G457" s="27" t="s">
        <v>5783</v>
      </c>
      <c r="H457" s="27" t="s">
        <v>96</v>
      </c>
      <c r="I457">
        <v>1</v>
      </c>
    </row>
    <row r="458" spans="1:9">
      <c r="A458" t="s">
        <v>873</v>
      </c>
      <c r="B458" s="27" t="s">
        <v>3220</v>
      </c>
      <c r="C458" s="27" t="s">
        <v>5766</v>
      </c>
      <c r="D458">
        <f>VLOOKUP(tblTargetMedicos[[#This Row],[codigo_id]],[1]DIM_REPRESENTANTE_MEDICO!$C:$F,4,0)</f>
        <v>8</v>
      </c>
      <c r="E458">
        <f>VLOOKUP(tblTargetMedicos[[#This Row],[codigo_id]],[1]DIM_REPRESENTANTE_MEDICO!$C:$F,3,0)</f>
        <v>9</v>
      </c>
      <c r="F458" s="27" t="s">
        <v>5796</v>
      </c>
      <c r="G458" s="27" t="s">
        <v>5783</v>
      </c>
      <c r="H458" s="27" t="s">
        <v>96</v>
      </c>
      <c r="I458">
        <v>1</v>
      </c>
    </row>
    <row r="459" spans="1:9">
      <c r="A459" t="s">
        <v>874</v>
      </c>
      <c r="B459" s="27" t="s">
        <v>3220</v>
      </c>
      <c r="C459" s="27" t="s">
        <v>5766</v>
      </c>
      <c r="D459">
        <f>VLOOKUP(tblTargetMedicos[[#This Row],[codigo_id]],[1]DIM_REPRESENTANTE_MEDICO!$C:$F,4,0)</f>
        <v>8</v>
      </c>
      <c r="E459">
        <f>VLOOKUP(tblTargetMedicos[[#This Row],[codigo_id]],[1]DIM_REPRESENTANTE_MEDICO!$C:$F,3,0)</f>
        <v>9</v>
      </c>
      <c r="F459" s="27" t="s">
        <v>5796</v>
      </c>
      <c r="G459" s="27" t="s">
        <v>5783</v>
      </c>
      <c r="H459" s="27" t="s">
        <v>5793</v>
      </c>
      <c r="I459">
        <v>1</v>
      </c>
    </row>
    <row r="460" spans="1:9">
      <c r="A460" t="s">
        <v>875</v>
      </c>
      <c r="B460" s="27" t="s">
        <v>3220</v>
      </c>
      <c r="C460" s="27" t="s">
        <v>5766</v>
      </c>
      <c r="D460">
        <f>VLOOKUP(tblTargetMedicos[[#This Row],[codigo_id]],[1]DIM_REPRESENTANTE_MEDICO!$C:$F,4,0)</f>
        <v>8</v>
      </c>
      <c r="E460">
        <f>VLOOKUP(tblTargetMedicos[[#This Row],[codigo_id]],[1]DIM_REPRESENTANTE_MEDICO!$C:$F,3,0)</f>
        <v>9</v>
      </c>
      <c r="F460" s="27" t="s">
        <v>5796</v>
      </c>
      <c r="G460" s="27" t="s">
        <v>5784</v>
      </c>
      <c r="H460" s="27" t="s">
        <v>97</v>
      </c>
      <c r="I460">
        <v>1</v>
      </c>
    </row>
    <row r="461" spans="1:9">
      <c r="A461" t="s">
        <v>876</v>
      </c>
      <c r="B461" s="27" t="s">
        <v>3220</v>
      </c>
      <c r="C461" s="27" t="s">
        <v>5766</v>
      </c>
      <c r="D461">
        <f>VLOOKUP(tblTargetMedicos[[#This Row],[codigo_id]],[1]DIM_REPRESENTANTE_MEDICO!$C:$F,4,0)</f>
        <v>8</v>
      </c>
      <c r="E461">
        <f>VLOOKUP(tblTargetMedicos[[#This Row],[codigo_id]],[1]DIM_REPRESENTANTE_MEDICO!$C:$F,3,0)</f>
        <v>9</v>
      </c>
      <c r="F461" s="27" t="s">
        <v>5796</v>
      </c>
      <c r="G461" s="27" t="s">
        <v>5783</v>
      </c>
      <c r="H461" s="27" t="s">
        <v>96</v>
      </c>
      <c r="I461">
        <v>1</v>
      </c>
    </row>
    <row r="462" spans="1:9">
      <c r="A462" t="s">
        <v>877</v>
      </c>
      <c r="B462" s="27" t="s">
        <v>3220</v>
      </c>
      <c r="C462" s="27" t="s">
        <v>5766</v>
      </c>
      <c r="D462">
        <f>VLOOKUP(tblTargetMedicos[[#This Row],[codigo_id]],[1]DIM_REPRESENTANTE_MEDICO!$C:$F,4,0)</f>
        <v>8</v>
      </c>
      <c r="E462">
        <f>VLOOKUP(tblTargetMedicos[[#This Row],[codigo_id]],[1]DIM_REPRESENTANTE_MEDICO!$C:$F,3,0)</f>
        <v>9</v>
      </c>
      <c r="F462" s="27" t="s">
        <v>5796</v>
      </c>
      <c r="G462" s="27" t="s">
        <v>5784</v>
      </c>
      <c r="H462" s="27" t="s">
        <v>96</v>
      </c>
      <c r="I462">
        <v>1</v>
      </c>
    </row>
    <row r="463" spans="1:9">
      <c r="A463" t="s">
        <v>878</v>
      </c>
      <c r="B463" s="27" t="s">
        <v>3220</v>
      </c>
      <c r="C463" s="27" t="s">
        <v>5766</v>
      </c>
      <c r="D463">
        <f>VLOOKUP(tblTargetMedicos[[#This Row],[codigo_id]],[1]DIM_REPRESENTANTE_MEDICO!$C:$F,4,0)</f>
        <v>8</v>
      </c>
      <c r="E463">
        <f>VLOOKUP(tblTargetMedicos[[#This Row],[codigo_id]],[1]DIM_REPRESENTANTE_MEDICO!$C:$F,3,0)</f>
        <v>9</v>
      </c>
      <c r="F463" s="27" t="s">
        <v>5796</v>
      </c>
      <c r="G463" s="27" t="s">
        <v>5783</v>
      </c>
      <c r="H463" s="27" t="s">
        <v>96</v>
      </c>
      <c r="I463">
        <v>1</v>
      </c>
    </row>
    <row r="464" spans="1:9">
      <c r="A464" t="s">
        <v>879</v>
      </c>
      <c r="B464" s="27" t="s">
        <v>3220</v>
      </c>
      <c r="C464" s="27" t="s">
        <v>5766</v>
      </c>
      <c r="D464">
        <f>VLOOKUP(tblTargetMedicos[[#This Row],[codigo_id]],[1]DIM_REPRESENTANTE_MEDICO!$C:$F,4,0)</f>
        <v>8</v>
      </c>
      <c r="E464">
        <f>VLOOKUP(tblTargetMedicos[[#This Row],[codigo_id]],[1]DIM_REPRESENTANTE_MEDICO!$C:$F,3,0)</f>
        <v>9</v>
      </c>
      <c r="F464" s="27" t="s">
        <v>5796</v>
      </c>
      <c r="G464" s="27" t="s">
        <v>5779</v>
      </c>
      <c r="H464" s="27" t="s">
        <v>97</v>
      </c>
      <c r="I464">
        <v>1</v>
      </c>
    </row>
    <row r="465" spans="1:9">
      <c r="A465" t="s">
        <v>880</v>
      </c>
      <c r="B465" s="27" t="s">
        <v>3220</v>
      </c>
      <c r="C465" s="27" t="s">
        <v>5766</v>
      </c>
      <c r="D465">
        <f>VLOOKUP(tblTargetMedicos[[#This Row],[codigo_id]],[1]DIM_REPRESENTANTE_MEDICO!$C:$F,4,0)</f>
        <v>8</v>
      </c>
      <c r="E465">
        <f>VLOOKUP(tblTargetMedicos[[#This Row],[codigo_id]],[1]DIM_REPRESENTANTE_MEDICO!$C:$F,3,0)</f>
        <v>9</v>
      </c>
      <c r="F465" s="27" t="s">
        <v>5796</v>
      </c>
      <c r="G465" s="27" t="s">
        <v>5785</v>
      </c>
      <c r="H465" s="27" t="s">
        <v>97</v>
      </c>
      <c r="I465">
        <v>1</v>
      </c>
    </row>
    <row r="466" spans="1:9">
      <c r="A466" t="s">
        <v>881</v>
      </c>
      <c r="B466" s="27" t="s">
        <v>3220</v>
      </c>
      <c r="C466" s="27" t="s">
        <v>5766</v>
      </c>
      <c r="D466">
        <f>VLOOKUP(tblTargetMedicos[[#This Row],[codigo_id]],[1]DIM_REPRESENTANTE_MEDICO!$C:$F,4,0)</f>
        <v>8</v>
      </c>
      <c r="E466">
        <f>VLOOKUP(tblTargetMedicos[[#This Row],[codigo_id]],[1]DIM_REPRESENTANTE_MEDICO!$C:$F,3,0)</f>
        <v>9</v>
      </c>
      <c r="F466" s="27" t="s">
        <v>5796</v>
      </c>
      <c r="G466" s="27" t="s">
        <v>5784</v>
      </c>
      <c r="H466" s="27" t="s">
        <v>96</v>
      </c>
      <c r="I466">
        <v>1</v>
      </c>
    </row>
    <row r="467" spans="1:9">
      <c r="A467" t="s">
        <v>882</v>
      </c>
      <c r="B467" s="27" t="s">
        <v>3220</v>
      </c>
      <c r="C467" s="27" t="s">
        <v>5766</v>
      </c>
      <c r="D467">
        <f>VLOOKUP(tblTargetMedicos[[#This Row],[codigo_id]],[1]DIM_REPRESENTANTE_MEDICO!$C:$F,4,0)</f>
        <v>8</v>
      </c>
      <c r="E467">
        <f>VLOOKUP(tblTargetMedicos[[#This Row],[codigo_id]],[1]DIM_REPRESENTANTE_MEDICO!$C:$F,3,0)</f>
        <v>9</v>
      </c>
      <c r="F467" s="27" t="s">
        <v>5796</v>
      </c>
      <c r="G467" s="27" t="s">
        <v>5784</v>
      </c>
      <c r="H467" s="27" t="s">
        <v>97</v>
      </c>
      <c r="I467">
        <v>1</v>
      </c>
    </row>
    <row r="468" spans="1:9">
      <c r="A468" t="s">
        <v>883</v>
      </c>
      <c r="B468" s="27" t="s">
        <v>3220</v>
      </c>
      <c r="C468" s="27" t="s">
        <v>5766</v>
      </c>
      <c r="D468">
        <f>VLOOKUP(tblTargetMedicos[[#This Row],[codigo_id]],[1]DIM_REPRESENTANTE_MEDICO!$C:$F,4,0)</f>
        <v>8</v>
      </c>
      <c r="E468">
        <f>VLOOKUP(tblTargetMedicos[[#This Row],[codigo_id]],[1]DIM_REPRESENTANTE_MEDICO!$C:$F,3,0)</f>
        <v>9</v>
      </c>
      <c r="F468" s="27" t="s">
        <v>5796</v>
      </c>
      <c r="G468" s="27" t="s">
        <v>5781</v>
      </c>
      <c r="H468" s="27" t="s">
        <v>97</v>
      </c>
      <c r="I468">
        <v>1</v>
      </c>
    </row>
    <row r="469" spans="1:9">
      <c r="A469" t="s">
        <v>884</v>
      </c>
      <c r="B469" s="27" t="s">
        <v>3220</v>
      </c>
      <c r="C469" s="27" t="s">
        <v>5766</v>
      </c>
      <c r="D469">
        <f>VLOOKUP(tblTargetMedicos[[#This Row],[codigo_id]],[1]DIM_REPRESENTANTE_MEDICO!$C:$F,4,0)</f>
        <v>8</v>
      </c>
      <c r="E469">
        <f>VLOOKUP(tblTargetMedicos[[#This Row],[codigo_id]],[1]DIM_REPRESENTANTE_MEDICO!$C:$F,3,0)</f>
        <v>9</v>
      </c>
      <c r="F469" s="27" t="s">
        <v>5796</v>
      </c>
      <c r="G469" s="27" t="s">
        <v>5783</v>
      </c>
      <c r="H469" s="27" t="s">
        <v>96</v>
      </c>
      <c r="I469">
        <v>1</v>
      </c>
    </row>
    <row r="470" spans="1:9">
      <c r="A470" t="s">
        <v>885</v>
      </c>
      <c r="B470" s="27" t="s">
        <v>3220</v>
      </c>
      <c r="C470" s="27" t="s">
        <v>5766</v>
      </c>
      <c r="D470">
        <f>VLOOKUP(tblTargetMedicos[[#This Row],[codigo_id]],[1]DIM_REPRESENTANTE_MEDICO!$C:$F,4,0)</f>
        <v>8</v>
      </c>
      <c r="E470">
        <f>VLOOKUP(tblTargetMedicos[[#This Row],[codigo_id]],[1]DIM_REPRESENTANTE_MEDICO!$C:$F,3,0)</f>
        <v>9</v>
      </c>
      <c r="F470" s="27" t="s">
        <v>5796</v>
      </c>
      <c r="G470" s="27" t="s">
        <v>5784</v>
      </c>
      <c r="H470" s="27" t="s">
        <v>97</v>
      </c>
      <c r="I470">
        <v>1</v>
      </c>
    </row>
    <row r="471" spans="1:9">
      <c r="A471" t="s">
        <v>886</v>
      </c>
      <c r="B471" s="27" t="s">
        <v>3220</v>
      </c>
      <c r="C471" s="27" t="s">
        <v>5766</v>
      </c>
      <c r="D471">
        <f>VLOOKUP(tblTargetMedicos[[#This Row],[codigo_id]],[1]DIM_REPRESENTANTE_MEDICO!$C:$F,4,0)</f>
        <v>8</v>
      </c>
      <c r="E471">
        <f>VLOOKUP(tblTargetMedicos[[#This Row],[codigo_id]],[1]DIM_REPRESENTANTE_MEDICO!$C:$F,3,0)</f>
        <v>9</v>
      </c>
      <c r="F471" s="27" t="s">
        <v>5796</v>
      </c>
      <c r="G471" s="27" t="s">
        <v>5781</v>
      </c>
      <c r="H471" s="27" t="s">
        <v>97</v>
      </c>
      <c r="I471">
        <v>1</v>
      </c>
    </row>
    <row r="472" spans="1:9">
      <c r="A472" t="s">
        <v>887</v>
      </c>
      <c r="B472" s="27" t="s">
        <v>3220</v>
      </c>
      <c r="C472" s="27" t="s">
        <v>5766</v>
      </c>
      <c r="D472">
        <f>VLOOKUP(tblTargetMedicos[[#This Row],[codigo_id]],[1]DIM_REPRESENTANTE_MEDICO!$C:$F,4,0)</f>
        <v>8</v>
      </c>
      <c r="E472">
        <f>VLOOKUP(tblTargetMedicos[[#This Row],[codigo_id]],[1]DIM_REPRESENTANTE_MEDICO!$C:$F,3,0)</f>
        <v>9</v>
      </c>
      <c r="F472" s="27" t="s">
        <v>5796</v>
      </c>
      <c r="G472" s="27" t="s">
        <v>5783</v>
      </c>
      <c r="H472" s="27" t="s">
        <v>5793</v>
      </c>
      <c r="I472">
        <v>1</v>
      </c>
    </row>
    <row r="473" spans="1:9">
      <c r="A473" t="s">
        <v>888</v>
      </c>
      <c r="B473" s="27" t="s">
        <v>3220</v>
      </c>
      <c r="C473" s="27" t="s">
        <v>5766</v>
      </c>
      <c r="D473">
        <f>VLOOKUP(tblTargetMedicos[[#This Row],[codigo_id]],[1]DIM_REPRESENTANTE_MEDICO!$C:$F,4,0)</f>
        <v>8</v>
      </c>
      <c r="E473">
        <f>VLOOKUP(tblTargetMedicos[[#This Row],[codigo_id]],[1]DIM_REPRESENTANTE_MEDICO!$C:$F,3,0)</f>
        <v>9</v>
      </c>
      <c r="F473" s="27" t="s">
        <v>5796</v>
      </c>
      <c r="G473" s="27" t="s">
        <v>5785</v>
      </c>
      <c r="H473" s="27" t="s">
        <v>96</v>
      </c>
      <c r="I473">
        <v>1</v>
      </c>
    </row>
    <row r="474" spans="1:9">
      <c r="A474" t="s">
        <v>889</v>
      </c>
      <c r="B474" s="27" t="s">
        <v>3220</v>
      </c>
      <c r="C474" s="27" t="s">
        <v>5766</v>
      </c>
      <c r="D474">
        <f>VLOOKUP(tblTargetMedicos[[#This Row],[codigo_id]],[1]DIM_REPRESENTANTE_MEDICO!$C:$F,4,0)</f>
        <v>8</v>
      </c>
      <c r="E474">
        <f>VLOOKUP(tblTargetMedicos[[#This Row],[codigo_id]],[1]DIM_REPRESENTANTE_MEDICO!$C:$F,3,0)</f>
        <v>9</v>
      </c>
      <c r="F474" s="27" t="s">
        <v>5796</v>
      </c>
      <c r="G474" s="27" t="s">
        <v>5783</v>
      </c>
      <c r="H474" s="27" t="s">
        <v>96</v>
      </c>
      <c r="I474">
        <v>1</v>
      </c>
    </row>
    <row r="475" spans="1:9">
      <c r="A475" t="s">
        <v>890</v>
      </c>
      <c r="B475" s="27" t="s">
        <v>3220</v>
      </c>
      <c r="C475" s="27" t="s">
        <v>5766</v>
      </c>
      <c r="D475">
        <f>VLOOKUP(tblTargetMedicos[[#This Row],[codigo_id]],[1]DIM_REPRESENTANTE_MEDICO!$C:$F,4,0)</f>
        <v>8</v>
      </c>
      <c r="E475">
        <f>VLOOKUP(tblTargetMedicos[[#This Row],[codigo_id]],[1]DIM_REPRESENTANTE_MEDICO!$C:$F,3,0)</f>
        <v>9</v>
      </c>
      <c r="F475" s="27" t="s">
        <v>5796</v>
      </c>
      <c r="G475" s="27" t="s">
        <v>5782</v>
      </c>
      <c r="H475" s="27" t="s">
        <v>97</v>
      </c>
      <c r="I475">
        <v>1</v>
      </c>
    </row>
    <row r="476" spans="1:9">
      <c r="A476" t="s">
        <v>891</v>
      </c>
      <c r="B476" s="27" t="s">
        <v>3220</v>
      </c>
      <c r="C476" s="27" t="s">
        <v>5766</v>
      </c>
      <c r="D476">
        <f>VLOOKUP(tblTargetMedicos[[#This Row],[codigo_id]],[1]DIM_REPRESENTANTE_MEDICO!$C:$F,4,0)</f>
        <v>8</v>
      </c>
      <c r="E476">
        <f>VLOOKUP(tblTargetMedicos[[#This Row],[codigo_id]],[1]DIM_REPRESENTANTE_MEDICO!$C:$F,3,0)</f>
        <v>9</v>
      </c>
      <c r="F476" s="27" t="s">
        <v>5796</v>
      </c>
      <c r="G476" s="27" t="s">
        <v>5783</v>
      </c>
      <c r="H476" s="27" t="s">
        <v>96</v>
      </c>
      <c r="I476">
        <v>1</v>
      </c>
    </row>
    <row r="477" spans="1:9">
      <c r="A477" t="s">
        <v>892</v>
      </c>
      <c r="B477" s="27" t="s">
        <v>3220</v>
      </c>
      <c r="C477" s="27" t="s">
        <v>5766</v>
      </c>
      <c r="D477">
        <f>VLOOKUP(tblTargetMedicos[[#This Row],[codigo_id]],[1]DIM_REPRESENTANTE_MEDICO!$C:$F,4,0)</f>
        <v>8</v>
      </c>
      <c r="E477">
        <f>VLOOKUP(tblTargetMedicos[[#This Row],[codigo_id]],[1]DIM_REPRESENTANTE_MEDICO!$C:$F,3,0)</f>
        <v>9</v>
      </c>
      <c r="F477" s="27" t="s">
        <v>5796</v>
      </c>
      <c r="G477" s="27" t="s">
        <v>5784</v>
      </c>
      <c r="H477" s="27" t="s">
        <v>97</v>
      </c>
      <c r="I477">
        <v>1</v>
      </c>
    </row>
    <row r="478" spans="1:9">
      <c r="A478" t="s">
        <v>893</v>
      </c>
      <c r="B478" s="27" t="s">
        <v>3220</v>
      </c>
      <c r="C478" s="27" t="s">
        <v>5766</v>
      </c>
      <c r="D478">
        <f>VLOOKUP(tblTargetMedicos[[#This Row],[codigo_id]],[1]DIM_REPRESENTANTE_MEDICO!$C:$F,4,0)</f>
        <v>8</v>
      </c>
      <c r="E478">
        <f>VLOOKUP(tblTargetMedicos[[#This Row],[codigo_id]],[1]DIM_REPRESENTANTE_MEDICO!$C:$F,3,0)</f>
        <v>9</v>
      </c>
      <c r="F478" s="27" t="s">
        <v>5796</v>
      </c>
      <c r="G478" s="27" t="s">
        <v>5784</v>
      </c>
      <c r="H478" s="27" t="s">
        <v>96</v>
      </c>
      <c r="I478">
        <v>1</v>
      </c>
    </row>
    <row r="479" spans="1:9">
      <c r="A479" t="s">
        <v>894</v>
      </c>
      <c r="B479" s="27" t="s">
        <v>3220</v>
      </c>
      <c r="C479" s="27" t="s">
        <v>5766</v>
      </c>
      <c r="D479">
        <f>VLOOKUP(tblTargetMedicos[[#This Row],[codigo_id]],[1]DIM_REPRESENTANTE_MEDICO!$C:$F,4,0)</f>
        <v>8</v>
      </c>
      <c r="E479">
        <f>VLOOKUP(tblTargetMedicos[[#This Row],[codigo_id]],[1]DIM_REPRESENTANTE_MEDICO!$C:$F,3,0)</f>
        <v>9</v>
      </c>
      <c r="F479" s="27" t="s">
        <v>5796</v>
      </c>
      <c r="G479" s="27" t="s">
        <v>5784</v>
      </c>
      <c r="H479" s="27" t="s">
        <v>96</v>
      </c>
      <c r="I479">
        <v>1</v>
      </c>
    </row>
    <row r="480" spans="1:9">
      <c r="A480" t="s">
        <v>895</v>
      </c>
      <c r="B480" s="27" t="s">
        <v>3220</v>
      </c>
      <c r="C480" s="27" t="s">
        <v>5766</v>
      </c>
      <c r="D480">
        <f>VLOOKUP(tblTargetMedicos[[#This Row],[codigo_id]],[1]DIM_REPRESENTANTE_MEDICO!$C:$F,4,0)</f>
        <v>8</v>
      </c>
      <c r="E480">
        <f>VLOOKUP(tblTargetMedicos[[#This Row],[codigo_id]],[1]DIM_REPRESENTANTE_MEDICO!$C:$F,3,0)</f>
        <v>9</v>
      </c>
      <c r="F480" s="27" t="s">
        <v>5796</v>
      </c>
      <c r="G480" s="27" t="s">
        <v>5783</v>
      </c>
      <c r="H480" s="27" t="s">
        <v>97</v>
      </c>
      <c r="I480">
        <v>1</v>
      </c>
    </row>
    <row r="481" spans="1:9">
      <c r="A481" t="s">
        <v>896</v>
      </c>
      <c r="B481" s="27" t="s">
        <v>3220</v>
      </c>
      <c r="C481" s="27" t="s">
        <v>5766</v>
      </c>
      <c r="D481">
        <f>VLOOKUP(tblTargetMedicos[[#This Row],[codigo_id]],[1]DIM_REPRESENTANTE_MEDICO!$C:$F,4,0)</f>
        <v>8</v>
      </c>
      <c r="E481">
        <f>VLOOKUP(tblTargetMedicos[[#This Row],[codigo_id]],[1]DIM_REPRESENTANTE_MEDICO!$C:$F,3,0)</f>
        <v>9</v>
      </c>
      <c r="F481" s="27" t="s">
        <v>5796</v>
      </c>
      <c r="G481" s="27" t="s">
        <v>5784</v>
      </c>
      <c r="H481" s="27" t="s">
        <v>97</v>
      </c>
      <c r="I481">
        <v>1</v>
      </c>
    </row>
    <row r="482" spans="1:9">
      <c r="A482" t="s">
        <v>897</v>
      </c>
      <c r="B482" s="27" t="s">
        <v>3220</v>
      </c>
      <c r="C482" s="27" t="s">
        <v>5766</v>
      </c>
      <c r="D482">
        <f>VLOOKUP(tblTargetMedicos[[#This Row],[codigo_id]],[1]DIM_REPRESENTANTE_MEDICO!$C:$F,4,0)</f>
        <v>8</v>
      </c>
      <c r="E482">
        <f>VLOOKUP(tblTargetMedicos[[#This Row],[codigo_id]],[1]DIM_REPRESENTANTE_MEDICO!$C:$F,3,0)</f>
        <v>9</v>
      </c>
      <c r="F482" s="27" t="s">
        <v>5796</v>
      </c>
      <c r="G482" s="27" t="s">
        <v>5787</v>
      </c>
      <c r="H482" s="27" t="s">
        <v>97</v>
      </c>
      <c r="I482">
        <v>1</v>
      </c>
    </row>
    <row r="483" spans="1:9">
      <c r="A483" t="s">
        <v>898</v>
      </c>
      <c r="B483" s="27" t="s">
        <v>3220</v>
      </c>
      <c r="C483" s="27" t="s">
        <v>5766</v>
      </c>
      <c r="D483">
        <f>VLOOKUP(tblTargetMedicos[[#This Row],[codigo_id]],[1]DIM_REPRESENTANTE_MEDICO!$C:$F,4,0)</f>
        <v>8</v>
      </c>
      <c r="E483">
        <f>VLOOKUP(tblTargetMedicos[[#This Row],[codigo_id]],[1]DIM_REPRESENTANTE_MEDICO!$C:$F,3,0)</f>
        <v>9</v>
      </c>
      <c r="F483" s="27" t="s">
        <v>5796</v>
      </c>
      <c r="G483" s="27" t="s">
        <v>5784</v>
      </c>
      <c r="H483" s="27" t="s">
        <v>97</v>
      </c>
      <c r="I483">
        <v>1</v>
      </c>
    </row>
    <row r="484" spans="1:9">
      <c r="A484" t="s">
        <v>899</v>
      </c>
      <c r="B484" s="27" t="s">
        <v>3220</v>
      </c>
      <c r="C484" s="27" t="s">
        <v>5766</v>
      </c>
      <c r="D484">
        <f>VLOOKUP(tblTargetMedicos[[#This Row],[codigo_id]],[1]DIM_REPRESENTANTE_MEDICO!$C:$F,4,0)</f>
        <v>8</v>
      </c>
      <c r="E484">
        <f>VLOOKUP(tblTargetMedicos[[#This Row],[codigo_id]],[1]DIM_REPRESENTANTE_MEDICO!$C:$F,3,0)</f>
        <v>9</v>
      </c>
      <c r="F484" s="27" t="s">
        <v>5796</v>
      </c>
      <c r="G484" s="27" t="s">
        <v>5784</v>
      </c>
      <c r="H484" s="27" t="s">
        <v>96</v>
      </c>
      <c r="I484">
        <v>1</v>
      </c>
    </row>
    <row r="485" spans="1:9">
      <c r="A485" t="s">
        <v>900</v>
      </c>
      <c r="B485" s="27" t="s">
        <v>3220</v>
      </c>
      <c r="C485" s="27" t="s">
        <v>5766</v>
      </c>
      <c r="D485">
        <f>VLOOKUP(tblTargetMedicos[[#This Row],[codigo_id]],[1]DIM_REPRESENTANTE_MEDICO!$C:$F,4,0)</f>
        <v>8</v>
      </c>
      <c r="E485">
        <f>VLOOKUP(tblTargetMedicos[[#This Row],[codigo_id]],[1]DIM_REPRESENTANTE_MEDICO!$C:$F,3,0)</f>
        <v>9</v>
      </c>
      <c r="F485" s="27" t="s">
        <v>5796</v>
      </c>
      <c r="G485" s="27" t="s">
        <v>5784</v>
      </c>
      <c r="H485" s="27" t="s">
        <v>96</v>
      </c>
      <c r="I485">
        <v>1</v>
      </c>
    </row>
    <row r="486" spans="1:9">
      <c r="A486" t="s">
        <v>901</v>
      </c>
      <c r="B486" s="27" t="s">
        <v>3220</v>
      </c>
      <c r="C486" s="27" t="s">
        <v>5766</v>
      </c>
      <c r="D486">
        <f>VLOOKUP(tblTargetMedicos[[#This Row],[codigo_id]],[1]DIM_REPRESENTANTE_MEDICO!$C:$F,4,0)</f>
        <v>8</v>
      </c>
      <c r="E486">
        <f>VLOOKUP(tblTargetMedicos[[#This Row],[codigo_id]],[1]DIM_REPRESENTANTE_MEDICO!$C:$F,3,0)</f>
        <v>9</v>
      </c>
      <c r="F486" s="27" t="s">
        <v>5796</v>
      </c>
      <c r="G486" s="27" t="s">
        <v>5786</v>
      </c>
      <c r="H486" s="27" t="s">
        <v>97</v>
      </c>
      <c r="I486">
        <v>1</v>
      </c>
    </row>
    <row r="487" spans="1:9">
      <c r="A487" t="s">
        <v>902</v>
      </c>
      <c r="B487" s="27" t="s">
        <v>3220</v>
      </c>
      <c r="C487" s="27" t="s">
        <v>5766</v>
      </c>
      <c r="D487">
        <f>VLOOKUP(tblTargetMedicos[[#This Row],[codigo_id]],[1]DIM_REPRESENTANTE_MEDICO!$C:$F,4,0)</f>
        <v>8</v>
      </c>
      <c r="E487">
        <f>VLOOKUP(tblTargetMedicos[[#This Row],[codigo_id]],[1]DIM_REPRESENTANTE_MEDICO!$C:$F,3,0)</f>
        <v>9</v>
      </c>
      <c r="F487" s="27" t="s">
        <v>5796</v>
      </c>
      <c r="G487" s="27" t="s">
        <v>5784</v>
      </c>
      <c r="H487" s="27" t="s">
        <v>97</v>
      </c>
      <c r="I487">
        <v>1</v>
      </c>
    </row>
    <row r="488" spans="1:9">
      <c r="A488" t="s">
        <v>903</v>
      </c>
      <c r="B488" s="27" t="s">
        <v>3220</v>
      </c>
      <c r="C488" s="27" t="s">
        <v>5766</v>
      </c>
      <c r="D488">
        <f>VLOOKUP(tblTargetMedicos[[#This Row],[codigo_id]],[1]DIM_REPRESENTANTE_MEDICO!$C:$F,4,0)</f>
        <v>8</v>
      </c>
      <c r="E488">
        <f>VLOOKUP(tblTargetMedicos[[#This Row],[codigo_id]],[1]DIM_REPRESENTANTE_MEDICO!$C:$F,3,0)</f>
        <v>9</v>
      </c>
      <c r="F488" s="27" t="s">
        <v>5796</v>
      </c>
      <c r="G488" s="27" t="s">
        <v>5784</v>
      </c>
      <c r="H488" s="27" t="s">
        <v>96</v>
      </c>
      <c r="I488">
        <v>1</v>
      </c>
    </row>
    <row r="489" spans="1:9">
      <c r="A489" t="s">
        <v>904</v>
      </c>
      <c r="B489" s="27" t="s">
        <v>3220</v>
      </c>
      <c r="C489" s="27" t="s">
        <v>5766</v>
      </c>
      <c r="D489">
        <f>VLOOKUP(tblTargetMedicos[[#This Row],[codigo_id]],[1]DIM_REPRESENTANTE_MEDICO!$C:$F,4,0)</f>
        <v>8</v>
      </c>
      <c r="E489">
        <f>VLOOKUP(tblTargetMedicos[[#This Row],[codigo_id]],[1]DIM_REPRESENTANTE_MEDICO!$C:$F,3,0)</f>
        <v>9</v>
      </c>
      <c r="F489" s="27" t="s">
        <v>5796</v>
      </c>
      <c r="G489" s="27" t="s">
        <v>5784</v>
      </c>
      <c r="H489" s="27" t="s">
        <v>96</v>
      </c>
      <c r="I489">
        <v>1</v>
      </c>
    </row>
    <row r="490" spans="1:9">
      <c r="A490" t="s">
        <v>905</v>
      </c>
      <c r="B490" s="27" t="s">
        <v>3220</v>
      </c>
      <c r="C490" s="27" t="s">
        <v>5766</v>
      </c>
      <c r="D490">
        <f>VLOOKUP(tblTargetMedicos[[#This Row],[codigo_id]],[1]DIM_REPRESENTANTE_MEDICO!$C:$F,4,0)</f>
        <v>8</v>
      </c>
      <c r="E490">
        <f>VLOOKUP(tblTargetMedicos[[#This Row],[codigo_id]],[1]DIM_REPRESENTANTE_MEDICO!$C:$F,3,0)</f>
        <v>9</v>
      </c>
      <c r="F490" s="27" t="s">
        <v>5796</v>
      </c>
      <c r="G490" s="27" t="s">
        <v>5784</v>
      </c>
      <c r="H490" s="27" t="s">
        <v>96</v>
      </c>
      <c r="I490">
        <v>1</v>
      </c>
    </row>
    <row r="491" spans="1:9">
      <c r="A491" t="s">
        <v>906</v>
      </c>
      <c r="B491" s="27" t="s">
        <v>3220</v>
      </c>
      <c r="C491" s="27" t="s">
        <v>5766</v>
      </c>
      <c r="D491">
        <f>VLOOKUP(tblTargetMedicos[[#This Row],[codigo_id]],[1]DIM_REPRESENTANTE_MEDICO!$C:$F,4,0)</f>
        <v>8</v>
      </c>
      <c r="E491">
        <f>VLOOKUP(tblTargetMedicos[[#This Row],[codigo_id]],[1]DIM_REPRESENTANTE_MEDICO!$C:$F,3,0)</f>
        <v>9</v>
      </c>
      <c r="F491" s="27" t="s">
        <v>5796</v>
      </c>
      <c r="G491" s="27" t="s">
        <v>5784</v>
      </c>
      <c r="H491" s="27" t="s">
        <v>96</v>
      </c>
      <c r="I491">
        <v>1</v>
      </c>
    </row>
    <row r="492" spans="1:9">
      <c r="A492" t="s">
        <v>907</v>
      </c>
      <c r="B492" s="27" t="s">
        <v>3220</v>
      </c>
      <c r="C492" s="27" t="s">
        <v>5766</v>
      </c>
      <c r="D492">
        <f>VLOOKUP(tblTargetMedicos[[#This Row],[codigo_id]],[1]DIM_REPRESENTANTE_MEDICO!$C:$F,4,0)</f>
        <v>8</v>
      </c>
      <c r="E492">
        <f>VLOOKUP(tblTargetMedicos[[#This Row],[codigo_id]],[1]DIM_REPRESENTANTE_MEDICO!$C:$F,3,0)</f>
        <v>9</v>
      </c>
      <c r="F492" s="27" t="s">
        <v>5796</v>
      </c>
      <c r="G492" s="27" t="s">
        <v>5784</v>
      </c>
      <c r="H492" s="27" t="s">
        <v>96</v>
      </c>
      <c r="I492">
        <v>1</v>
      </c>
    </row>
    <row r="493" spans="1:9">
      <c r="A493" t="s">
        <v>908</v>
      </c>
      <c r="B493" s="27" t="s">
        <v>3220</v>
      </c>
      <c r="C493" s="27" t="s">
        <v>5766</v>
      </c>
      <c r="D493">
        <f>VLOOKUP(tblTargetMedicos[[#This Row],[codigo_id]],[1]DIM_REPRESENTANTE_MEDICO!$C:$F,4,0)</f>
        <v>8</v>
      </c>
      <c r="E493">
        <f>VLOOKUP(tblTargetMedicos[[#This Row],[codigo_id]],[1]DIM_REPRESENTANTE_MEDICO!$C:$F,3,0)</f>
        <v>9</v>
      </c>
      <c r="F493" s="27" t="s">
        <v>5796</v>
      </c>
      <c r="G493" s="27" t="s">
        <v>5784</v>
      </c>
      <c r="H493" s="27" t="s">
        <v>97</v>
      </c>
      <c r="I493">
        <v>1</v>
      </c>
    </row>
    <row r="494" spans="1:9">
      <c r="A494" t="s">
        <v>909</v>
      </c>
      <c r="B494" s="27" t="s">
        <v>3220</v>
      </c>
      <c r="C494" s="27" t="s">
        <v>5766</v>
      </c>
      <c r="D494">
        <f>VLOOKUP(tblTargetMedicos[[#This Row],[codigo_id]],[1]DIM_REPRESENTANTE_MEDICO!$C:$F,4,0)</f>
        <v>8</v>
      </c>
      <c r="E494">
        <f>VLOOKUP(tblTargetMedicos[[#This Row],[codigo_id]],[1]DIM_REPRESENTANTE_MEDICO!$C:$F,3,0)</f>
        <v>9</v>
      </c>
      <c r="F494" s="27" t="s">
        <v>5796</v>
      </c>
      <c r="G494" s="27" t="s">
        <v>5784</v>
      </c>
      <c r="H494" s="27" t="s">
        <v>97</v>
      </c>
      <c r="I494">
        <v>1</v>
      </c>
    </row>
    <row r="495" spans="1:9">
      <c r="A495" t="s">
        <v>910</v>
      </c>
      <c r="B495" s="27" t="s">
        <v>3220</v>
      </c>
      <c r="C495" s="27" t="s">
        <v>5766</v>
      </c>
      <c r="D495">
        <f>VLOOKUP(tblTargetMedicos[[#This Row],[codigo_id]],[1]DIM_REPRESENTANTE_MEDICO!$C:$F,4,0)</f>
        <v>8</v>
      </c>
      <c r="E495">
        <f>VLOOKUP(tblTargetMedicos[[#This Row],[codigo_id]],[1]DIM_REPRESENTANTE_MEDICO!$C:$F,3,0)</f>
        <v>9</v>
      </c>
      <c r="F495" s="27" t="s">
        <v>5796</v>
      </c>
      <c r="G495" s="27" t="s">
        <v>5784</v>
      </c>
      <c r="H495" s="27" t="s">
        <v>96</v>
      </c>
      <c r="I495">
        <v>1</v>
      </c>
    </row>
    <row r="496" spans="1:9">
      <c r="A496" t="s">
        <v>911</v>
      </c>
      <c r="B496" s="27" t="s">
        <v>3220</v>
      </c>
      <c r="C496" s="27" t="s">
        <v>5766</v>
      </c>
      <c r="D496">
        <f>VLOOKUP(tblTargetMedicos[[#This Row],[codigo_id]],[1]DIM_REPRESENTANTE_MEDICO!$C:$F,4,0)</f>
        <v>8</v>
      </c>
      <c r="E496">
        <f>VLOOKUP(tblTargetMedicos[[#This Row],[codigo_id]],[1]DIM_REPRESENTANTE_MEDICO!$C:$F,3,0)</f>
        <v>9</v>
      </c>
      <c r="F496" s="27" t="s">
        <v>5796</v>
      </c>
      <c r="G496" s="27" t="s">
        <v>5784</v>
      </c>
      <c r="H496" s="27" t="s">
        <v>96</v>
      </c>
      <c r="I496">
        <v>1</v>
      </c>
    </row>
    <row r="497" spans="1:9">
      <c r="A497" t="s">
        <v>912</v>
      </c>
      <c r="B497" s="27" t="s">
        <v>3220</v>
      </c>
      <c r="C497" s="27" t="s">
        <v>5766</v>
      </c>
      <c r="D497">
        <f>VLOOKUP(tblTargetMedicos[[#This Row],[codigo_id]],[1]DIM_REPRESENTANTE_MEDICO!$C:$F,4,0)</f>
        <v>8</v>
      </c>
      <c r="E497">
        <f>VLOOKUP(tblTargetMedicos[[#This Row],[codigo_id]],[1]DIM_REPRESENTANTE_MEDICO!$C:$F,3,0)</f>
        <v>9</v>
      </c>
      <c r="F497" s="27" t="s">
        <v>5796</v>
      </c>
      <c r="G497" s="27" t="s">
        <v>5783</v>
      </c>
      <c r="H497" s="27" t="s">
        <v>97</v>
      </c>
      <c r="I497">
        <v>1</v>
      </c>
    </row>
    <row r="498" spans="1:9">
      <c r="A498" t="s">
        <v>913</v>
      </c>
      <c r="B498" s="27" t="s">
        <v>3220</v>
      </c>
      <c r="C498" s="27" t="s">
        <v>5766</v>
      </c>
      <c r="D498">
        <f>VLOOKUP(tblTargetMedicos[[#This Row],[codigo_id]],[1]DIM_REPRESENTANTE_MEDICO!$C:$F,4,0)</f>
        <v>8</v>
      </c>
      <c r="E498">
        <f>VLOOKUP(tblTargetMedicos[[#This Row],[codigo_id]],[1]DIM_REPRESENTANTE_MEDICO!$C:$F,3,0)</f>
        <v>9</v>
      </c>
      <c r="F498" s="27" t="s">
        <v>5796</v>
      </c>
      <c r="G498" s="27" t="s">
        <v>5783</v>
      </c>
      <c r="H498" s="27" t="s">
        <v>97</v>
      </c>
      <c r="I498">
        <v>1</v>
      </c>
    </row>
    <row r="499" spans="1:9">
      <c r="A499" t="s">
        <v>914</v>
      </c>
      <c r="B499" s="27" t="s">
        <v>3220</v>
      </c>
      <c r="C499" s="27" t="s">
        <v>5766</v>
      </c>
      <c r="D499">
        <f>VLOOKUP(tblTargetMedicos[[#This Row],[codigo_id]],[1]DIM_REPRESENTANTE_MEDICO!$C:$F,4,0)</f>
        <v>8</v>
      </c>
      <c r="E499">
        <f>VLOOKUP(tblTargetMedicos[[#This Row],[codigo_id]],[1]DIM_REPRESENTANTE_MEDICO!$C:$F,3,0)</f>
        <v>9</v>
      </c>
      <c r="F499" s="27" t="s">
        <v>5796</v>
      </c>
      <c r="G499" s="27" t="s">
        <v>5784</v>
      </c>
      <c r="H499" s="27" t="s">
        <v>97</v>
      </c>
      <c r="I499">
        <v>1</v>
      </c>
    </row>
    <row r="500" spans="1:9">
      <c r="A500" t="s">
        <v>915</v>
      </c>
      <c r="B500" s="27" t="s">
        <v>3220</v>
      </c>
      <c r="C500" s="27" t="s">
        <v>5766</v>
      </c>
      <c r="D500">
        <f>VLOOKUP(tblTargetMedicos[[#This Row],[codigo_id]],[1]DIM_REPRESENTANTE_MEDICO!$C:$F,4,0)</f>
        <v>8</v>
      </c>
      <c r="E500">
        <f>VLOOKUP(tblTargetMedicos[[#This Row],[codigo_id]],[1]DIM_REPRESENTANTE_MEDICO!$C:$F,3,0)</f>
        <v>9</v>
      </c>
      <c r="F500" s="27" t="s">
        <v>5796</v>
      </c>
      <c r="G500" s="27" t="s">
        <v>5784</v>
      </c>
      <c r="H500" s="27" t="s">
        <v>96</v>
      </c>
      <c r="I500">
        <v>1</v>
      </c>
    </row>
    <row r="501" spans="1:9">
      <c r="A501" t="s">
        <v>916</v>
      </c>
      <c r="B501" s="27" t="s">
        <v>3220</v>
      </c>
      <c r="C501" s="27" t="s">
        <v>5766</v>
      </c>
      <c r="D501">
        <f>VLOOKUP(tblTargetMedicos[[#This Row],[codigo_id]],[1]DIM_REPRESENTANTE_MEDICO!$C:$F,4,0)</f>
        <v>8</v>
      </c>
      <c r="E501">
        <f>VLOOKUP(tblTargetMedicos[[#This Row],[codigo_id]],[1]DIM_REPRESENTANTE_MEDICO!$C:$F,3,0)</f>
        <v>9</v>
      </c>
      <c r="F501" s="27" t="s">
        <v>5796</v>
      </c>
      <c r="G501" s="27" t="s">
        <v>5784</v>
      </c>
      <c r="H501" s="27" t="s">
        <v>97</v>
      </c>
      <c r="I501">
        <v>1</v>
      </c>
    </row>
    <row r="502" spans="1:9">
      <c r="A502" t="s">
        <v>917</v>
      </c>
      <c r="B502" s="27" t="s">
        <v>3220</v>
      </c>
      <c r="C502" s="27" t="s">
        <v>5766</v>
      </c>
      <c r="D502">
        <f>VLOOKUP(tblTargetMedicos[[#This Row],[codigo_id]],[1]DIM_REPRESENTANTE_MEDICO!$C:$F,4,0)</f>
        <v>8</v>
      </c>
      <c r="E502">
        <f>VLOOKUP(tblTargetMedicos[[#This Row],[codigo_id]],[1]DIM_REPRESENTANTE_MEDICO!$C:$F,3,0)</f>
        <v>9</v>
      </c>
      <c r="F502" s="27" t="s">
        <v>5796</v>
      </c>
      <c r="G502" s="27" t="s">
        <v>5783</v>
      </c>
      <c r="H502" s="27" t="s">
        <v>96</v>
      </c>
      <c r="I502">
        <v>1</v>
      </c>
    </row>
    <row r="503" spans="1:9">
      <c r="A503" t="s">
        <v>918</v>
      </c>
      <c r="B503" s="27" t="s">
        <v>3220</v>
      </c>
      <c r="C503" s="27" t="s">
        <v>5766</v>
      </c>
      <c r="D503">
        <f>VLOOKUP(tblTargetMedicos[[#This Row],[codigo_id]],[1]DIM_REPRESENTANTE_MEDICO!$C:$F,4,0)</f>
        <v>8</v>
      </c>
      <c r="E503">
        <f>VLOOKUP(tblTargetMedicos[[#This Row],[codigo_id]],[1]DIM_REPRESENTANTE_MEDICO!$C:$F,3,0)</f>
        <v>9</v>
      </c>
      <c r="F503" s="27" t="s">
        <v>5796</v>
      </c>
      <c r="G503" s="27" t="s">
        <v>5784</v>
      </c>
      <c r="H503" s="27" t="s">
        <v>96</v>
      </c>
      <c r="I503">
        <v>1</v>
      </c>
    </row>
    <row r="504" spans="1:9">
      <c r="A504" t="s">
        <v>919</v>
      </c>
      <c r="B504" s="27" t="s">
        <v>3220</v>
      </c>
      <c r="C504" s="27" t="s">
        <v>5766</v>
      </c>
      <c r="D504">
        <f>VLOOKUP(tblTargetMedicos[[#This Row],[codigo_id]],[1]DIM_REPRESENTANTE_MEDICO!$C:$F,4,0)</f>
        <v>8</v>
      </c>
      <c r="E504">
        <f>VLOOKUP(tblTargetMedicos[[#This Row],[codigo_id]],[1]DIM_REPRESENTANTE_MEDICO!$C:$F,3,0)</f>
        <v>9</v>
      </c>
      <c r="F504" s="27" t="s">
        <v>5796</v>
      </c>
      <c r="G504" s="27" t="s">
        <v>5783</v>
      </c>
      <c r="H504" s="27" t="s">
        <v>96</v>
      </c>
      <c r="I504">
        <v>1</v>
      </c>
    </row>
    <row r="505" spans="1:9">
      <c r="A505" t="s">
        <v>920</v>
      </c>
      <c r="B505" s="27" t="s">
        <v>3220</v>
      </c>
      <c r="C505" s="27" t="s">
        <v>5766</v>
      </c>
      <c r="D505">
        <f>VLOOKUP(tblTargetMedicos[[#This Row],[codigo_id]],[1]DIM_REPRESENTANTE_MEDICO!$C:$F,4,0)</f>
        <v>8</v>
      </c>
      <c r="E505">
        <f>VLOOKUP(tblTargetMedicos[[#This Row],[codigo_id]],[1]DIM_REPRESENTANTE_MEDICO!$C:$F,3,0)</f>
        <v>9</v>
      </c>
      <c r="F505" s="27" t="s">
        <v>5796</v>
      </c>
      <c r="G505" s="27" t="s">
        <v>5784</v>
      </c>
      <c r="H505" s="27" t="s">
        <v>96</v>
      </c>
      <c r="I505">
        <v>1</v>
      </c>
    </row>
    <row r="506" spans="1:9">
      <c r="A506" t="s">
        <v>921</v>
      </c>
      <c r="B506" s="27" t="s">
        <v>3220</v>
      </c>
      <c r="C506" s="27" t="s">
        <v>5766</v>
      </c>
      <c r="D506">
        <f>VLOOKUP(tblTargetMedicos[[#This Row],[codigo_id]],[1]DIM_REPRESENTANTE_MEDICO!$C:$F,4,0)</f>
        <v>8</v>
      </c>
      <c r="E506">
        <f>VLOOKUP(tblTargetMedicos[[#This Row],[codigo_id]],[1]DIM_REPRESENTANTE_MEDICO!$C:$F,3,0)</f>
        <v>9</v>
      </c>
      <c r="F506" s="27" t="s">
        <v>5796</v>
      </c>
      <c r="G506" s="27" t="s">
        <v>5784</v>
      </c>
      <c r="H506" s="27" t="s">
        <v>96</v>
      </c>
      <c r="I506">
        <v>1</v>
      </c>
    </row>
    <row r="507" spans="1:9">
      <c r="A507" t="s">
        <v>922</v>
      </c>
      <c r="B507" s="27" t="s">
        <v>3220</v>
      </c>
      <c r="C507" s="27" t="s">
        <v>5766</v>
      </c>
      <c r="D507">
        <f>VLOOKUP(tblTargetMedicos[[#This Row],[codigo_id]],[1]DIM_REPRESENTANTE_MEDICO!$C:$F,4,0)</f>
        <v>8</v>
      </c>
      <c r="E507">
        <f>VLOOKUP(tblTargetMedicos[[#This Row],[codigo_id]],[1]DIM_REPRESENTANTE_MEDICO!$C:$F,3,0)</f>
        <v>9</v>
      </c>
      <c r="F507" s="27" t="s">
        <v>5796</v>
      </c>
      <c r="G507" s="27" t="s">
        <v>5779</v>
      </c>
      <c r="H507" s="27" t="s">
        <v>96</v>
      </c>
      <c r="I507">
        <v>1</v>
      </c>
    </row>
    <row r="508" spans="1:9">
      <c r="A508" t="s">
        <v>923</v>
      </c>
      <c r="B508" s="27" t="s">
        <v>3220</v>
      </c>
      <c r="C508" s="27" t="s">
        <v>5766</v>
      </c>
      <c r="D508">
        <f>VLOOKUP(tblTargetMedicos[[#This Row],[codigo_id]],[1]DIM_REPRESENTANTE_MEDICO!$C:$F,4,0)</f>
        <v>8</v>
      </c>
      <c r="E508">
        <f>VLOOKUP(tblTargetMedicos[[#This Row],[codigo_id]],[1]DIM_REPRESENTANTE_MEDICO!$C:$F,3,0)</f>
        <v>9</v>
      </c>
      <c r="F508" s="27" t="s">
        <v>5796</v>
      </c>
      <c r="G508" s="27" t="s">
        <v>5786</v>
      </c>
      <c r="H508" s="27" t="s">
        <v>97</v>
      </c>
      <c r="I508">
        <v>1</v>
      </c>
    </row>
    <row r="509" spans="1:9">
      <c r="A509" t="s">
        <v>924</v>
      </c>
      <c r="B509" s="27" t="s">
        <v>3220</v>
      </c>
      <c r="C509" s="27" t="s">
        <v>5766</v>
      </c>
      <c r="D509">
        <f>VLOOKUP(tblTargetMedicos[[#This Row],[codigo_id]],[1]DIM_REPRESENTANTE_MEDICO!$C:$F,4,0)</f>
        <v>8</v>
      </c>
      <c r="E509">
        <f>VLOOKUP(tblTargetMedicos[[#This Row],[codigo_id]],[1]DIM_REPRESENTANTE_MEDICO!$C:$F,3,0)</f>
        <v>9</v>
      </c>
      <c r="F509" s="27" t="s">
        <v>5796</v>
      </c>
      <c r="G509" s="27" t="s">
        <v>5779</v>
      </c>
      <c r="H509" s="27" t="s">
        <v>96</v>
      </c>
      <c r="I509">
        <v>1</v>
      </c>
    </row>
    <row r="510" spans="1:9">
      <c r="A510" t="s">
        <v>925</v>
      </c>
      <c r="B510" s="27" t="s">
        <v>3220</v>
      </c>
      <c r="C510" s="27" t="s">
        <v>5766</v>
      </c>
      <c r="D510">
        <f>VLOOKUP(tblTargetMedicos[[#This Row],[codigo_id]],[1]DIM_REPRESENTANTE_MEDICO!$C:$F,4,0)</f>
        <v>8</v>
      </c>
      <c r="E510">
        <f>VLOOKUP(tblTargetMedicos[[#This Row],[codigo_id]],[1]DIM_REPRESENTANTE_MEDICO!$C:$F,3,0)</f>
        <v>9</v>
      </c>
      <c r="F510" s="27" t="s">
        <v>5796</v>
      </c>
      <c r="G510" s="27" t="s">
        <v>5783</v>
      </c>
      <c r="H510" s="27" t="s">
        <v>97</v>
      </c>
      <c r="I510">
        <v>1</v>
      </c>
    </row>
    <row r="511" spans="1:9">
      <c r="A511" t="s">
        <v>926</v>
      </c>
      <c r="B511" s="27" t="s">
        <v>3220</v>
      </c>
      <c r="C511" s="27" t="s">
        <v>5766</v>
      </c>
      <c r="D511">
        <f>VLOOKUP(tblTargetMedicos[[#This Row],[codigo_id]],[1]DIM_REPRESENTANTE_MEDICO!$C:$F,4,0)</f>
        <v>8</v>
      </c>
      <c r="E511">
        <f>VLOOKUP(tblTargetMedicos[[#This Row],[codigo_id]],[1]DIM_REPRESENTANTE_MEDICO!$C:$F,3,0)</f>
        <v>9</v>
      </c>
      <c r="F511" s="27" t="s">
        <v>5796</v>
      </c>
      <c r="G511" s="27" t="s">
        <v>5782</v>
      </c>
      <c r="H511" s="27" t="s">
        <v>97</v>
      </c>
      <c r="I511">
        <v>1</v>
      </c>
    </row>
    <row r="512" spans="1:9">
      <c r="A512" t="s">
        <v>927</v>
      </c>
      <c r="B512" s="27" t="s">
        <v>3220</v>
      </c>
      <c r="C512" s="27" t="s">
        <v>5766</v>
      </c>
      <c r="D512">
        <f>VLOOKUP(tblTargetMedicos[[#This Row],[codigo_id]],[1]DIM_REPRESENTANTE_MEDICO!$C:$F,4,0)</f>
        <v>8</v>
      </c>
      <c r="E512">
        <f>VLOOKUP(tblTargetMedicos[[#This Row],[codigo_id]],[1]DIM_REPRESENTANTE_MEDICO!$C:$F,3,0)</f>
        <v>9</v>
      </c>
      <c r="F512" s="27" t="s">
        <v>5796</v>
      </c>
      <c r="G512" s="27" t="s">
        <v>5783</v>
      </c>
      <c r="H512" s="27" t="s">
        <v>97</v>
      </c>
      <c r="I512">
        <v>1</v>
      </c>
    </row>
    <row r="513" spans="1:9">
      <c r="A513" t="s">
        <v>928</v>
      </c>
      <c r="B513" s="27" t="s">
        <v>3220</v>
      </c>
      <c r="C513" s="27" t="s">
        <v>5766</v>
      </c>
      <c r="D513">
        <f>VLOOKUP(tblTargetMedicos[[#This Row],[codigo_id]],[1]DIM_REPRESENTANTE_MEDICO!$C:$F,4,0)</f>
        <v>8</v>
      </c>
      <c r="E513">
        <f>VLOOKUP(tblTargetMedicos[[#This Row],[codigo_id]],[1]DIM_REPRESENTANTE_MEDICO!$C:$F,3,0)</f>
        <v>9</v>
      </c>
      <c r="F513" s="27" t="s">
        <v>5796</v>
      </c>
      <c r="G513" s="27" t="s">
        <v>5782</v>
      </c>
      <c r="H513" s="27" t="s">
        <v>97</v>
      </c>
      <c r="I513">
        <v>1</v>
      </c>
    </row>
    <row r="514" spans="1:9">
      <c r="A514" t="s">
        <v>929</v>
      </c>
      <c r="B514" s="27" t="s">
        <v>3220</v>
      </c>
      <c r="C514" s="27" t="s">
        <v>5766</v>
      </c>
      <c r="D514">
        <f>VLOOKUP(tblTargetMedicos[[#This Row],[codigo_id]],[1]DIM_REPRESENTANTE_MEDICO!$C:$F,4,0)</f>
        <v>8</v>
      </c>
      <c r="E514">
        <f>VLOOKUP(tblTargetMedicos[[#This Row],[codigo_id]],[1]DIM_REPRESENTANTE_MEDICO!$C:$F,3,0)</f>
        <v>9</v>
      </c>
      <c r="F514" s="27" t="s">
        <v>5796</v>
      </c>
      <c r="G514" s="27" t="s">
        <v>5783</v>
      </c>
      <c r="H514" s="27" t="s">
        <v>96</v>
      </c>
      <c r="I514">
        <v>1</v>
      </c>
    </row>
    <row r="515" spans="1:9">
      <c r="A515" t="s">
        <v>930</v>
      </c>
      <c r="B515" s="27" t="s">
        <v>3220</v>
      </c>
      <c r="C515" s="27" t="s">
        <v>5766</v>
      </c>
      <c r="D515">
        <f>VLOOKUP(tblTargetMedicos[[#This Row],[codigo_id]],[1]DIM_REPRESENTANTE_MEDICO!$C:$F,4,0)</f>
        <v>8</v>
      </c>
      <c r="E515">
        <f>VLOOKUP(tblTargetMedicos[[#This Row],[codigo_id]],[1]DIM_REPRESENTANTE_MEDICO!$C:$F,3,0)</f>
        <v>9</v>
      </c>
      <c r="F515" s="27" t="s">
        <v>5796</v>
      </c>
      <c r="G515" s="27" t="s">
        <v>5784</v>
      </c>
      <c r="H515" s="27" t="s">
        <v>97</v>
      </c>
      <c r="I515">
        <v>1</v>
      </c>
    </row>
    <row r="516" spans="1:9">
      <c r="A516" t="s">
        <v>931</v>
      </c>
      <c r="B516" s="27" t="s">
        <v>3220</v>
      </c>
      <c r="C516" s="27" t="s">
        <v>5766</v>
      </c>
      <c r="D516">
        <f>VLOOKUP(tblTargetMedicos[[#This Row],[codigo_id]],[1]DIM_REPRESENTANTE_MEDICO!$C:$F,4,0)</f>
        <v>8</v>
      </c>
      <c r="E516">
        <f>VLOOKUP(tblTargetMedicos[[#This Row],[codigo_id]],[1]DIM_REPRESENTANTE_MEDICO!$C:$F,3,0)</f>
        <v>9</v>
      </c>
      <c r="F516" s="27" t="s">
        <v>5796</v>
      </c>
      <c r="G516" s="27" t="s">
        <v>5783</v>
      </c>
      <c r="H516" s="27" t="s">
        <v>97</v>
      </c>
      <c r="I516">
        <v>1</v>
      </c>
    </row>
    <row r="517" spans="1:9">
      <c r="A517" t="s">
        <v>932</v>
      </c>
      <c r="B517" s="27" t="s">
        <v>3220</v>
      </c>
      <c r="C517" s="27" t="s">
        <v>5766</v>
      </c>
      <c r="D517">
        <f>VLOOKUP(tblTargetMedicos[[#This Row],[codigo_id]],[1]DIM_REPRESENTANTE_MEDICO!$C:$F,4,0)</f>
        <v>8</v>
      </c>
      <c r="E517">
        <f>VLOOKUP(tblTargetMedicos[[#This Row],[codigo_id]],[1]DIM_REPRESENTANTE_MEDICO!$C:$F,3,0)</f>
        <v>9</v>
      </c>
      <c r="F517" s="27" t="s">
        <v>5796</v>
      </c>
      <c r="G517" s="27" t="s">
        <v>5783</v>
      </c>
      <c r="H517" s="27" t="s">
        <v>97</v>
      </c>
      <c r="I517">
        <v>1</v>
      </c>
    </row>
    <row r="518" spans="1:9">
      <c r="A518" t="s">
        <v>933</v>
      </c>
      <c r="B518" s="27" t="s">
        <v>3220</v>
      </c>
      <c r="C518" s="27" t="s">
        <v>5766</v>
      </c>
      <c r="D518">
        <f>VLOOKUP(tblTargetMedicos[[#This Row],[codigo_id]],[1]DIM_REPRESENTANTE_MEDICO!$C:$F,4,0)</f>
        <v>8</v>
      </c>
      <c r="E518">
        <f>VLOOKUP(tblTargetMedicos[[#This Row],[codigo_id]],[1]DIM_REPRESENTANTE_MEDICO!$C:$F,3,0)</f>
        <v>9</v>
      </c>
      <c r="F518" s="27" t="s">
        <v>5796</v>
      </c>
      <c r="G518" s="27" t="s">
        <v>5786</v>
      </c>
      <c r="H518" s="27" t="s">
        <v>97</v>
      </c>
      <c r="I518">
        <v>1</v>
      </c>
    </row>
    <row r="519" spans="1:9">
      <c r="A519" t="s">
        <v>934</v>
      </c>
      <c r="B519" s="27" t="s">
        <v>3220</v>
      </c>
      <c r="C519" s="27" t="s">
        <v>5766</v>
      </c>
      <c r="D519">
        <f>VLOOKUP(tblTargetMedicos[[#This Row],[codigo_id]],[1]DIM_REPRESENTANTE_MEDICO!$C:$F,4,0)</f>
        <v>8</v>
      </c>
      <c r="E519">
        <f>VLOOKUP(tblTargetMedicos[[#This Row],[codigo_id]],[1]DIM_REPRESENTANTE_MEDICO!$C:$F,3,0)</f>
        <v>9</v>
      </c>
      <c r="F519" s="27" t="s">
        <v>5796</v>
      </c>
      <c r="G519" s="27" t="s">
        <v>5786</v>
      </c>
      <c r="H519" s="27" t="s">
        <v>97</v>
      </c>
      <c r="I519">
        <v>1</v>
      </c>
    </row>
    <row r="520" spans="1:9">
      <c r="A520" t="s">
        <v>935</v>
      </c>
      <c r="B520" s="27" t="s">
        <v>3220</v>
      </c>
      <c r="C520" s="27" t="s">
        <v>5766</v>
      </c>
      <c r="D520">
        <f>VLOOKUP(tblTargetMedicos[[#This Row],[codigo_id]],[1]DIM_REPRESENTANTE_MEDICO!$C:$F,4,0)</f>
        <v>8</v>
      </c>
      <c r="E520">
        <f>VLOOKUP(tblTargetMedicos[[#This Row],[codigo_id]],[1]DIM_REPRESENTANTE_MEDICO!$C:$F,3,0)</f>
        <v>9</v>
      </c>
      <c r="F520" s="27" t="s">
        <v>5796</v>
      </c>
      <c r="G520" s="27" t="s">
        <v>5783</v>
      </c>
      <c r="H520" s="27" t="s">
        <v>97</v>
      </c>
      <c r="I520">
        <v>1</v>
      </c>
    </row>
    <row r="521" spans="1:9">
      <c r="A521" t="s">
        <v>936</v>
      </c>
      <c r="B521" s="27" t="s">
        <v>3220</v>
      </c>
      <c r="C521" s="27" t="s">
        <v>5766</v>
      </c>
      <c r="D521">
        <f>VLOOKUP(tblTargetMedicos[[#This Row],[codigo_id]],[1]DIM_REPRESENTANTE_MEDICO!$C:$F,4,0)</f>
        <v>8</v>
      </c>
      <c r="E521">
        <f>VLOOKUP(tblTargetMedicos[[#This Row],[codigo_id]],[1]DIM_REPRESENTANTE_MEDICO!$C:$F,3,0)</f>
        <v>9</v>
      </c>
      <c r="F521" s="27" t="s">
        <v>5796</v>
      </c>
      <c r="G521" s="27" t="s">
        <v>5791</v>
      </c>
      <c r="H521" s="27" t="s">
        <v>97</v>
      </c>
      <c r="I521">
        <v>1</v>
      </c>
    </row>
    <row r="522" spans="1:9">
      <c r="A522" t="s">
        <v>937</v>
      </c>
      <c r="B522" s="27" t="s">
        <v>3220</v>
      </c>
      <c r="C522" s="27" t="s">
        <v>5766</v>
      </c>
      <c r="D522">
        <f>VLOOKUP(tblTargetMedicos[[#This Row],[codigo_id]],[1]DIM_REPRESENTANTE_MEDICO!$C:$F,4,0)</f>
        <v>8</v>
      </c>
      <c r="E522">
        <f>VLOOKUP(tblTargetMedicos[[#This Row],[codigo_id]],[1]DIM_REPRESENTANTE_MEDICO!$C:$F,3,0)</f>
        <v>9</v>
      </c>
      <c r="F522" s="27" t="s">
        <v>5796</v>
      </c>
      <c r="G522" s="27" t="s">
        <v>5783</v>
      </c>
      <c r="H522" s="27" t="s">
        <v>97</v>
      </c>
      <c r="I522">
        <v>1</v>
      </c>
    </row>
    <row r="523" spans="1:9">
      <c r="A523" t="s">
        <v>938</v>
      </c>
      <c r="B523" s="27" t="s">
        <v>3220</v>
      </c>
      <c r="C523" s="27" t="s">
        <v>5766</v>
      </c>
      <c r="D523">
        <f>VLOOKUP(tblTargetMedicos[[#This Row],[codigo_id]],[1]DIM_REPRESENTANTE_MEDICO!$C:$F,4,0)</f>
        <v>8</v>
      </c>
      <c r="E523">
        <f>VLOOKUP(tblTargetMedicos[[#This Row],[codigo_id]],[1]DIM_REPRESENTANTE_MEDICO!$C:$F,3,0)</f>
        <v>9</v>
      </c>
      <c r="F523" s="27" t="s">
        <v>5796</v>
      </c>
      <c r="G523" s="27" t="s">
        <v>5783</v>
      </c>
      <c r="H523" s="27" t="s">
        <v>96</v>
      </c>
      <c r="I523">
        <v>1</v>
      </c>
    </row>
    <row r="524" spans="1:9">
      <c r="A524" t="s">
        <v>939</v>
      </c>
      <c r="B524" s="27" t="s">
        <v>3220</v>
      </c>
      <c r="C524" s="27" t="s">
        <v>5766</v>
      </c>
      <c r="D524">
        <f>VLOOKUP(tblTargetMedicos[[#This Row],[codigo_id]],[1]DIM_REPRESENTANTE_MEDICO!$C:$F,4,0)</f>
        <v>8</v>
      </c>
      <c r="E524">
        <f>VLOOKUP(tblTargetMedicos[[#This Row],[codigo_id]],[1]DIM_REPRESENTANTE_MEDICO!$C:$F,3,0)</f>
        <v>9</v>
      </c>
      <c r="F524" s="27" t="s">
        <v>5796</v>
      </c>
      <c r="G524" s="27" t="s">
        <v>5784</v>
      </c>
      <c r="H524" s="27" t="s">
        <v>97</v>
      </c>
      <c r="I524">
        <v>1</v>
      </c>
    </row>
    <row r="525" spans="1:9">
      <c r="A525" t="s">
        <v>940</v>
      </c>
      <c r="B525" s="27" t="s">
        <v>3220</v>
      </c>
      <c r="C525" s="27" t="s">
        <v>5766</v>
      </c>
      <c r="D525">
        <f>VLOOKUP(tblTargetMedicos[[#This Row],[codigo_id]],[1]DIM_REPRESENTANTE_MEDICO!$C:$F,4,0)</f>
        <v>8</v>
      </c>
      <c r="E525">
        <f>VLOOKUP(tblTargetMedicos[[#This Row],[codigo_id]],[1]DIM_REPRESENTANTE_MEDICO!$C:$F,3,0)</f>
        <v>9</v>
      </c>
      <c r="F525" s="27" t="s">
        <v>5796</v>
      </c>
      <c r="G525" s="27" t="s">
        <v>5783</v>
      </c>
      <c r="H525" s="27" t="s">
        <v>96</v>
      </c>
      <c r="I525">
        <v>1</v>
      </c>
    </row>
    <row r="526" spans="1:9">
      <c r="A526" t="s">
        <v>941</v>
      </c>
      <c r="B526" s="27" t="s">
        <v>3220</v>
      </c>
      <c r="C526" s="27" t="s">
        <v>5766</v>
      </c>
      <c r="D526">
        <f>VLOOKUP(tblTargetMedicos[[#This Row],[codigo_id]],[1]DIM_REPRESENTANTE_MEDICO!$C:$F,4,0)</f>
        <v>8</v>
      </c>
      <c r="E526">
        <f>VLOOKUP(tblTargetMedicos[[#This Row],[codigo_id]],[1]DIM_REPRESENTANTE_MEDICO!$C:$F,3,0)</f>
        <v>9</v>
      </c>
      <c r="F526" s="27" t="s">
        <v>5796</v>
      </c>
      <c r="G526" s="27" t="s">
        <v>5784</v>
      </c>
      <c r="H526" s="27" t="s">
        <v>96</v>
      </c>
      <c r="I526">
        <v>1</v>
      </c>
    </row>
    <row r="527" spans="1:9">
      <c r="A527" t="s">
        <v>942</v>
      </c>
      <c r="B527" s="27" t="s">
        <v>3220</v>
      </c>
      <c r="C527" s="27" t="s">
        <v>5766</v>
      </c>
      <c r="D527">
        <f>VLOOKUP(tblTargetMedicos[[#This Row],[codigo_id]],[1]DIM_REPRESENTANTE_MEDICO!$C:$F,4,0)</f>
        <v>8</v>
      </c>
      <c r="E527">
        <f>VLOOKUP(tblTargetMedicos[[#This Row],[codigo_id]],[1]DIM_REPRESENTANTE_MEDICO!$C:$F,3,0)</f>
        <v>9</v>
      </c>
      <c r="F527" s="27" t="s">
        <v>5796</v>
      </c>
      <c r="G527" s="27" t="s">
        <v>5784</v>
      </c>
      <c r="H527" s="27" t="s">
        <v>97</v>
      </c>
      <c r="I527">
        <v>1</v>
      </c>
    </row>
    <row r="528" spans="1:9">
      <c r="A528" t="s">
        <v>943</v>
      </c>
      <c r="B528" s="27" t="s">
        <v>3220</v>
      </c>
      <c r="C528" s="27" t="s">
        <v>5766</v>
      </c>
      <c r="D528">
        <f>VLOOKUP(tblTargetMedicos[[#This Row],[codigo_id]],[1]DIM_REPRESENTANTE_MEDICO!$C:$F,4,0)</f>
        <v>8</v>
      </c>
      <c r="E528">
        <f>VLOOKUP(tblTargetMedicos[[#This Row],[codigo_id]],[1]DIM_REPRESENTANTE_MEDICO!$C:$F,3,0)</f>
        <v>9</v>
      </c>
      <c r="F528" s="27" t="s">
        <v>5796</v>
      </c>
      <c r="G528" s="27" t="s">
        <v>5781</v>
      </c>
      <c r="H528" s="27" t="s">
        <v>97</v>
      </c>
      <c r="I528">
        <v>1</v>
      </c>
    </row>
    <row r="529" spans="1:9">
      <c r="A529" t="s">
        <v>944</v>
      </c>
      <c r="B529" s="27" t="s">
        <v>3220</v>
      </c>
      <c r="C529" s="27" t="s">
        <v>5766</v>
      </c>
      <c r="D529">
        <f>VLOOKUP(tblTargetMedicos[[#This Row],[codigo_id]],[1]DIM_REPRESENTANTE_MEDICO!$C:$F,4,0)</f>
        <v>8</v>
      </c>
      <c r="E529">
        <f>VLOOKUP(tblTargetMedicos[[#This Row],[codigo_id]],[1]DIM_REPRESENTANTE_MEDICO!$C:$F,3,0)</f>
        <v>9</v>
      </c>
      <c r="F529" s="27" t="s">
        <v>5796</v>
      </c>
      <c r="G529" s="27" t="s">
        <v>5783</v>
      </c>
      <c r="H529" s="27" t="s">
        <v>5793</v>
      </c>
      <c r="I529">
        <v>1</v>
      </c>
    </row>
    <row r="530" spans="1:9">
      <c r="A530" t="s">
        <v>945</v>
      </c>
      <c r="B530" s="27" t="s">
        <v>3220</v>
      </c>
      <c r="C530" s="27" t="s">
        <v>5766</v>
      </c>
      <c r="D530">
        <f>VLOOKUP(tblTargetMedicos[[#This Row],[codigo_id]],[1]DIM_REPRESENTANTE_MEDICO!$C:$F,4,0)</f>
        <v>8</v>
      </c>
      <c r="E530">
        <f>VLOOKUP(tblTargetMedicos[[#This Row],[codigo_id]],[1]DIM_REPRESENTANTE_MEDICO!$C:$F,3,0)</f>
        <v>9</v>
      </c>
      <c r="F530" s="27" t="s">
        <v>5796</v>
      </c>
      <c r="G530" s="27" t="s">
        <v>5779</v>
      </c>
      <c r="H530" s="27" t="s">
        <v>5793</v>
      </c>
      <c r="I530">
        <v>1</v>
      </c>
    </row>
    <row r="531" spans="1:9">
      <c r="A531" t="s">
        <v>946</v>
      </c>
      <c r="B531" s="27" t="s">
        <v>3220</v>
      </c>
      <c r="C531" s="27" t="s">
        <v>5766</v>
      </c>
      <c r="D531">
        <f>VLOOKUP(tblTargetMedicos[[#This Row],[codigo_id]],[1]DIM_REPRESENTANTE_MEDICO!$C:$F,4,0)</f>
        <v>8</v>
      </c>
      <c r="E531">
        <f>VLOOKUP(tblTargetMedicos[[#This Row],[codigo_id]],[1]DIM_REPRESENTANTE_MEDICO!$C:$F,3,0)</f>
        <v>9</v>
      </c>
      <c r="F531" s="27" t="s">
        <v>5796</v>
      </c>
      <c r="G531" s="27" t="s">
        <v>5783</v>
      </c>
      <c r="H531" s="27" t="s">
        <v>97</v>
      </c>
      <c r="I531">
        <v>1</v>
      </c>
    </row>
    <row r="532" spans="1:9">
      <c r="A532" t="s">
        <v>947</v>
      </c>
      <c r="B532" s="27" t="s">
        <v>3220</v>
      </c>
      <c r="C532" s="27" t="s">
        <v>5766</v>
      </c>
      <c r="D532">
        <f>VLOOKUP(tblTargetMedicos[[#This Row],[codigo_id]],[1]DIM_REPRESENTANTE_MEDICO!$C:$F,4,0)</f>
        <v>8</v>
      </c>
      <c r="E532">
        <f>VLOOKUP(tblTargetMedicos[[#This Row],[codigo_id]],[1]DIM_REPRESENTANTE_MEDICO!$C:$F,3,0)</f>
        <v>9</v>
      </c>
      <c r="F532" s="27" t="s">
        <v>5796</v>
      </c>
      <c r="G532" s="27" t="s">
        <v>5783</v>
      </c>
      <c r="H532" s="27" t="s">
        <v>97</v>
      </c>
      <c r="I532">
        <v>1</v>
      </c>
    </row>
    <row r="533" spans="1:9">
      <c r="A533" t="s">
        <v>948</v>
      </c>
      <c r="B533" s="27" t="s">
        <v>3220</v>
      </c>
      <c r="C533" s="27" t="s">
        <v>5766</v>
      </c>
      <c r="D533">
        <f>VLOOKUP(tblTargetMedicos[[#This Row],[codigo_id]],[1]DIM_REPRESENTANTE_MEDICO!$C:$F,4,0)</f>
        <v>8</v>
      </c>
      <c r="E533">
        <f>VLOOKUP(tblTargetMedicos[[#This Row],[codigo_id]],[1]DIM_REPRESENTANTE_MEDICO!$C:$F,3,0)</f>
        <v>9</v>
      </c>
      <c r="F533" s="27" t="s">
        <v>5796</v>
      </c>
      <c r="G533" s="27" t="s">
        <v>5779</v>
      </c>
      <c r="H533" s="27" t="s">
        <v>97</v>
      </c>
      <c r="I533">
        <v>1</v>
      </c>
    </row>
    <row r="534" spans="1:9">
      <c r="A534" t="s">
        <v>949</v>
      </c>
      <c r="B534" s="27" t="s">
        <v>3220</v>
      </c>
      <c r="C534" s="27" t="s">
        <v>5766</v>
      </c>
      <c r="D534">
        <f>VLOOKUP(tblTargetMedicos[[#This Row],[codigo_id]],[1]DIM_REPRESENTANTE_MEDICO!$C:$F,4,0)</f>
        <v>8</v>
      </c>
      <c r="E534">
        <f>VLOOKUP(tblTargetMedicos[[#This Row],[codigo_id]],[1]DIM_REPRESENTANTE_MEDICO!$C:$F,3,0)</f>
        <v>9</v>
      </c>
      <c r="F534" s="27" t="s">
        <v>5796</v>
      </c>
      <c r="G534" s="27" t="s">
        <v>5782</v>
      </c>
      <c r="H534" s="27" t="s">
        <v>96</v>
      </c>
      <c r="I534">
        <v>1</v>
      </c>
    </row>
    <row r="535" spans="1:9">
      <c r="A535" t="s">
        <v>950</v>
      </c>
      <c r="B535" s="27" t="s">
        <v>3220</v>
      </c>
      <c r="C535" s="27" t="s">
        <v>5766</v>
      </c>
      <c r="D535">
        <f>VLOOKUP(tblTargetMedicos[[#This Row],[codigo_id]],[1]DIM_REPRESENTANTE_MEDICO!$C:$F,4,0)</f>
        <v>8</v>
      </c>
      <c r="E535">
        <f>VLOOKUP(tblTargetMedicos[[#This Row],[codigo_id]],[1]DIM_REPRESENTANTE_MEDICO!$C:$F,3,0)</f>
        <v>9</v>
      </c>
      <c r="F535" s="27" t="s">
        <v>5796</v>
      </c>
      <c r="G535" s="27" t="s">
        <v>5779</v>
      </c>
      <c r="H535" s="27" t="s">
        <v>97</v>
      </c>
      <c r="I535">
        <v>1</v>
      </c>
    </row>
    <row r="536" spans="1:9">
      <c r="A536" t="s">
        <v>951</v>
      </c>
      <c r="B536" s="27" t="s">
        <v>3220</v>
      </c>
      <c r="C536" s="27" t="s">
        <v>5766</v>
      </c>
      <c r="D536">
        <f>VLOOKUP(tblTargetMedicos[[#This Row],[codigo_id]],[1]DIM_REPRESENTANTE_MEDICO!$C:$F,4,0)</f>
        <v>8</v>
      </c>
      <c r="E536">
        <f>VLOOKUP(tblTargetMedicos[[#This Row],[codigo_id]],[1]DIM_REPRESENTANTE_MEDICO!$C:$F,3,0)</f>
        <v>9</v>
      </c>
      <c r="F536" s="27" t="s">
        <v>5796</v>
      </c>
      <c r="G536" s="27" t="s">
        <v>5783</v>
      </c>
      <c r="H536" s="27" t="s">
        <v>97</v>
      </c>
      <c r="I536">
        <v>1</v>
      </c>
    </row>
    <row r="537" spans="1:9">
      <c r="A537" t="s">
        <v>952</v>
      </c>
      <c r="B537" s="27" t="s">
        <v>3220</v>
      </c>
      <c r="C537" s="27" t="s">
        <v>5766</v>
      </c>
      <c r="D537">
        <f>VLOOKUP(tblTargetMedicos[[#This Row],[codigo_id]],[1]DIM_REPRESENTANTE_MEDICO!$C:$F,4,0)</f>
        <v>8</v>
      </c>
      <c r="E537">
        <f>VLOOKUP(tblTargetMedicos[[#This Row],[codigo_id]],[1]DIM_REPRESENTANTE_MEDICO!$C:$F,3,0)</f>
        <v>9</v>
      </c>
      <c r="F537" s="27" t="s">
        <v>5796</v>
      </c>
      <c r="G537" s="27" t="s">
        <v>5783</v>
      </c>
      <c r="H537" s="27" t="s">
        <v>97</v>
      </c>
      <c r="I537">
        <v>1</v>
      </c>
    </row>
    <row r="538" spans="1:9">
      <c r="A538" t="s">
        <v>953</v>
      </c>
      <c r="B538" s="27" t="s">
        <v>3220</v>
      </c>
      <c r="C538" s="27" t="s">
        <v>5766</v>
      </c>
      <c r="D538">
        <f>VLOOKUP(tblTargetMedicos[[#This Row],[codigo_id]],[1]DIM_REPRESENTANTE_MEDICO!$C:$F,4,0)</f>
        <v>8</v>
      </c>
      <c r="E538">
        <f>VLOOKUP(tblTargetMedicos[[#This Row],[codigo_id]],[1]DIM_REPRESENTANTE_MEDICO!$C:$F,3,0)</f>
        <v>9</v>
      </c>
      <c r="F538" s="27" t="s">
        <v>5796</v>
      </c>
      <c r="G538" s="27" t="s">
        <v>5779</v>
      </c>
      <c r="H538" s="27" t="s">
        <v>96</v>
      </c>
      <c r="I538">
        <v>1</v>
      </c>
    </row>
    <row r="539" spans="1:9">
      <c r="A539" t="s">
        <v>954</v>
      </c>
      <c r="B539" s="27" t="s">
        <v>3220</v>
      </c>
      <c r="C539" s="27" t="s">
        <v>5766</v>
      </c>
      <c r="D539">
        <f>VLOOKUP(tblTargetMedicos[[#This Row],[codigo_id]],[1]DIM_REPRESENTANTE_MEDICO!$C:$F,4,0)</f>
        <v>8</v>
      </c>
      <c r="E539">
        <f>VLOOKUP(tblTargetMedicos[[#This Row],[codigo_id]],[1]DIM_REPRESENTANTE_MEDICO!$C:$F,3,0)</f>
        <v>9</v>
      </c>
      <c r="F539" s="27" t="s">
        <v>5796</v>
      </c>
      <c r="G539" s="27" t="s">
        <v>5786</v>
      </c>
      <c r="H539" s="27" t="s">
        <v>96</v>
      </c>
      <c r="I539">
        <v>1</v>
      </c>
    </row>
    <row r="540" spans="1:9">
      <c r="A540" t="s">
        <v>955</v>
      </c>
      <c r="B540" s="27" t="s">
        <v>3220</v>
      </c>
      <c r="C540" s="27" t="s">
        <v>5766</v>
      </c>
      <c r="D540">
        <f>VLOOKUP(tblTargetMedicos[[#This Row],[codigo_id]],[1]DIM_REPRESENTANTE_MEDICO!$C:$F,4,0)</f>
        <v>8</v>
      </c>
      <c r="E540">
        <f>VLOOKUP(tblTargetMedicos[[#This Row],[codigo_id]],[1]DIM_REPRESENTANTE_MEDICO!$C:$F,3,0)</f>
        <v>9</v>
      </c>
      <c r="F540" s="27" t="s">
        <v>5796</v>
      </c>
      <c r="G540" s="27" t="s">
        <v>5784</v>
      </c>
      <c r="H540" s="27" t="s">
        <v>96</v>
      </c>
      <c r="I540">
        <v>1</v>
      </c>
    </row>
    <row r="541" spans="1:9">
      <c r="A541" t="s">
        <v>956</v>
      </c>
      <c r="B541" s="27" t="s">
        <v>3220</v>
      </c>
      <c r="C541" s="27" t="s">
        <v>5766</v>
      </c>
      <c r="D541">
        <f>VLOOKUP(tblTargetMedicos[[#This Row],[codigo_id]],[1]DIM_REPRESENTANTE_MEDICO!$C:$F,4,0)</f>
        <v>8</v>
      </c>
      <c r="E541">
        <f>VLOOKUP(tblTargetMedicos[[#This Row],[codigo_id]],[1]DIM_REPRESENTANTE_MEDICO!$C:$F,3,0)</f>
        <v>9</v>
      </c>
      <c r="F541" s="27" t="s">
        <v>5796</v>
      </c>
      <c r="G541" s="27" t="s">
        <v>5784</v>
      </c>
      <c r="H541" s="27" t="s">
        <v>97</v>
      </c>
      <c r="I541">
        <v>1</v>
      </c>
    </row>
    <row r="542" spans="1:9">
      <c r="A542" t="s">
        <v>957</v>
      </c>
      <c r="B542" s="27" t="s">
        <v>3220</v>
      </c>
      <c r="C542" s="27" t="s">
        <v>5766</v>
      </c>
      <c r="D542">
        <f>VLOOKUP(tblTargetMedicos[[#This Row],[codigo_id]],[1]DIM_REPRESENTANTE_MEDICO!$C:$F,4,0)</f>
        <v>8</v>
      </c>
      <c r="E542">
        <f>VLOOKUP(tblTargetMedicos[[#This Row],[codigo_id]],[1]DIM_REPRESENTANTE_MEDICO!$C:$F,3,0)</f>
        <v>9</v>
      </c>
      <c r="F542" s="27" t="s">
        <v>5796</v>
      </c>
      <c r="G542" s="27" t="s">
        <v>5779</v>
      </c>
      <c r="H542" s="27" t="s">
        <v>97</v>
      </c>
      <c r="I542">
        <v>1</v>
      </c>
    </row>
    <row r="543" spans="1:9">
      <c r="A543" t="s">
        <v>958</v>
      </c>
      <c r="B543" s="27" t="s">
        <v>3220</v>
      </c>
      <c r="C543" s="27" t="s">
        <v>5766</v>
      </c>
      <c r="D543">
        <f>VLOOKUP(tblTargetMedicos[[#This Row],[codigo_id]],[1]DIM_REPRESENTANTE_MEDICO!$C:$F,4,0)</f>
        <v>8</v>
      </c>
      <c r="E543">
        <f>VLOOKUP(tblTargetMedicos[[#This Row],[codigo_id]],[1]DIM_REPRESENTANTE_MEDICO!$C:$F,3,0)</f>
        <v>9</v>
      </c>
      <c r="F543" s="27" t="s">
        <v>5796</v>
      </c>
      <c r="G543" s="27" t="s">
        <v>5786</v>
      </c>
      <c r="H543" s="27" t="s">
        <v>97</v>
      </c>
      <c r="I543">
        <v>1</v>
      </c>
    </row>
    <row r="544" spans="1:9">
      <c r="A544" t="s">
        <v>959</v>
      </c>
      <c r="B544" s="27" t="s">
        <v>3220</v>
      </c>
      <c r="C544" s="27" t="s">
        <v>5766</v>
      </c>
      <c r="D544">
        <f>VLOOKUP(tblTargetMedicos[[#This Row],[codigo_id]],[1]DIM_REPRESENTANTE_MEDICO!$C:$F,4,0)</f>
        <v>8</v>
      </c>
      <c r="E544">
        <f>VLOOKUP(tblTargetMedicos[[#This Row],[codigo_id]],[1]DIM_REPRESENTANTE_MEDICO!$C:$F,3,0)</f>
        <v>9</v>
      </c>
      <c r="F544" s="27" t="s">
        <v>5796</v>
      </c>
      <c r="G544" s="27" t="s">
        <v>5779</v>
      </c>
      <c r="H544" s="27" t="s">
        <v>97</v>
      </c>
      <c r="I544">
        <v>1</v>
      </c>
    </row>
    <row r="545" spans="1:9">
      <c r="A545" t="s">
        <v>960</v>
      </c>
      <c r="B545" s="27" t="s">
        <v>3220</v>
      </c>
      <c r="C545" s="27" t="s">
        <v>5766</v>
      </c>
      <c r="D545">
        <f>VLOOKUP(tblTargetMedicos[[#This Row],[codigo_id]],[1]DIM_REPRESENTANTE_MEDICO!$C:$F,4,0)</f>
        <v>8</v>
      </c>
      <c r="E545">
        <f>VLOOKUP(tblTargetMedicos[[#This Row],[codigo_id]],[1]DIM_REPRESENTANTE_MEDICO!$C:$F,3,0)</f>
        <v>9</v>
      </c>
      <c r="F545" s="27" t="s">
        <v>5796</v>
      </c>
      <c r="G545" s="27" t="s">
        <v>5782</v>
      </c>
      <c r="H545" s="27" t="s">
        <v>97</v>
      </c>
      <c r="I545">
        <v>1</v>
      </c>
    </row>
    <row r="546" spans="1:9">
      <c r="A546" t="s">
        <v>961</v>
      </c>
      <c r="B546" s="27" t="s">
        <v>3220</v>
      </c>
      <c r="C546" s="27" t="s">
        <v>5766</v>
      </c>
      <c r="D546">
        <f>VLOOKUP(tblTargetMedicos[[#This Row],[codigo_id]],[1]DIM_REPRESENTANTE_MEDICO!$C:$F,4,0)</f>
        <v>8</v>
      </c>
      <c r="E546">
        <f>VLOOKUP(tblTargetMedicos[[#This Row],[codigo_id]],[1]DIM_REPRESENTANTE_MEDICO!$C:$F,3,0)</f>
        <v>9</v>
      </c>
      <c r="F546" s="27" t="s">
        <v>5796</v>
      </c>
      <c r="G546" s="27" t="s">
        <v>5782</v>
      </c>
      <c r="H546" s="27" t="s">
        <v>96</v>
      </c>
      <c r="I546">
        <v>1</v>
      </c>
    </row>
    <row r="547" spans="1:9">
      <c r="A547" t="s">
        <v>962</v>
      </c>
      <c r="B547" s="27" t="s">
        <v>3220</v>
      </c>
      <c r="C547" s="27" t="s">
        <v>5766</v>
      </c>
      <c r="D547">
        <f>VLOOKUP(tblTargetMedicos[[#This Row],[codigo_id]],[1]DIM_REPRESENTANTE_MEDICO!$C:$F,4,0)</f>
        <v>8</v>
      </c>
      <c r="E547">
        <f>VLOOKUP(tblTargetMedicos[[#This Row],[codigo_id]],[1]DIM_REPRESENTANTE_MEDICO!$C:$F,3,0)</f>
        <v>9</v>
      </c>
      <c r="F547" s="27" t="s">
        <v>5796</v>
      </c>
      <c r="G547" s="27" t="s">
        <v>5783</v>
      </c>
      <c r="H547" s="27" t="s">
        <v>97</v>
      </c>
      <c r="I547">
        <v>1</v>
      </c>
    </row>
    <row r="548" spans="1:9">
      <c r="A548" t="s">
        <v>963</v>
      </c>
      <c r="B548" s="27" t="s">
        <v>3220</v>
      </c>
      <c r="C548" s="27" t="s">
        <v>5766</v>
      </c>
      <c r="D548">
        <f>VLOOKUP(tblTargetMedicos[[#This Row],[codigo_id]],[1]DIM_REPRESENTANTE_MEDICO!$C:$F,4,0)</f>
        <v>8</v>
      </c>
      <c r="E548">
        <f>VLOOKUP(tblTargetMedicos[[#This Row],[codigo_id]],[1]DIM_REPRESENTANTE_MEDICO!$C:$F,3,0)</f>
        <v>9</v>
      </c>
      <c r="F548" s="27" t="s">
        <v>5796</v>
      </c>
      <c r="G548" s="27" t="s">
        <v>5784</v>
      </c>
      <c r="H548" s="27" t="s">
        <v>96</v>
      </c>
      <c r="I548">
        <v>1</v>
      </c>
    </row>
    <row r="549" spans="1:9">
      <c r="A549" t="s">
        <v>964</v>
      </c>
      <c r="B549" s="27" t="s">
        <v>3220</v>
      </c>
      <c r="C549" s="27" t="s">
        <v>5766</v>
      </c>
      <c r="D549">
        <f>VLOOKUP(tblTargetMedicos[[#This Row],[codigo_id]],[1]DIM_REPRESENTANTE_MEDICO!$C:$F,4,0)</f>
        <v>8</v>
      </c>
      <c r="E549">
        <f>VLOOKUP(tblTargetMedicos[[#This Row],[codigo_id]],[1]DIM_REPRESENTANTE_MEDICO!$C:$F,3,0)</f>
        <v>9</v>
      </c>
      <c r="F549" s="27" t="s">
        <v>5796</v>
      </c>
      <c r="G549" s="27" t="s">
        <v>5784</v>
      </c>
      <c r="H549" s="27" t="s">
        <v>97</v>
      </c>
      <c r="I549">
        <v>1</v>
      </c>
    </row>
    <row r="550" spans="1:9">
      <c r="A550" t="s">
        <v>965</v>
      </c>
      <c r="B550" s="27" t="s">
        <v>3220</v>
      </c>
      <c r="C550" s="27" t="s">
        <v>5766</v>
      </c>
      <c r="D550">
        <f>VLOOKUP(tblTargetMedicos[[#This Row],[codigo_id]],[1]DIM_REPRESENTANTE_MEDICO!$C:$F,4,0)</f>
        <v>8</v>
      </c>
      <c r="E550">
        <f>VLOOKUP(tblTargetMedicos[[#This Row],[codigo_id]],[1]DIM_REPRESENTANTE_MEDICO!$C:$F,3,0)</f>
        <v>9</v>
      </c>
      <c r="F550" s="27" t="s">
        <v>5796</v>
      </c>
      <c r="G550" s="27" t="s">
        <v>5784</v>
      </c>
      <c r="H550" s="27" t="s">
        <v>96</v>
      </c>
      <c r="I550">
        <v>1</v>
      </c>
    </row>
    <row r="551" spans="1:9">
      <c r="A551" t="s">
        <v>966</v>
      </c>
      <c r="B551" s="27" t="s">
        <v>3220</v>
      </c>
      <c r="C551" s="27" t="s">
        <v>5766</v>
      </c>
      <c r="D551">
        <f>VLOOKUP(tblTargetMedicos[[#This Row],[codigo_id]],[1]DIM_REPRESENTANTE_MEDICO!$C:$F,4,0)</f>
        <v>8</v>
      </c>
      <c r="E551">
        <f>VLOOKUP(tblTargetMedicos[[#This Row],[codigo_id]],[1]DIM_REPRESENTANTE_MEDICO!$C:$F,3,0)</f>
        <v>9</v>
      </c>
      <c r="F551" s="27" t="s">
        <v>5796</v>
      </c>
      <c r="G551" s="27" t="s">
        <v>5779</v>
      </c>
      <c r="H551" s="27" t="s">
        <v>97</v>
      </c>
      <c r="I551">
        <v>1</v>
      </c>
    </row>
    <row r="552" spans="1:9">
      <c r="A552" t="s">
        <v>967</v>
      </c>
      <c r="B552" s="27" t="s">
        <v>3220</v>
      </c>
      <c r="C552" s="27" t="s">
        <v>5766</v>
      </c>
      <c r="D552">
        <f>VLOOKUP(tblTargetMedicos[[#This Row],[codigo_id]],[1]DIM_REPRESENTANTE_MEDICO!$C:$F,4,0)</f>
        <v>8</v>
      </c>
      <c r="E552">
        <f>VLOOKUP(tblTargetMedicos[[#This Row],[codigo_id]],[1]DIM_REPRESENTANTE_MEDICO!$C:$F,3,0)</f>
        <v>9</v>
      </c>
      <c r="F552" s="27" t="s">
        <v>5796</v>
      </c>
      <c r="G552" s="27" t="s">
        <v>5783</v>
      </c>
      <c r="H552" s="27" t="s">
        <v>97</v>
      </c>
      <c r="I552">
        <v>1</v>
      </c>
    </row>
    <row r="553" spans="1:9">
      <c r="A553" t="s">
        <v>968</v>
      </c>
      <c r="B553" s="27" t="s">
        <v>3220</v>
      </c>
      <c r="C553" s="27" t="s">
        <v>5766</v>
      </c>
      <c r="D553">
        <f>VLOOKUP(tblTargetMedicos[[#This Row],[codigo_id]],[1]DIM_REPRESENTANTE_MEDICO!$C:$F,4,0)</f>
        <v>8</v>
      </c>
      <c r="E553">
        <f>VLOOKUP(tblTargetMedicos[[#This Row],[codigo_id]],[1]DIM_REPRESENTANTE_MEDICO!$C:$F,3,0)</f>
        <v>9</v>
      </c>
      <c r="F553" s="27" t="s">
        <v>5796</v>
      </c>
      <c r="G553" s="27" t="s">
        <v>5784</v>
      </c>
      <c r="H553" s="27" t="s">
        <v>96</v>
      </c>
      <c r="I553">
        <v>1</v>
      </c>
    </row>
    <row r="554" spans="1:9">
      <c r="A554" t="s">
        <v>969</v>
      </c>
      <c r="B554" s="27" t="s">
        <v>3220</v>
      </c>
      <c r="C554" s="27" t="s">
        <v>5766</v>
      </c>
      <c r="D554">
        <f>VLOOKUP(tblTargetMedicos[[#This Row],[codigo_id]],[1]DIM_REPRESENTANTE_MEDICO!$C:$F,4,0)</f>
        <v>8</v>
      </c>
      <c r="E554">
        <f>VLOOKUP(tblTargetMedicos[[#This Row],[codigo_id]],[1]DIM_REPRESENTANTE_MEDICO!$C:$F,3,0)</f>
        <v>9</v>
      </c>
      <c r="F554" s="27" t="s">
        <v>5796</v>
      </c>
      <c r="G554" s="27" t="s">
        <v>5779</v>
      </c>
      <c r="H554" s="27" t="s">
        <v>96</v>
      </c>
      <c r="I554">
        <v>1</v>
      </c>
    </row>
    <row r="555" spans="1:9">
      <c r="A555" t="s">
        <v>970</v>
      </c>
      <c r="B555" s="27" t="s">
        <v>3220</v>
      </c>
      <c r="C555" s="27" t="s">
        <v>5766</v>
      </c>
      <c r="D555">
        <f>VLOOKUP(tblTargetMedicos[[#This Row],[codigo_id]],[1]DIM_REPRESENTANTE_MEDICO!$C:$F,4,0)</f>
        <v>8</v>
      </c>
      <c r="E555">
        <f>VLOOKUP(tblTargetMedicos[[#This Row],[codigo_id]],[1]DIM_REPRESENTANTE_MEDICO!$C:$F,3,0)</f>
        <v>9</v>
      </c>
      <c r="F555" s="27" t="s">
        <v>5796</v>
      </c>
      <c r="G555" s="27" t="s">
        <v>5784</v>
      </c>
      <c r="H555" s="27" t="s">
        <v>96</v>
      </c>
      <c r="I555">
        <v>1</v>
      </c>
    </row>
    <row r="556" spans="1:9">
      <c r="A556" t="s">
        <v>971</v>
      </c>
      <c r="B556" s="27" t="s">
        <v>3220</v>
      </c>
      <c r="C556" s="27" t="s">
        <v>5766</v>
      </c>
      <c r="D556">
        <f>VLOOKUP(tblTargetMedicos[[#This Row],[codigo_id]],[1]DIM_REPRESENTANTE_MEDICO!$C:$F,4,0)</f>
        <v>8</v>
      </c>
      <c r="E556">
        <f>VLOOKUP(tblTargetMedicos[[#This Row],[codigo_id]],[1]DIM_REPRESENTANTE_MEDICO!$C:$F,3,0)</f>
        <v>9</v>
      </c>
      <c r="F556" s="27" t="s">
        <v>5796</v>
      </c>
      <c r="G556" s="27" t="s">
        <v>5782</v>
      </c>
      <c r="H556" s="27" t="s">
        <v>97</v>
      </c>
      <c r="I556">
        <v>1</v>
      </c>
    </row>
    <row r="557" spans="1:9">
      <c r="A557" t="s">
        <v>972</v>
      </c>
      <c r="B557" s="27" t="s">
        <v>3220</v>
      </c>
      <c r="C557" s="27" t="s">
        <v>5766</v>
      </c>
      <c r="D557">
        <f>VLOOKUP(tblTargetMedicos[[#This Row],[codigo_id]],[1]DIM_REPRESENTANTE_MEDICO!$C:$F,4,0)</f>
        <v>8</v>
      </c>
      <c r="E557">
        <f>VLOOKUP(tblTargetMedicos[[#This Row],[codigo_id]],[1]DIM_REPRESENTANTE_MEDICO!$C:$F,3,0)</f>
        <v>9</v>
      </c>
      <c r="F557" s="27" t="s">
        <v>5796</v>
      </c>
      <c r="G557" s="27" t="s">
        <v>5784</v>
      </c>
      <c r="H557" s="27" t="s">
        <v>96</v>
      </c>
      <c r="I557">
        <v>1</v>
      </c>
    </row>
    <row r="558" spans="1:9">
      <c r="A558" t="s">
        <v>973</v>
      </c>
      <c r="B558" s="27" t="s">
        <v>3220</v>
      </c>
      <c r="C558" s="27" t="s">
        <v>5766</v>
      </c>
      <c r="D558">
        <f>VLOOKUP(tblTargetMedicos[[#This Row],[codigo_id]],[1]DIM_REPRESENTANTE_MEDICO!$C:$F,4,0)</f>
        <v>8</v>
      </c>
      <c r="E558">
        <f>VLOOKUP(tblTargetMedicos[[#This Row],[codigo_id]],[1]DIM_REPRESENTANTE_MEDICO!$C:$F,3,0)</f>
        <v>9</v>
      </c>
      <c r="F558" s="27" t="s">
        <v>5796</v>
      </c>
      <c r="G558" s="27" t="s">
        <v>5784</v>
      </c>
      <c r="H558" s="27" t="s">
        <v>97</v>
      </c>
      <c r="I558">
        <v>1</v>
      </c>
    </row>
    <row r="559" spans="1:9">
      <c r="A559" t="s">
        <v>974</v>
      </c>
      <c r="B559" s="27" t="s">
        <v>3220</v>
      </c>
      <c r="C559" s="27" t="s">
        <v>5766</v>
      </c>
      <c r="D559">
        <f>VLOOKUP(tblTargetMedicos[[#This Row],[codigo_id]],[1]DIM_REPRESENTANTE_MEDICO!$C:$F,4,0)</f>
        <v>8</v>
      </c>
      <c r="E559">
        <f>VLOOKUP(tblTargetMedicos[[#This Row],[codigo_id]],[1]DIM_REPRESENTANTE_MEDICO!$C:$F,3,0)</f>
        <v>9</v>
      </c>
      <c r="F559" s="27" t="s">
        <v>5796</v>
      </c>
      <c r="G559" s="27" t="s">
        <v>5783</v>
      </c>
      <c r="H559" s="27" t="s">
        <v>96</v>
      </c>
      <c r="I559">
        <v>1</v>
      </c>
    </row>
    <row r="560" spans="1:9">
      <c r="A560" t="s">
        <v>975</v>
      </c>
      <c r="B560" s="27" t="s">
        <v>3220</v>
      </c>
      <c r="C560" s="27" t="s">
        <v>5766</v>
      </c>
      <c r="D560">
        <f>VLOOKUP(tblTargetMedicos[[#This Row],[codigo_id]],[1]DIM_REPRESENTANTE_MEDICO!$C:$F,4,0)</f>
        <v>8</v>
      </c>
      <c r="E560">
        <f>VLOOKUP(tblTargetMedicos[[#This Row],[codigo_id]],[1]DIM_REPRESENTANTE_MEDICO!$C:$F,3,0)</f>
        <v>9</v>
      </c>
      <c r="F560" s="27" t="s">
        <v>5796</v>
      </c>
      <c r="G560" s="27" t="s">
        <v>5783</v>
      </c>
      <c r="H560" s="27" t="s">
        <v>96</v>
      </c>
      <c r="I560">
        <v>1</v>
      </c>
    </row>
    <row r="561" spans="1:9">
      <c r="A561" t="s">
        <v>976</v>
      </c>
      <c r="B561" s="27" t="s">
        <v>3220</v>
      </c>
      <c r="C561" s="27" t="s">
        <v>5766</v>
      </c>
      <c r="D561">
        <f>VLOOKUP(tblTargetMedicos[[#This Row],[codigo_id]],[1]DIM_REPRESENTANTE_MEDICO!$C:$F,4,0)</f>
        <v>8</v>
      </c>
      <c r="E561">
        <f>VLOOKUP(tblTargetMedicos[[#This Row],[codigo_id]],[1]DIM_REPRESENTANTE_MEDICO!$C:$F,3,0)</f>
        <v>9</v>
      </c>
      <c r="F561" s="27" t="s">
        <v>5796</v>
      </c>
      <c r="G561" s="27" t="s">
        <v>5784</v>
      </c>
      <c r="H561" s="27" t="s">
        <v>96</v>
      </c>
      <c r="I561">
        <v>1</v>
      </c>
    </row>
    <row r="562" spans="1:9">
      <c r="A562" t="s">
        <v>977</v>
      </c>
      <c r="B562" s="27" t="s">
        <v>3220</v>
      </c>
      <c r="C562" s="27" t="s">
        <v>5766</v>
      </c>
      <c r="D562">
        <f>VLOOKUP(tblTargetMedicos[[#This Row],[codigo_id]],[1]DIM_REPRESENTANTE_MEDICO!$C:$F,4,0)</f>
        <v>8</v>
      </c>
      <c r="E562">
        <f>VLOOKUP(tblTargetMedicos[[#This Row],[codigo_id]],[1]DIM_REPRESENTANTE_MEDICO!$C:$F,3,0)</f>
        <v>9</v>
      </c>
      <c r="F562" s="27" t="s">
        <v>5796</v>
      </c>
      <c r="G562" s="27" t="s">
        <v>5783</v>
      </c>
      <c r="H562" s="27" t="s">
        <v>96</v>
      </c>
      <c r="I562">
        <v>1</v>
      </c>
    </row>
    <row r="563" spans="1:9">
      <c r="A563" t="s">
        <v>978</v>
      </c>
      <c r="B563" s="27" t="s">
        <v>3220</v>
      </c>
      <c r="C563" s="27" t="s">
        <v>5766</v>
      </c>
      <c r="D563">
        <f>VLOOKUP(tblTargetMedicos[[#This Row],[codigo_id]],[1]DIM_REPRESENTANTE_MEDICO!$C:$F,4,0)</f>
        <v>8</v>
      </c>
      <c r="E563">
        <f>VLOOKUP(tblTargetMedicos[[#This Row],[codigo_id]],[1]DIM_REPRESENTANTE_MEDICO!$C:$F,3,0)</f>
        <v>9</v>
      </c>
      <c r="F563" s="27" t="s">
        <v>5796</v>
      </c>
      <c r="G563" s="27" t="s">
        <v>5784</v>
      </c>
      <c r="H563" s="27" t="s">
        <v>96</v>
      </c>
      <c r="I563">
        <v>1</v>
      </c>
    </row>
    <row r="564" spans="1:9">
      <c r="A564" t="s">
        <v>979</v>
      </c>
      <c r="B564" s="27" t="s">
        <v>3220</v>
      </c>
      <c r="C564" s="27" t="s">
        <v>5766</v>
      </c>
      <c r="D564">
        <f>VLOOKUP(tblTargetMedicos[[#This Row],[codigo_id]],[1]DIM_REPRESENTANTE_MEDICO!$C:$F,4,0)</f>
        <v>8</v>
      </c>
      <c r="E564">
        <f>VLOOKUP(tblTargetMedicos[[#This Row],[codigo_id]],[1]DIM_REPRESENTANTE_MEDICO!$C:$F,3,0)</f>
        <v>9</v>
      </c>
      <c r="F564" s="27" t="s">
        <v>5796</v>
      </c>
      <c r="G564" s="27" t="s">
        <v>5784</v>
      </c>
      <c r="H564" s="27" t="s">
        <v>96</v>
      </c>
      <c r="I564">
        <v>1</v>
      </c>
    </row>
    <row r="565" spans="1:9">
      <c r="A565" t="s">
        <v>980</v>
      </c>
      <c r="B565" s="27" t="s">
        <v>3220</v>
      </c>
      <c r="C565" s="27" t="s">
        <v>5766</v>
      </c>
      <c r="D565">
        <f>VLOOKUP(tblTargetMedicos[[#This Row],[codigo_id]],[1]DIM_REPRESENTANTE_MEDICO!$C:$F,4,0)</f>
        <v>8</v>
      </c>
      <c r="E565">
        <f>VLOOKUP(tblTargetMedicos[[#This Row],[codigo_id]],[1]DIM_REPRESENTANTE_MEDICO!$C:$F,3,0)</f>
        <v>9</v>
      </c>
      <c r="F565" s="27" t="s">
        <v>5796</v>
      </c>
      <c r="G565" s="27" t="s">
        <v>5783</v>
      </c>
      <c r="H565" s="27" t="s">
        <v>96</v>
      </c>
      <c r="I565">
        <v>1</v>
      </c>
    </row>
    <row r="566" spans="1:9">
      <c r="A566" t="s">
        <v>981</v>
      </c>
      <c r="B566" s="27" t="s">
        <v>3220</v>
      </c>
      <c r="C566" s="27" t="s">
        <v>5766</v>
      </c>
      <c r="D566">
        <f>VLOOKUP(tblTargetMedicos[[#This Row],[codigo_id]],[1]DIM_REPRESENTANTE_MEDICO!$C:$F,4,0)</f>
        <v>8</v>
      </c>
      <c r="E566">
        <f>VLOOKUP(tblTargetMedicos[[#This Row],[codigo_id]],[1]DIM_REPRESENTANTE_MEDICO!$C:$F,3,0)</f>
        <v>9</v>
      </c>
      <c r="F566" s="27" t="s">
        <v>5796</v>
      </c>
      <c r="G566" s="27" t="s">
        <v>5779</v>
      </c>
      <c r="H566" s="27" t="s">
        <v>96</v>
      </c>
      <c r="I566">
        <v>1</v>
      </c>
    </row>
    <row r="567" spans="1:9">
      <c r="A567" t="s">
        <v>982</v>
      </c>
      <c r="B567" s="27" t="s">
        <v>3220</v>
      </c>
      <c r="C567" s="27" t="s">
        <v>5766</v>
      </c>
      <c r="D567">
        <f>VLOOKUP(tblTargetMedicos[[#This Row],[codigo_id]],[1]DIM_REPRESENTANTE_MEDICO!$C:$F,4,0)</f>
        <v>8</v>
      </c>
      <c r="E567">
        <f>VLOOKUP(tblTargetMedicos[[#This Row],[codigo_id]],[1]DIM_REPRESENTANTE_MEDICO!$C:$F,3,0)</f>
        <v>9</v>
      </c>
      <c r="F567" s="27" t="s">
        <v>5796</v>
      </c>
      <c r="G567" s="27" t="s">
        <v>5781</v>
      </c>
      <c r="H567" s="27" t="s">
        <v>97</v>
      </c>
      <c r="I567">
        <v>1</v>
      </c>
    </row>
    <row r="568" spans="1:9">
      <c r="A568" t="s">
        <v>983</v>
      </c>
      <c r="B568" s="27" t="s">
        <v>3220</v>
      </c>
      <c r="C568" s="27" t="s">
        <v>5766</v>
      </c>
      <c r="D568">
        <f>VLOOKUP(tblTargetMedicos[[#This Row],[codigo_id]],[1]DIM_REPRESENTANTE_MEDICO!$C:$F,4,0)</f>
        <v>8</v>
      </c>
      <c r="E568">
        <f>VLOOKUP(tblTargetMedicos[[#This Row],[codigo_id]],[1]DIM_REPRESENTANTE_MEDICO!$C:$F,3,0)</f>
        <v>9</v>
      </c>
      <c r="F568" s="27" t="s">
        <v>5796</v>
      </c>
      <c r="G568" s="27" t="s">
        <v>5780</v>
      </c>
      <c r="H568" s="27" t="s">
        <v>97</v>
      </c>
      <c r="I568">
        <v>1</v>
      </c>
    </row>
    <row r="569" spans="1:9">
      <c r="A569" t="s">
        <v>984</v>
      </c>
      <c r="B569" s="27" t="s">
        <v>3220</v>
      </c>
      <c r="C569" s="27" t="s">
        <v>5766</v>
      </c>
      <c r="D569">
        <f>VLOOKUP(tblTargetMedicos[[#This Row],[codigo_id]],[1]DIM_REPRESENTANTE_MEDICO!$C:$F,4,0)</f>
        <v>8</v>
      </c>
      <c r="E569">
        <f>VLOOKUP(tblTargetMedicos[[#This Row],[codigo_id]],[1]DIM_REPRESENTANTE_MEDICO!$C:$F,3,0)</f>
        <v>9</v>
      </c>
      <c r="F569" s="27" t="s">
        <v>5796</v>
      </c>
      <c r="G569" s="27" t="s">
        <v>5787</v>
      </c>
      <c r="H569" s="27" t="s">
        <v>97</v>
      </c>
      <c r="I569">
        <v>1</v>
      </c>
    </row>
    <row r="570" spans="1:9">
      <c r="A570" t="s">
        <v>985</v>
      </c>
      <c r="B570" s="27" t="s">
        <v>3220</v>
      </c>
      <c r="C570" s="27" t="s">
        <v>5766</v>
      </c>
      <c r="D570">
        <f>VLOOKUP(tblTargetMedicos[[#This Row],[codigo_id]],[1]DIM_REPRESENTANTE_MEDICO!$C:$F,4,0)</f>
        <v>8</v>
      </c>
      <c r="E570">
        <f>VLOOKUP(tblTargetMedicos[[#This Row],[codigo_id]],[1]DIM_REPRESENTANTE_MEDICO!$C:$F,3,0)</f>
        <v>9</v>
      </c>
      <c r="F570" s="27" t="s">
        <v>5796</v>
      </c>
      <c r="G570" s="27" t="s">
        <v>5784</v>
      </c>
      <c r="H570" s="27" t="s">
        <v>96</v>
      </c>
      <c r="I570">
        <v>1</v>
      </c>
    </row>
    <row r="571" spans="1:9">
      <c r="A571" t="s">
        <v>986</v>
      </c>
      <c r="B571" s="27" t="s">
        <v>3220</v>
      </c>
      <c r="C571" s="27" t="s">
        <v>5766</v>
      </c>
      <c r="D571">
        <f>VLOOKUP(tblTargetMedicos[[#This Row],[codigo_id]],[1]DIM_REPRESENTANTE_MEDICO!$C:$F,4,0)</f>
        <v>8</v>
      </c>
      <c r="E571">
        <f>VLOOKUP(tblTargetMedicos[[#This Row],[codigo_id]],[1]DIM_REPRESENTANTE_MEDICO!$C:$F,3,0)</f>
        <v>9</v>
      </c>
      <c r="F571" s="27" t="s">
        <v>5796</v>
      </c>
      <c r="G571" s="27" t="s">
        <v>5781</v>
      </c>
      <c r="H571" s="27" t="s">
        <v>97</v>
      </c>
      <c r="I571">
        <v>1</v>
      </c>
    </row>
    <row r="572" spans="1:9">
      <c r="A572" t="s">
        <v>987</v>
      </c>
      <c r="B572" s="27" t="s">
        <v>3220</v>
      </c>
      <c r="C572" s="27" t="s">
        <v>5766</v>
      </c>
      <c r="D572">
        <f>VLOOKUP(tblTargetMedicos[[#This Row],[codigo_id]],[1]DIM_REPRESENTANTE_MEDICO!$C:$F,4,0)</f>
        <v>8</v>
      </c>
      <c r="E572">
        <f>VLOOKUP(tblTargetMedicos[[#This Row],[codigo_id]],[1]DIM_REPRESENTANTE_MEDICO!$C:$F,3,0)</f>
        <v>9</v>
      </c>
      <c r="F572" s="27" t="s">
        <v>5796</v>
      </c>
      <c r="G572" s="27" t="s">
        <v>5788</v>
      </c>
      <c r="H572" s="27" t="s">
        <v>96</v>
      </c>
      <c r="I572">
        <v>1</v>
      </c>
    </row>
    <row r="573" spans="1:9">
      <c r="A573" t="s">
        <v>988</v>
      </c>
      <c r="B573" s="27" t="s">
        <v>3220</v>
      </c>
      <c r="C573" s="27" t="s">
        <v>5766</v>
      </c>
      <c r="D573">
        <f>VLOOKUP(tblTargetMedicos[[#This Row],[codigo_id]],[1]DIM_REPRESENTANTE_MEDICO!$C:$F,4,0)</f>
        <v>8</v>
      </c>
      <c r="E573">
        <f>VLOOKUP(tblTargetMedicos[[#This Row],[codigo_id]],[1]DIM_REPRESENTANTE_MEDICO!$C:$F,3,0)</f>
        <v>9</v>
      </c>
      <c r="F573" s="27" t="s">
        <v>5796</v>
      </c>
      <c r="G573" s="27" t="s">
        <v>5783</v>
      </c>
      <c r="H573" s="27" t="s">
        <v>97</v>
      </c>
      <c r="I573">
        <v>1</v>
      </c>
    </row>
    <row r="574" spans="1:9">
      <c r="A574" t="s">
        <v>989</v>
      </c>
      <c r="B574" s="27" t="s">
        <v>3220</v>
      </c>
      <c r="C574" s="27" t="s">
        <v>5766</v>
      </c>
      <c r="D574">
        <f>VLOOKUP(tblTargetMedicos[[#This Row],[codigo_id]],[1]DIM_REPRESENTANTE_MEDICO!$C:$F,4,0)</f>
        <v>8</v>
      </c>
      <c r="E574">
        <f>VLOOKUP(tblTargetMedicos[[#This Row],[codigo_id]],[1]DIM_REPRESENTANTE_MEDICO!$C:$F,3,0)</f>
        <v>9</v>
      </c>
      <c r="F574" s="27" t="s">
        <v>5796</v>
      </c>
      <c r="G574" s="27" t="s">
        <v>5784</v>
      </c>
      <c r="H574" s="27" t="s">
        <v>96</v>
      </c>
      <c r="I574">
        <v>1</v>
      </c>
    </row>
    <row r="575" spans="1:9">
      <c r="A575" t="s">
        <v>990</v>
      </c>
      <c r="B575" s="27" t="s">
        <v>3220</v>
      </c>
      <c r="C575" s="27" t="s">
        <v>5766</v>
      </c>
      <c r="D575">
        <f>VLOOKUP(tblTargetMedicos[[#This Row],[codigo_id]],[1]DIM_REPRESENTANTE_MEDICO!$C:$F,4,0)</f>
        <v>8</v>
      </c>
      <c r="E575">
        <f>VLOOKUP(tblTargetMedicos[[#This Row],[codigo_id]],[1]DIM_REPRESENTANTE_MEDICO!$C:$F,3,0)</f>
        <v>9</v>
      </c>
      <c r="F575" s="27" t="s">
        <v>5796</v>
      </c>
      <c r="G575" s="27" t="s">
        <v>5784</v>
      </c>
      <c r="H575" s="27" t="s">
        <v>97</v>
      </c>
      <c r="I575">
        <v>1</v>
      </c>
    </row>
    <row r="576" spans="1:9">
      <c r="A576" t="s">
        <v>991</v>
      </c>
      <c r="B576" s="27" t="s">
        <v>3220</v>
      </c>
      <c r="C576" s="27" t="s">
        <v>5766</v>
      </c>
      <c r="D576">
        <f>VLOOKUP(tblTargetMedicos[[#This Row],[codigo_id]],[1]DIM_REPRESENTANTE_MEDICO!$C:$F,4,0)</f>
        <v>8</v>
      </c>
      <c r="E576">
        <f>VLOOKUP(tblTargetMedicos[[#This Row],[codigo_id]],[1]DIM_REPRESENTANTE_MEDICO!$C:$F,3,0)</f>
        <v>9</v>
      </c>
      <c r="F576" s="27" t="s">
        <v>5796</v>
      </c>
      <c r="G576" s="27" t="s">
        <v>5783</v>
      </c>
      <c r="H576" s="27" t="s">
        <v>97</v>
      </c>
      <c r="I576">
        <v>1</v>
      </c>
    </row>
    <row r="577" spans="1:9">
      <c r="A577" t="s">
        <v>992</v>
      </c>
      <c r="B577" s="27" t="s">
        <v>3220</v>
      </c>
      <c r="C577" s="27" t="s">
        <v>5766</v>
      </c>
      <c r="D577">
        <f>VLOOKUP(tblTargetMedicos[[#This Row],[codigo_id]],[1]DIM_REPRESENTANTE_MEDICO!$C:$F,4,0)</f>
        <v>8</v>
      </c>
      <c r="E577">
        <f>VLOOKUP(tblTargetMedicos[[#This Row],[codigo_id]],[1]DIM_REPRESENTANTE_MEDICO!$C:$F,3,0)</f>
        <v>9</v>
      </c>
      <c r="F577" s="27" t="s">
        <v>5796</v>
      </c>
      <c r="G577" s="27" t="s">
        <v>5780</v>
      </c>
      <c r="H577" s="27" t="s">
        <v>96</v>
      </c>
      <c r="I577">
        <v>1</v>
      </c>
    </row>
    <row r="578" spans="1:9">
      <c r="A578" t="s">
        <v>993</v>
      </c>
      <c r="B578" s="27" t="s">
        <v>3220</v>
      </c>
      <c r="C578" s="27" t="s">
        <v>5766</v>
      </c>
      <c r="D578">
        <f>VLOOKUP(tblTargetMedicos[[#This Row],[codigo_id]],[1]DIM_REPRESENTANTE_MEDICO!$C:$F,4,0)</f>
        <v>8</v>
      </c>
      <c r="E578">
        <f>VLOOKUP(tblTargetMedicos[[#This Row],[codigo_id]],[1]DIM_REPRESENTANTE_MEDICO!$C:$F,3,0)</f>
        <v>9</v>
      </c>
      <c r="F578" s="27" t="s">
        <v>5796</v>
      </c>
      <c r="G578" s="27" t="s">
        <v>5783</v>
      </c>
      <c r="H578" s="27" t="s">
        <v>97</v>
      </c>
      <c r="I578">
        <v>1</v>
      </c>
    </row>
    <row r="579" spans="1:9">
      <c r="A579" t="s">
        <v>994</v>
      </c>
      <c r="B579" s="27" t="s">
        <v>3220</v>
      </c>
      <c r="C579" s="27" t="s">
        <v>5766</v>
      </c>
      <c r="D579">
        <f>VLOOKUP(tblTargetMedicos[[#This Row],[codigo_id]],[1]DIM_REPRESENTANTE_MEDICO!$C:$F,4,0)</f>
        <v>8</v>
      </c>
      <c r="E579">
        <f>VLOOKUP(tblTargetMedicos[[#This Row],[codigo_id]],[1]DIM_REPRESENTANTE_MEDICO!$C:$F,3,0)</f>
        <v>9</v>
      </c>
      <c r="F579" s="27" t="s">
        <v>5796</v>
      </c>
      <c r="G579" s="27" t="s">
        <v>5781</v>
      </c>
      <c r="H579" s="27" t="s">
        <v>97</v>
      </c>
      <c r="I579">
        <v>1</v>
      </c>
    </row>
    <row r="580" spans="1:9">
      <c r="A580" t="s">
        <v>995</v>
      </c>
      <c r="B580" s="27" t="s">
        <v>3220</v>
      </c>
      <c r="C580" s="27" t="s">
        <v>5766</v>
      </c>
      <c r="D580">
        <f>VLOOKUP(tblTargetMedicos[[#This Row],[codigo_id]],[1]DIM_REPRESENTANTE_MEDICO!$C:$F,4,0)</f>
        <v>8</v>
      </c>
      <c r="E580">
        <f>VLOOKUP(tblTargetMedicos[[#This Row],[codigo_id]],[1]DIM_REPRESENTANTE_MEDICO!$C:$F,3,0)</f>
        <v>9</v>
      </c>
      <c r="F580" s="27" t="s">
        <v>5796</v>
      </c>
      <c r="G580" s="27" t="s">
        <v>5783</v>
      </c>
      <c r="H580" s="27" t="s">
        <v>97</v>
      </c>
      <c r="I580">
        <v>1</v>
      </c>
    </row>
    <row r="581" spans="1:9">
      <c r="A581" t="s">
        <v>996</v>
      </c>
      <c r="B581" s="27" t="s">
        <v>3220</v>
      </c>
      <c r="C581" s="27" t="s">
        <v>5766</v>
      </c>
      <c r="D581">
        <f>VLOOKUP(tblTargetMedicos[[#This Row],[codigo_id]],[1]DIM_REPRESENTANTE_MEDICO!$C:$F,4,0)</f>
        <v>8</v>
      </c>
      <c r="E581">
        <f>VLOOKUP(tblTargetMedicos[[#This Row],[codigo_id]],[1]DIM_REPRESENTANTE_MEDICO!$C:$F,3,0)</f>
        <v>9</v>
      </c>
      <c r="F581" s="27" t="s">
        <v>5796</v>
      </c>
      <c r="G581" s="27" t="s">
        <v>5786</v>
      </c>
      <c r="H581" s="27" t="s">
        <v>96</v>
      </c>
      <c r="I581">
        <v>1</v>
      </c>
    </row>
    <row r="582" spans="1:9">
      <c r="A582" t="s">
        <v>997</v>
      </c>
      <c r="B582" s="27" t="s">
        <v>3220</v>
      </c>
      <c r="C582" s="27" t="s">
        <v>5766</v>
      </c>
      <c r="D582">
        <f>VLOOKUP(tblTargetMedicos[[#This Row],[codigo_id]],[1]DIM_REPRESENTANTE_MEDICO!$C:$F,4,0)</f>
        <v>8</v>
      </c>
      <c r="E582">
        <f>VLOOKUP(tblTargetMedicos[[#This Row],[codigo_id]],[1]DIM_REPRESENTANTE_MEDICO!$C:$F,3,0)</f>
        <v>9</v>
      </c>
      <c r="F582" s="27" t="s">
        <v>5796</v>
      </c>
      <c r="G582" s="27" t="s">
        <v>5783</v>
      </c>
      <c r="H582" s="27" t="s">
        <v>96</v>
      </c>
      <c r="I582">
        <v>1</v>
      </c>
    </row>
    <row r="583" spans="1:9">
      <c r="A583" t="s">
        <v>998</v>
      </c>
      <c r="B583" s="27" t="s">
        <v>3220</v>
      </c>
      <c r="C583" s="27" t="s">
        <v>5766</v>
      </c>
      <c r="D583">
        <f>VLOOKUP(tblTargetMedicos[[#This Row],[codigo_id]],[1]DIM_REPRESENTANTE_MEDICO!$C:$F,4,0)</f>
        <v>8</v>
      </c>
      <c r="E583">
        <f>VLOOKUP(tblTargetMedicos[[#This Row],[codigo_id]],[1]DIM_REPRESENTANTE_MEDICO!$C:$F,3,0)</f>
        <v>9</v>
      </c>
      <c r="F583" s="27" t="s">
        <v>5796</v>
      </c>
      <c r="G583" s="27" t="s">
        <v>5784</v>
      </c>
      <c r="H583" s="27" t="s">
        <v>97</v>
      </c>
      <c r="I583">
        <v>1</v>
      </c>
    </row>
    <row r="584" spans="1:9">
      <c r="A584" t="s">
        <v>999</v>
      </c>
      <c r="B584" s="27" t="s">
        <v>3220</v>
      </c>
      <c r="C584" s="27" t="s">
        <v>5766</v>
      </c>
      <c r="D584">
        <f>VLOOKUP(tblTargetMedicos[[#This Row],[codigo_id]],[1]DIM_REPRESENTANTE_MEDICO!$C:$F,4,0)</f>
        <v>8</v>
      </c>
      <c r="E584">
        <f>VLOOKUP(tblTargetMedicos[[#This Row],[codigo_id]],[1]DIM_REPRESENTANTE_MEDICO!$C:$F,3,0)</f>
        <v>9</v>
      </c>
      <c r="F584" s="27" t="s">
        <v>5796</v>
      </c>
      <c r="G584" s="27" t="s">
        <v>5783</v>
      </c>
      <c r="H584" s="27" t="s">
        <v>97</v>
      </c>
      <c r="I584">
        <v>1</v>
      </c>
    </row>
    <row r="585" spans="1:9">
      <c r="A585" t="s">
        <v>1000</v>
      </c>
      <c r="B585" s="27" t="s">
        <v>3220</v>
      </c>
      <c r="C585" s="27" t="s">
        <v>5766</v>
      </c>
      <c r="D585">
        <f>VLOOKUP(tblTargetMedicos[[#This Row],[codigo_id]],[1]DIM_REPRESENTANTE_MEDICO!$C:$F,4,0)</f>
        <v>8</v>
      </c>
      <c r="E585">
        <f>VLOOKUP(tblTargetMedicos[[#This Row],[codigo_id]],[1]DIM_REPRESENTANTE_MEDICO!$C:$F,3,0)</f>
        <v>9</v>
      </c>
      <c r="F585" s="27" t="s">
        <v>5796</v>
      </c>
      <c r="G585" s="27" t="s">
        <v>5786</v>
      </c>
      <c r="H585" s="27" t="s">
        <v>96</v>
      </c>
      <c r="I585">
        <v>1</v>
      </c>
    </row>
    <row r="586" spans="1:9">
      <c r="A586" t="s">
        <v>1001</v>
      </c>
      <c r="B586" s="27" t="s">
        <v>3220</v>
      </c>
      <c r="C586" s="27" t="s">
        <v>5766</v>
      </c>
      <c r="D586">
        <f>VLOOKUP(tblTargetMedicos[[#This Row],[codigo_id]],[1]DIM_REPRESENTANTE_MEDICO!$C:$F,4,0)</f>
        <v>8</v>
      </c>
      <c r="E586">
        <f>VLOOKUP(tblTargetMedicos[[#This Row],[codigo_id]],[1]DIM_REPRESENTANTE_MEDICO!$C:$F,3,0)</f>
        <v>9</v>
      </c>
      <c r="F586" s="27" t="s">
        <v>5796</v>
      </c>
      <c r="G586" s="27" t="s">
        <v>5787</v>
      </c>
      <c r="H586" s="27" t="s">
        <v>97</v>
      </c>
      <c r="I586">
        <v>1</v>
      </c>
    </row>
    <row r="587" spans="1:9">
      <c r="A587" t="s">
        <v>1002</v>
      </c>
      <c r="B587" s="27" t="s">
        <v>3220</v>
      </c>
      <c r="C587" s="27" t="s">
        <v>5766</v>
      </c>
      <c r="D587">
        <f>VLOOKUP(tblTargetMedicos[[#This Row],[codigo_id]],[1]DIM_REPRESENTANTE_MEDICO!$C:$F,4,0)</f>
        <v>8</v>
      </c>
      <c r="E587">
        <f>VLOOKUP(tblTargetMedicos[[#This Row],[codigo_id]],[1]DIM_REPRESENTANTE_MEDICO!$C:$F,3,0)</f>
        <v>9</v>
      </c>
      <c r="F587" s="27" t="s">
        <v>5796</v>
      </c>
      <c r="G587" s="27" t="s">
        <v>5779</v>
      </c>
      <c r="H587" s="27" t="s">
        <v>96</v>
      </c>
      <c r="I587">
        <v>1</v>
      </c>
    </row>
    <row r="588" spans="1:9">
      <c r="A588" t="s">
        <v>1003</v>
      </c>
      <c r="B588" s="27" t="s">
        <v>3220</v>
      </c>
      <c r="C588" s="27" t="s">
        <v>5766</v>
      </c>
      <c r="D588">
        <f>VLOOKUP(tblTargetMedicos[[#This Row],[codigo_id]],[1]DIM_REPRESENTANTE_MEDICO!$C:$F,4,0)</f>
        <v>8</v>
      </c>
      <c r="E588">
        <f>VLOOKUP(tblTargetMedicos[[#This Row],[codigo_id]],[1]DIM_REPRESENTANTE_MEDICO!$C:$F,3,0)</f>
        <v>9</v>
      </c>
      <c r="F588" s="27" t="s">
        <v>5796</v>
      </c>
      <c r="G588" s="27" t="s">
        <v>5784</v>
      </c>
      <c r="H588" s="27" t="s">
        <v>96</v>
      </c>
      <c r="I588">
        <v>1</v>
      </c>
    </row>
    <row r="589" spans="1:9">
      <c r="A589" t="s">
        <v>1004</v>
      </c>
      <c r="B589" s="27" t="s">
        <v>3220</v>
      </c>
      <c r="C589" s="27" t="s">
        <v>5766</v>
      </c>
      <c r="D589">
        <f>VLOOKUP(tblTargetMedicos[[#This Row],[codigo_id]],[1]DIM_REPRESENTANTE_MEDICO!$C:$F,4,0)</f>
        <v>8</v>
      </c>
      <c r="E589">
        <f>VLOOKUP(tblTargetMedicos[[#This Row],[codigo_id]],[1]DIM_REPRESENTANTE_MEDICO!$C:$F,3,0)</f>
        <v>9</v>
      </c>
      <c r="F589" s="27" t="s">
        <v>5796</v>
      </c>
      <c r="G589" s="27" t="s">
        <v>5791</v>
      </c>
      <c r="H589" s="27" t="s">
        <v>97</v>
      </c>
      <c r="I589">
        <v>1</v>
      </c>
    </row>
    <row r="590" spans="1:9">
      <c r="A590" t="s">
        <v>1005</v>
      </c>
      <c r="B590" s="27" t="s">
        <v>3220</v>
      </c>
      <c r="C590" s="27" t="s">
        <v>5766</v>
      </c>
      <c r="D590">
        <f>VLOOKUP(tblTargetMedicos[[#This Row],[codigo_id]],[1]DIM_REPRESENTANTE_MEDICO!$C:$F,4,0)</f>
        <v>8</v>
      </c>
      <c r="E590">
        <f>VLOOKUP(tblTargetMedicos[[#This Row],[codigo_id]],[1]DIM_REPRESENTANTE_MEDICO!$C:$F,3,0)</f>
        <v>9</v>
      </c>
      <c r="F590" s="27" t="s">
        <v>5796</v>
      </c>
      <c r="G590" s="27" t="s">
        <v>5783</v>
      </c>
      <c r="H590" s="27" t="s">
        <v>96</v>
      </c>
      <c r="I590">
        <v>1</v>
      </c>
    </row>
    <row r="591" spans="1:9">
      <c r="A591" t="s">
        <v>1006</v>
      </c>
      <c r="B591" s="27" t="s">
        <v>3220</v>
      </c>
      <c r="C591" s="27" t="s">
        <v>5766</v>
      </c>
      <c r="D591">
        <f>VLOOKUP(tblTargetMedicos[[#This Row],[codigo_id]],[1]DIM_REPRESENTANTE_MEDICO!$C:$F,4,0)</f>
        <v>8</v>
      </c>
      <c r="E591">
        <f>VLOOKUP(tblTargetMedicos[[#This Row],[codigo_id]],[1]DIM_REPRESENTANTE_MEDICO!$C:$F,3,0)</f>
        <v>9</v>
      </c>
      <c r="F591" s="27" t="s">
        <v>5796</v>
      </c>
      <c r="G591" s="27" t="s">
        <v>5783</v>
      </c>
      <c r="H591" s="27" t="s">
        <v>96</v>
      </c>
      <c r="I591">
        <v>1</v>
      </c>
    </row>
    <row r="592" spans="1:9">
      <c r="A592" t="s">
        <v>1007</v>
      </c>
      <c r="B592" s="27" t="s">
        <v>3220</v>
      </c>
      <c r="C592" s="27" t="s">
        <v>5766</v>
      </c>
      <c r="D592">
        <f>VLOOKUP(tblTargetMedicos[[#This Row],[codigo_id]],[1]DIM_REPRESENTANTE_MEDICO!$C:$F,4,0)</f>
        <v>8</v>
      </c>
      <c r="E592">
        <f>VLOOKUP(tblTargetMedicos[[#This Row],[codigo_id]],[1]DIM_REPRESENTANTE_MEDICO!$C:$F,3,0)</f>
        <v>9</v>
      </c>
      <c r="F592" s="27" t="s">
        <v>5796</v>
      </c>
      <c r="G592" s="27" t="s">
        <v>5786</v>
      </c>
      <c r="H592" s="27" t="s">
        <v>96</v>
      </c>
      <c r="I592">
        <v>1</v>
      </c>
    </row>
    <row r="593" spans="1:9">
      <c r="A593" t="s">
        <v>1008</v>
      </c>
      <c r="B593" s="27" t="s">
        <v>3220</v>
      </c>
      <c r="C593" s="27" t="s">
        <v>5766</v>
      </c>
      <c r="D593">
        <f>VLOOKUP(tblTargetMedicos[[#This Row],[codigo_id]],[1]DIM_REPRESENTANTE_MEDICO!$C:$F,4,0)</f>
        <v>8</v>
      </c>
      <c r="E593">
        <f>VLOOKUP(tblTargetMedicos[[#This Row],[codigo_id]],[1]DIM_REPRESENTANTE_MEDICO!$C:$F,3,0)</f>
        <v>9</v>
      </c>
      <c r="F593" s="27" t="s">
        <v>5796</v>
      </c>
      <c r="G593" s="27" t="s">
        <v>5786</v>
      </c>
      <c r="H593" s="27" t="s">
        <v>97</v>
      </c>
      <c r="I593">
        <v>1</v>
      </c>
    </row>
    <row r="594" spans="1:9">
      <c r="A594" t="s">
        <v>1009</v>
      </c>
      <c r="B594" s="27" t="s">
        <v>3220</v>
      </c>
      <c r="C594" s="27" t="s">
        <v>5766</v>
      </c>
      <c r="D594">
        <f>VLOOKUP(tblTargetMedicos[[#This Row],[codigo_id]],[1]DIM_REPRESENTANTE_MEDICO!$C:$F,4,0)</f>
        <v>8</v>
      </c>
      <c r="E594">
        <f>VLOOKUP(tblTargetMedicos[[#This Row],[codigo_id]],[1]DIM_REPRESENTANTE_MEDICO!$C:$F,3,0)</f>
        <v>9</v>
      </c>
      <c r="F594" s="27" t="s">
        <v>5796</v>
      </c>
      <c r="G594" s="27" t="s">
        <v>5783</v>
      </c>
      <c r="H594" s="27" t="s">
        <v>96</v>
      </c>
      <c r="I594">
        <v>1</v>
      </c>
    </row>
    <row r="595" spans="1:9">
      <c r="A595" t="s">
        <v>1010</v>
      </c>
      <c r="B595" s="27" t="s">
        <v>3220</v>
      </c>
      <c r="C595" s="27" t="s">
        <v>5766</v>
      </c>
      <c r="D595">
        <f>VLOOKUP(tblTargetMedicos[[#This Row],[codigo_id]],[1]DIM_REPRESENTANTE_MEDICO!$C:$F,4,0)</f>
        <v>8</v>
      </c>
      <c r="E595">
        <f>VLOOKUP(tblTargetMedicos[[#This Row],[codigo_id]],[1]DIM_REPRESENTANTE_MEDICO!$C:$F,3,0)</f>
        <v>9</v>
      </c>
      <c r="F595" s="27" t="s">
        <v>5796</v>
      </c>
      <c r="G595" s="27" t="s">
        <v>5781</v>
      </c>
      <c r="H595" s="27" t="s">
        <v>97</v>
      </c>
      <c r="I595">
        <v>1</v>
      </c>
    </row>
    <row r="596" spans="1:9">
      <c r="A596" t="s">
        <v>1011</v>
      </c>
      <c r="B596" s="27" t="s">
        <v>3220</v>
      </c>
      <c r="C596" s="27" t="s">
        <v>5766</v>
      </c>
      <c r="D596">
        <f>VLOOKUP(tblTargetMedicos[[#This Row],[codigo_id]],[1]DIM_REPRESENTANTE_MEDICO!$C:$F,4,0)</f>
        <v>8</v>
      </c>
      <c r="E596">
        <f>VLOOKUP(tblTargetMedicos[[#This Row],[codigo_id]],[1]DIM_REPRESENTANTE_MEDICO!$C:$F,3,0)</f>
        <v>9</v>
      </c>
      <c r="F596" s="27" t="s">
        <v>5796</v>
      </c>
      <c r="G596" s="27" t="s">
        <v>5783</v>
      </c>
      <c r="H596" s="27" t="s">
        <v>97</v>
      </c>
      <c r="I596">
        <v>1</v>
      </c>
    </row>
    <row r="597" spans="1:9">
      <c r="A597" t="s">
        <v>1012</v>
      </c>
      <c r="B597" s="27" t="s">
        <v>3220</v>
      </c>
      <c r="C597" s="27" t="s">
        <v>5766</v>
      </c>
      <c r="D597">
        <f>VLOOKUP(tblTargetMedicos[[#This Row],[codigo_id]],[1]DIM_REPRESENTANTE_MEDICO!$C:$F,4,0)</f>
        <v>8</v>
      </c>
      <c r="E597">
        <f>VLOOKUP(tblTargetMedicos[[#This Row],[codigo_id]],[1]DIM_REPRESENTANTE_MEDICO!$C:$F,3,0)</f>
        <v>9</v>
      </c>
      <c r="F597" s="27" t="s">
        <v>5796</v>
      </c>
      <c r="G597" s="27" t="s">
        <v>5784</v>
      </c>
      <c r="H597" s="27" t="s">
        <v>97</v>
      </c>
      <c r="I597">
        <v>1</v>
      </c>
    </row>
    <row r="598" spans="1:9">
      <c r="A598" t="s">
        <v>1013</v>
      </c>
      <c r="B598" s="27" t="s">
        <v>3220</v>
      </c>
      <c r="C598" s="27" t="s">
        <v>5766</v>
      </c>
      <c r="D598">
        <f>VLOOKUP(tblTargetMedicos[[#This Row],[codigo_id]],[1]DIM_REPRESENTANTE_MEDICO!$C:$F,4,0)</f>
        <v>8</v>
      </c>
      <c r="E598">
        <f>VLOOKUP(tblTargetMedicos[[#This Row],[codigo_id]],[1]DIM_REPRESENTANTE_MEDICO!$C:$F,3,0)</f>
        <v>9</v>
      </c>
      <c r="F598" s="27" t="s">
        <v>5796</v>
      </c>
      <c r="G598" s="27" t="s">
        <v>5784</v>
      </c>
      <c r="H598" s="27" t="s">
        <v>96</v>
      </c>
      <c r="I598">
        <v>1</v>
      </c>
    </row>
    <row r="599" spans="1:9">
      <c r="A599" t="s">
        <v>1014</v>
      </c>
      <c r="B599" s="27" t="s">
        <v>3220</v>
      </c>
      <c r="C599" s="27" t="s">
        <v>5766</v>
      </c>
      <c r="D599">
        <f>VLOOKUP(tblTargetMedicos[[#This Row],[codigo_id]],[1]DIM_REPRESENTANTE_MEDICO!$C:$F,4,0)</f>
        <v>8</v>
      </c>
      <c r="E599">
        <f>VLOOKUP(tblTargetMedicos[[#This Row],[codigo_id]],[1]DIM_REPRESENTANTE_MEDICO!$C:$F,3,0)</f>
        <v>9</v>
      </c>
      <c r="F599" s="27" t="s">
        <v>5796</v>
      </c>
      <c r="G599" s="27" t="s">
        <v>5783</v>
      </c>
      <c r="H599" s="27" t="s">
        <v>96</v>
      </c>
      <c r="I599">
        <v>1</v>
      </c>
    </row>
    <row r="600" spans="1:9">
      <c r="A600" t="s">
        <v>1015</v>
      </c>
      <c r="B600" s="27" t="s">
        <v>3220</v>
      </c>
      <c r="C600" s="27" t="s">
        <v>5766</v>
      </c>
      <c r="D600">
        <f>VLOOKUP(tblTargetMedicos[[#This Row],[codigo_id]],[1]DIM_REPRESENTANTE_MEDICO!$C:$F,4,0)</f>
        <v>8</v>
      </c>
      <c r="E600">
        <f>VLOOKUP(tblTargetMedicos[[#This Row],[codigo_id]],[1]DIM_REPRESENTANTE_MEDICO!$C:$F,3,0)</f>
        <v>9</v>
      </c>
      <c r="F600" s="27" t="s">
        <v>5796</v>
      </c>
      <c r="G600" s="27" t="s">
        <v>5784</v>
      </c>
      <c r="H600" s="27" t="s">
        <v>96</v>
      </c>
      <c r="I600">
        <v>1</v>
      </c>
    </row>
    <row r="601" spans="1:9">
      <c r="A601" t="s">
        <v>1016</v>
      </c>
      <c r="B601" s="27" t="s">
        <v>3220</v>
      </c>
      <c r="C601" s="27" t="s">
        <v>5766</v>
      </c>
      <c r="D601">
        <f>VLOOKUP(tblTargetMedicos[[#This Row],[codigo_id]],[1]DIM_REPRESENTANTE_MEDICO!$C:$F,4,0)</f>
        <v>8</v>
      </c>
      <c r="E601">
        <f>VLOOKUP(tblTargetMedicos[[#This Row],[codigo_id]],[1]DIM_REPRESENTANTE_MEDICO!$C:$F,3,0)</f>
        <v>9</v>
      </c>
      <c r="F601" s="27" t="s">
        <v>5796</v>
      </c>
      <c r="G601" s="27" t="s">
        <v>5779</v>
      </c>
      <c r="H601" s="27" t="s">
        <v>96</v>
      </c>
      <c r="I601">
        <v>1</v>
      </c>
    </row>
    <row r="602" spans="1:9">
      <c r="A602" t="s">
        <v>1017</v>
      </c>
      <c r="B602" s="27" t="s">
        <v>3220</v>
      </c>
      <c r="C602" s="27" t="s">
        <v>5766</v>
      </c>
      <c r="D602">
        <f>VLOOKUP(tblTargetMedicos[[#This Row],[codigo_id]],[1]DIM_REPRESENTANTE_MEDICO!$C:$F,4,0)</f>
        <v>8</v>
      </c>
      <c r="E602">
        <f>VLOOKUP(tblTargetMedicos[[#This Row],[codigo_id]],[1]DIM_REPRESENTANTE_MEDICO!$C:$F,3,0)</f>
        <v>9</v>
      </c>
      <c r="F602" s="27" t="s">
        <v>5796</v>
      </c>
      <c r="G602" s="27" t="s">
        <v>5783</v>
      </c>
      <c r="H602" s="27" t="s">
        <v>96</v>
      </c>
      <c r="I602">
        <v>1</v>
      </c>
    </row>
    <row r="603" spans="1:9">
      <c r="A603" t="s">
        <v>1018</v>
      </c>
      <c r="B603" s="27" t="s">
        <v>3220</v>
      </c>
      <c r="C603" s="27" t="s">
        <v>5766</v>
      </c>
      <c r="D603">
        <f>VLOOKUP(tblTargetMedicos[[#This Row],[codigo_id]],[1]DIM_REPRESENTANTE_MEDICO!$C:$F,4,0)</f>
        <v>8</v>
      </c>
      <c r="E603">
        <f>VLOOKUP(tblTargetMedicos[[#This Row],[codigo_id]],[1]DIM_REPRESENTANTE_MEDICO!$C:$F,3,0)</f>
        <v>9</v>
      </c>
      <c r="F603" s="27" t="s">
        <v>5796</v>
      </c>
      <c r="G603" s="27" t="s">
        <v>5788</v>
      </c>
      <c r="H603" s="27" t="s">
        <v>97</v>
      </c>
      <c r="I603">
        <v>1</v>
      </c>
    </row>
    <row r="604" spans="1:9">
      <c r="A604" t="s">
        <v>1019</v>
      </c>
      <c r="B604" s="27" t="s">
        <v>3220</v>
      </c>
      <c r="C604" s="27" t="s">
        <v>5766</v>
      </c>
      <c r="D604">
        <f>VLOOKUP(tblTargetMedicos[[#This Row],[codigo_id]],[1]DIM_REPRESENTANTE_MEDICO!$C:$F,4,0)</f>
        <v>8</v>
      </c>
      <c r="E604">
        <f>VLOOKUP(tblTargetMedicos[[#This Row],[codigo_id]],[1]DIM_REPRESENTANTE_MEDICO!$C:$F,3,0)</f>
        <v>9</v>
      </c>
      <c r="F604" s="27" t="s">
        <v>5796</v>
      </c>
      <c r="G604" s="27" t="s">
        <v>5790</v>
      </c>
      <c r="H604" s="27" t="s">
        <v>97</v>
      </c>
      <c r="I604">
        <v>1</v>
      </c>
    </row>
    <row r="605" spans="1:9">
      <c r="A605" t="s">
        <v>1020</v>
      </c>
      <c r="B605" s="27" t="s">
        <v>3220</v>
      </c>
      <c r="C605" s="27" t="s">
        <v>5766</v>
      </c>
      <c r="D605">
        <f>VLOOKUP(tblTargetMedicos[[#This Row],[codigo_id]],[1]DIM_REPRESENTANTE_MEDICO!$C:$F,4,0)</f>
        <v>8</v>
      </c>
      <c r="E605">
        <f>VLOOKUP(tblTargetMedicos[[#This Row],[codigo_id]],[1]DIM_REPRESENTANTE_MEDICO!$C:$F,3,0)</f>
        <v>9</v>
      </c>
      <c r="F605" s="27" t="s">
        <v>5796</v>
      </c>
      <c r="G605" s="27" t="s">
        <v>5782</v>
      </c>
      <c r="H605" s="27" t="s">
        <v>96</v>
      </c>
      <c r="I605">
        <v>1</v>
      </c>
    </row>
    <row r="606" spans="1:9">
      <c r="A606" t="s">
        <v>1021</v>
      </c>
      <c r="B606" s="27" t="s">
        <v>3220</v>
      </c>
      <c r="C606" s="27" t="s">
        <v>5766</v>
      </c>
      <c r="D606">
        <f>VLOOKUP(tblTargetMedicos[[#This Row],[codigo_id]],[1]DIM_REPRESENTANTE_MEDICO!$C:$F,4,0)</f>
        <v>8</v>
      </c>
      <c r="E606">
        <f>VLOOKUP(tblTargetMedicos[[#This Row],[codigo_id]],[1]DIM_REPRESENTANTE_MEDICO!$C:$F,3,0)</f>
        <v>9</v>
      </c>
      <c r="F606" s="27" t="s">
        <v>5796</v>
      </c>
      <c r="G606" s="27" t="s">
        <v>5783</v>
      </c>
      <c r="H606" s="27" t="s">
        <v>96</v>
      </c>
      <c r="I606">
        <v>1</v>
      </c>
    </row>
    <row r="607" spans="1:9">
      <c r="A607" t="s">
        <v>1022</v>
      </c>
      <c r="B607" s="27" t="s">
        <v>3220</v>
      </c>
      <c r="C607" s="27" t="s">
        <v>5766</v>
      </c>
      <c r="D607">
        <f>VLOOKUP(tblTargetMedicos[[#This Row],[codigo_id]],[1]DIM_REPRESENTANTE_MEDICO!$C:$F,4,0)</f>
        <v>8</v>
      </c>
      <c r="E607">
        <f>VLOOKUP(tblTargetMedicos[[#This Row],[codigo_id]],[1]DIM_REPRESENTANTE_MEDICO!$C:$F,3,0)</f>
        <v>9</v>
      </c>
      <c r="F607" s="27" t="s">
        <v>5796</v>
      </c>
      <c r="G607" s="27" t="s">
        <v>5783</v>
      </c>
      <c r="H607" s="27" t="s">
        <v>96</v>
      </c>
      <c r="I607">
        <v>1</v>
      </c>
    </row>
    <row r="608" spans="1:9">
      <c r="A608" t="s">
        <v>1023</v>
      </c>
      <c r="B608" s="27" t="s">
        <v>3220</v>
      </c>
      <c r="C608" s="27" t="s">
        <v>5766</v>
      </c>
      <c r="D608">
        <f>VLOOKUP(tblTargetMedicos[[#This Row],[codigo_id]],[1]DIM_REPRESENTANTE_MEDICO!$C:$F,4,0)</f>
        <v>8</v>
      </c>
      <c r="E608">
        <f>VLOOKUP(tblTargetMedicos[[#This Row],[codigo_id]],[1]DIM_REPRESENTANTE_MEDICO!$C:$F,3,0)</f>
        <v>9</v>
      </c>
      <c r="F608" s="27" t="s">
        <v>5796</v>
      </c>
      <c r="G608" s="27" t="s">
        <v>5783</v>
      </c>
      <c r="H608" s="27" t="s">
        <v>97</v>
      </c>
      <c r="I608">
        <v>1</v>
      </c>
    </row>
    <row r="609" spans="1:9">
      <c r="A609" t="s">
        <v>1024</v>
      </c>
      <c r="B609" s="27" t="s">
        <v>3220</v>
      </c>
      <c r="C609" s="27" t="s">
        <v>5766</v>
      </c>
      <c r="D609">
        <f>VLOOKUP(tblTargetMedicos[[#This Row],[codigo_id]],[1]DIM_REPRESENTANTE_MEDICO!$C:$F,4,0)</f>
        <v>8</v>
      </c>
      <c r="E609">
        <f>VLOOKUP(tblTargetMedicos[[#This Row],[codigo_id]],[1]DIM_REPRESENTANTE_MEDICO!$C:$F,3,0)</f>
        <v>9</v>
      </c>
      <c r="F609" s="27" t="s">
        <v>5796</v>
      </c>
      <c r="G609" s="27" t="s">
        <v>5784</v>
      </c>
      <c r="H609" s="27" t="s">
        <v>97</v>
      </c>
      <c r="I609">
        <v>1</v>
      </c>
    </row>
    <row r="610" spans="1:9">
      <c r="A610" t="s">
        <v>1025</v>
      </c>
      <c r="B610" s="27" t="s">
        <v>3220</v>
      </c>
      <c r="C610" s="27" t="s">
        <v>5766</v>
      </c>
      <c r="D610">
        <f>VLOOKUP(tblTargetMedicos[[#This Row],[codigo_id]],[1]DIM_REPRESENTANTE_MEDICO!$C:$F,4,0)</f>
        <v>8</v>
      </c>
      <c r="E610">
        <f>VLOOKUP(tblTargetMedicos[[#This Row],[codigo_id]],[1]DIM_REPRESENTANTE_MEDICO!$C:$F,3,0)</f>
        <v>9</v>
      </c>
      <c r="F610" s="27" t="s">
        <v>5796</v>
      </c>
      <c r="G610" s="27" t="s">
        <v>5783</v>
      </c>
      <c r="H610" s="27" t="s">
        <v>96</v>
      </c>
      <c r="I610">
        <v>1</v>
      </c>
    </row>
    <row r="611" spans="1:9">
      <c r="A611" t="s">
        <v>1026</v>
      </c>
      <c r="B611" s="27" t="s">
        <v>3220</v>
      </c>
      <c r="C611" s="27" t="s">
        <v>5766</v>
      </c>
      <c r="D611">
        <f>VLOOKUP(tblTargetMedicos[[#This Row],[codigo_id]],[1]DIM_REPRESENTANTE_MEDICO!$C:$F,4,0)</f>
        <v>8</v>
      </c>
      <c r="E611">
        <f>VLOOKUP(tblTargetMedicos[[#This Row],[codigo_id]],[1]DIM_REPRESENTANTE_MEDICO!$C:$F,3,0)</f>
        <v>9</v>
      </c>
      <c r="F611" s="27" t="s">
        <v>5796</v>
      </c>
      <c r="G611" s="27" t="s">
        <v>5784</v>
      </c>
      <c r="H611" s="27" t="s">
        <v>96</v>
      </c>
      <c r="I611">
        <v>1</v>
      </c>
    </row>
    <row r="612" spans="1:9">
      <c r="A612" t="s">
        <v>1027</v>
      </c>
      <c r="B612" s="27" t="s">
        <v>3220</v>
      </c>
      <c r="C612" s="27" t="s">
        <v>5766</v>
      </c>
      <c r="D612">
        <f>VLOOKUP(tblTargetMedicos[[#This Row],[codigo_id]],[1]DIM_REPRESENTANTE_MEDICO!$C:$F,4,0)</f>
        <v>8</v>
      </c>
      <c r="E612">
        <f>VLOOKUP(tblTargetMedicos[[#This Row],[codigo_id]],[1]DIM_REPRESENTANTE_MEDICO!$C:$F,3,0)</f>
        <v>9</v>
      </c>
      <c r="F612" s="27" t="s">
        <v>5796</v>
      </c>
      <c r="G612" s="27" t="s">
        <v>5790</v>
      </c>
      <c r="H612" s="27" t="s">
        <v>5793</v>
      </c>
      <c r="I612">
        <v>1</v>
      </c>
    </row>
    <row r="613" spans="1:9">
      <c r="A613" t="s">
        <v>1028</v>
      </c>
      <c r="B613" s="27" t="s">
        <v>3220</v>
      </c>
      <c r="C613" s="27" t="s">
        <v>5766</v>
      </c>
      <c r="D613">
        <f>VLOOKUP(tblTargetMedicos[[#This Row],[codigo_id]],[1]DIM_REPRESENTANTE_MEDICO!$C:$F,4,0)</f>
        <v>8</v>
      </c>
      <c r="E613">
        <f>VLOOKUP(tblTargetMedicos[[#This Row],[codigo_id]],[1]DIM_REPRESENTANTE_MEDICO!$C:$F,3,0)</f>
        <v>9</v>
      </c>
      <c r="F613" s="27" t="s">
        <v>5796</v>
      </c>
      <c r="G613" s="27" t="s">
        <v>5782</v>
      </c>
      <c r="H613" s="27" t="s">
        <v>97</v>
      </c>
      <c r="I613">
        <v>1</v>
      </c>
    </row>
    <row r="614" spans="1:9">
      <c r="A614" t="s">
        <v>1029</v>
      </c>
      <c r="B614" s="27" t="s">
        <v>3221</v>
      </c>
      <c r="C614" s="27" t="s">
        <v>5767</v>
      </c>
      <c r="D614">
        <f>VLOOKUP(tblTargetMedicos[[#This Row],[codigo_id]],[1]DIM_REPRESENTANTE_MEDICO!$C:$F,4,0)</f>
        <v>8</v>
      </c>
      <c r="E614">
        <f>VLOOKUP(tblTargetMedicos[[#This Row],[codigo_id]],[1]DIM_REPRESENTANTE_MEDICO!$C:$F,3,0)</f>
        <v>10</v>
      </c>
      <c r="F614" s="27" t="s">
        <v>5796</v>
      </c>
      <c r="G614" s="27" t="s">
        <v>5789</v>
      </c>
      <c r="H614" s="27" t="s">
        <v>96</v>
      </c>
      <c r="I614">
        <v>1</v>
      </c>
    </row>
    <row r="615" spans="1:9">
      <c r="A615" t="s">
        <v>1030</v>
      </c>
      <c r="B615" s="27" t="s">
        <v>3221</v>
      </c>
      <c r="C615" s="27" t="s">
        <v>5767</v>
      </c>
      <c r="D615">
        <f>VLOOKUP(tblTargetMedicos[[#This Row],[codigo_id]],[1]DIM_REPRESENTANTE_MEDICO!$C:$F,4,0)</f>
        <v>8</v>
      </c>
      <c r="E615">
        <f>VLOOKUP(tblTargetMedicos[[#This Row],[codigo_id]],[1]DIM_REPRESENTANTE_MEDICO!$C:$F,3,0)</f>
        <v>10</v>
      </c>
      <c r="F615" s="27" t="s">
        <v>5796</v>
      </c>
      <c r="G615" s="27" t="s">
        <v>5781</v>
      </c>
      <c r="H615" s="27" t="s">
        <v>96</v>
      </c>
      <c r="I615">
        <v>1</v>
      </c>
    </row>
    <row r="616" spans="1:9">
      <c r="A616" t="s">
        <v>1031</v>
      </c>
      <c r="B616" s="27" t="s">
        <v>3221</v>
      </c>
      <c r="C616" s="27" t="s">
        <v>5767</v>
      </c>
      <c r="D616">
        <f>VLOOKUP(tblTargetMedicos[[#This Row],[codigo_id]],[1]DIM_REPRESENTANTE_MEDICO!$C:$F,4,0)</f>
        <v>8</v>
      </c>
      <c r="E616">
        <f>VLOOKUP(tblTargetMedicos[[#This Row],[codigo_id]],[1]DIM_REPRESENTANTE_MEDICO!$C:$F,3,0)</f>
        <v>10</v>
      </c>
      <c r="F616" s="27" t="s">
        <v>5796</v>
      </c>
      <c r="G616" s="27" t="s">
        <v>5783</v>
      </c>
      <c r="H616" s="27" t="s">
        <v>97</v>
      </c>
      <c r="I616">
        <v>1</v>
      </c>
    </row>
    <row r="617" spans="1:9">
      <c r="A617" t="s">
        <v>1032</v>
      </c>
      <c r="B617" s="27" t="s">
        <v>3221</v>
      </c>
      <c r="C617" s="27" t="s">
        <v>5767</v>
      </c>
      <c r="D617">
        <f>VLOOKUP(tblTargetMedicos[[#This Row],[codigo_id]],[1]DIM_REPRESENTANTE_MEDICO!$C:$F,4,0)</f>
        <v>8</v>
      </c>
      <c r="E617">
        <f>VLOOKUP(tblTargetMedicos[[#This Row],[codigo_id]],[1]DIM_REPRESENTANTE_MEDICO!$C:$F,3,0)</f>
        <v>10</v>
      </c>
      <c r="F617" s="27" t="s">
        <v>5796</v>
      </c>
      <c r="G617" s="27" t="s">
        <v>5785</v>
      </c>
      <c r="H617" s="27" t="s">
        <v>96</v>
      </c>
      <c r="I617">
        <v>1</v>
      </c>
    </row>
    <row r="618" spans="1:9">
      <c r="A618" t="s">
        <v>1033</v>
      </c>
      <c r="B618" s="27" t="s">
        <v>3221</v>
      </c>
      <c r="C618" s="27" t="s">
        <v>5767</v>
      </c>
      <c r="D618">
        <f>VLOOKUP(tblTargetMedicos[[#This Row],[codigo_id]],[1]DIM_REPRESENTANTE_MEDICO!$C:$F,4,0)</f>
        <v>8</v>
      </c>
      <c r="E618">
        <f>VLOOKUP(tblTargetMedicos[[#This Row],[codigo_id]],[1]DIM_REPRESENTANTE_MEDICO!$C:$F,3,0)</f>
        <v>10</v>
      </c>
      <c r="F618" s="27" t="s">
        <v>5796</v>
      </c>
      <c r="G618" s="27" t="s">
        <v>5783</v>
      </c>
      <c r="H618" s="27" t="s">
        <v>97</v>
      </c>
      <c r="I618">
        <v>1</v>
      </c>
    </row>
    <row r="619" spans="1:9">
      <c r="A619" t="s">
        <v>1034</v>
      </c>
      <c r="B619" s="27" t="s">
        <v>3221</v>
      </c>
      <c r="C619" s="27" t="s">
        <v>5767</v>
      </c>
      <c r="D619">
        <f>VLOOKUP(tblTargetMedicos[[#This Row],[codigo_id]],[1]DIM_REPRESENTANTE_MEDICO!$C:$F,4,0)</f>
        <v>8</v>
      </c>
      <c r="E619">
        <f>VLOOKUP(tblTargetMedicos[[#This Row],[codigo_id]],[1]DIM_REPRESENTANTE_MEDICO!$C:$F,3,0)</f>
        <v>10</v>
      </c>
      <c r="F619" s="27" t="s">
        <v>5796</v>
      </c>
      <c r="G619" s="27" t="s">
        <v>5780</v>
      </c>
      <c r="H619" s="27" t="s">
        <v>97</v>
      </c>
      <c r="I619">
        <v>1</v>
      </c>
    </row>
    <row r="620" spans="1:9">
      <c r="A620" t="s">
        <v>1035</v>
      </c>
      <c r="B620" s="27" t="s">
        <v>3221</v>
      </c>
      <c r="C620" s="27" t="s">
        <v>5767</v>
      </c>
      <c r="D620">
        <f>VLOOKUP(tblTargetMedicos[[#This Row],[codigo_id]],[1]DIM_REPRESENTANTE_MEDICO!$C:$F,4,0)</f>
        <v>8</v>
      </c>
      <c r="E620">
        <f>VLOOKUP(tblTargetMedicos[[#This Row],[codigo_id]],[1]DIM_REPRESENTANTE_MEDICO!$C:$F,3,0)</f>
        <v>10</v>
      </c>
      <c r="F620" s="27" t="s">
        <v>5796</v>
      </c>
      <c r="G620" s="27" t="s">
        <v>5784</v>
      </c>
      <c r="H620" s="27" t="s">
        <v>97</v>
      </c>
      <c r="I620">
        <v>1</v>
      </c>
    </row>
    <row r="621" spans="1:9">
      <c r="A621" t="s">
        <v>1036</v>
      </c>
      <c r="B621" s="27" t="s">
        <v>3221</v>
      </c>
      <c r="C621" s="27" t="s">
        <v>5767</v>
      </c>
      <c r="D621">
        <f>VLOOKUP(tblTargetMedicos[[#This Row],[codigo_id]],[1]DIM_REPRESENTANTE_MEDICO!$C:$F,4,0)</f>
        <v>8</v>
      </c>
      <c r="E621">
        <f>VLOOKUP(tblTargetMedicos[[#This Row],[codigo_id]],[1]DIM_REPRESENTANTE_MEDICO!$C:$F,3,0)</f>
        <v>10</v>
      </c>
      <c r="F621" s="27" t="s">
        <v>5796</v>
      </c>
      <c r="G621" s="27" t="s">
        <v>5781</v>
      </c>
      <c r="H621" s="27" t="s">
        <v>97</v>
      </c>
      <c r="I621">
        <v>1</v>
      </c>
    </row>
    <row r="622" spans="1:9">
      <c r="A622" t="s">
        <v>1037</v>
      </c>
      <c r="B622" s="27" t="s">
        <v>3221</v>
      </c>
      <c r="C622" s="27" t="s">
        <v>5767</v>
      </c>
      <c r="D622">
        <f>VLOOKUP(tblTargetMedicos[[#This Row],[codigo_id]],[1]DIM_REPRESENTANTE_MEDICO!$C:$F,4,0)</f>
        <v>8</v>
      </c>
      <c r="E622">
        <f>VLOOKUP(tblTargetMedicos[[#This Row],[codigo_id]],[1]DIM_REPRESENTANTE_MEDICO!$C:$F,3,0)</f>
        <v>10</v>
      </c>
      <c r="F622" s="27" t="s">
        <v>5796</v>
      </c>
      <c r="G622" s="27" t="s">
        <v>5782</v>
      </c>
      <c r="H622" s="27" t="s">
        <v>97</v>
      </c>
      <c r="I622">
        <v>1</v>
      </c>
    </row>
    <row r="623" spans="1:9">
      <c r="A623" t="s">
        <v>1038</v>
      </c>
      <c r="B623" s="27" t="s">
        <v>3221</v>
      </c>
      <c r="C623" s="27" t="s">
        <v>5767</v>
      </c>
      <c r="D623">
        <f>VLOOKUP(tblTargetMedicos[[#This Row],[codigo_id]],[1]DIM_REPRESENTANTE_MEDICO!$C:$F,4,0)</f>
        <v>8</v>
      </c>
      <c r="E623">
        <f>VLOOKUP(tblTargetMedicos[[#This Row],[codigo_id]],[1]DIM_REPRESENTANTE_MEDICO!$C:$F,3,0)</f>
        <v>10</v>
      </c>
      <c r="F623" s="27" t="s">
        <v>5796</v>
      </c>
      <c r="G623" s="27" t="s">
        <v>5784</v>
      </c>
      <c r="H623" s="27" t="s">
        <v>96</v>
      </c>
      <c r="I623">
        <v>1</v>
      </c>
    </row>
    <row r="624" spans="1:9">
      <c r="A624" t="s">
        <v>1039</v>
      </c>
      <c r="B624" s="27" t="s">
        <v>3221</v>
      </c>
      <c r="C624" s="27" t="s">
        <v>5767</v>
      </c>
      <c r="D624">
        <f>VLOOKUP(tblTargetMedicos[[#This Row],[codigo_id]],[1]DIM_REPRESENTANTE_MEDICO!$C:$F,4,0)</f>
        <v>8</v>
      </c>
      <c r="E624">
        <f>VLOOKUP(tblTargetMedicos[[#This Row],[codigo_id]],[1]DIM_REPRESENTANTE_MEDICO!$C:$F,3,0)</f>
        <v>10</v>
      </c>
      <c r="F624" s="27" t="s">
        <v>5796</v>
      </c>
      <c r="G624" s="27" t="s">
        <v>5784</v>
      </c>
      <c r="H624" s="27" t="s">
        <v>96</v>
      </c>
      <c r="I624">
        <v>1</v>
      </c>
    </row>
    <row r="625" spans="1:9">
      <c r="A625" t="s">
        <v>1040</v>
      </c>
      <c r="B625" s="27" t="s">
        <v>3221</v>
      </c>
      <c r="C625" s="27" t="s">
        <v>5767</v>
      </c>
      <c r="D625">
        <f>VLOOKUP(tblTargetMedicos[[#This Row],[codigo_id]],[1]DIM_REPRESENTANTE_MEDICO!$C:$F,4,0)</f>
        <v>8</v>
      </c>
      <c r="E625">
        <f>VLOOKUP(tblTargetMedicos[[#This Row],[codigo_id]],[1]DIM_REPRESENTANTE_MEDICO!$C:$F,3,0)</f>
        <v>10</v>
      </c>
      <c r="F625" s="27" t="s">
        <v>5796</v>
      </c>
      <c r="G625" s="27" t="s">
        <v>5779</v>
      </c>
      <c r="H625" s="27" t="s">
        <v>96</v>
      </c>
      <c r="I625">
        <v>1</v>
      </c>
    </row>
    <row r="626" spans="1:9">
      <c r="A626" t="s">
        <v>1041</v>
      </c>
      <c r="B626" s="27" t="s">
        <v>3221</v>
      </c>
      <c r="C626" s="27" t="s">
        <v>5767</v>
      </c>
      <c r="D626">
        <f>VLOOKUP(tblTargetMedicos[[#This Row],[codigo_id]],[1]DIM_REPRESENTANTE_MEDICO!$C:$F,4,0)</f>
        <v>8</v>
      </c>
      <c r="E626">
        <f>VLOOKUP(tblTargetMedicos[[#This Row],[codigo_id]],[1]DIM_REPRESENTANTE_MEDICO!$C:$F,3,0)</f>
        <v>10</v>
      </c>
      <c r="F626" s="27" t="s">
        <v>5796</v>
      </c>
      <c r="G626" s="27" t="s">
        <v>5781</v>
      </c>
      <c r="H626" s="27" t="s">
        <v>97</v>
      </c>
      <c r="I626">
        <v>1</v>
      </c>
    </row>
    <row r="627" spans="1:9">
      <c r="A627" t="s">
        <v>1042</v>
      </c>
      <c r="B627" s="27" t="s">
        <v>3221</v>
      </c>
      <c r="C627" s="27" t="s">
        <v>5767</v>
      </c>
      <c r="D627">
        <f>VLOOKUP(tblTargetMedicos[[#This Row],[codigo_id]],[1]DIM_REPRESENTANTE_MEDICO!$C:$F,4,0)</f>
        <v>8</v>
      </c>
      <c r="E627">
        <f>VLOOKUP(tblTargetMedicos[[#This Row],[codigo_id]],[1]DIM_REPRESENTANTE_MEDICO!$C:$F,3,0)</f>
        <v>10</v>
      </c>
      <c r="F627" s="27" t="s">
        <v>5796</v>
      </c>
      <c r="G627" s="27" t="s">
        <v>5779</v>
      </c>
      <c r="H627" s="27" t="s">
        <v>97</v>
      </c>
      <c r="I627">
        <v>1</v>
      </c>
    </row>
    <row r="628" spans="1:9">
      <c r="A628" t="s">
        <v>1043</v>
      </c>
      <c r="B628" s="27" t="s">
        <v>3221</v>
      </c>
      <c r="C628" s="27" t="s">
        <v>5767</v>
      </c>
      <c r="D628">
        <f>VLOOKUP(tblTargetMedicos[[#This Row],[codigo_id]],[1]DIM_REPRESENTANTE_MEDICO!$C:$F,4,0)</f>
        <v>8</v>
      </c>
      <c r="E628">
        <f>VLOOKUP(tblTargetMedicos[[#This Row],[codigo_id]],[1]DIM_REPRESENTANTE_MEDICO!$C:$F,3,0)</f>
        <v>10</v>
      </c>
      <c r="F628" s="27" t="s">
        <v>5796</v>
      </c>
      <c r="G628" s="27" t="s">
        <v>5785</v>
      </c>
      <c r="H628" s="27" t="s">
        <v>96</v>
      </c>
      <c r="I628">
        <v>1</v>
      </c>
    </row>
    <row r="629" spans="1:9">
      <c r="A629" t="s">
        <v>1044</v>
      </c>
      <c r="B629" s="27" t="s">
        <v>3221</v>
      </c>
      <c r="C629" s="27" t="s">
        <v>5767</v>
      </c>
      <c r="D629">
        <f>VLOOKUP(tblTargetMedicos[[#This Row],[codigo_id]],[1]DIM_REPRESENTANTE_MEDICO!$C:$F,4,0)</f>
        <v>8</v>
      </c>
      <c r="E629">
        <f>VLOOKUP(tblTargetMedicos[[#This Row],[codigo_id]],[1]DIM_REPRESENTANTE_MEDICO!$C:$F,3,0)</f>
        <v>10</v>
      </c>
      <c r="F629" s="27" t="s">
        <v>5796</v>
      </c>
      <c r="G629" s="27" t="s">
        <v>5784</v>
      </c>
      <c r="H629" s="27" t="s">
        <v>96</v>
      </c>
      <c r="I629">
        <v>1</v>
      </c>
    </row>
    <row r="630" spans="1:9">
      <c r="A630" t="s">
        <v>1045</v>
      </c>
      <c r="B630" s="27" t="s">
        <v>3221</v>
      </c>
      <c r="C630" s="27" t="s">
        <v>5767</v>
      </c>
      <c r="D630">
        <f>VLOOKUP(tblTargetMedicos[[#This Row],[codigo_id]],[1]DIM_REPRESENTANTE_MEDICO!$C:$F,4,0)</f>
        <v>8</v>
      </c>
      <c r="E630">
        <f>VLOOKUP(tblTargetMedicos[[#This Row],[codigo_id]],[1]DIM_REPRESENTANTE_MEDICO!$C:$F,3,0)</f>
        <v>10</v>
      </c>
      <c r="F630" s="27" t="s">
        <v>5796</v>
      </c>
      <c r="G630" s="27" t="s">
        <v>5784</v>
      </c>
      <c r="H630" s="27" t="s">
        <v>96</v>
      </c>
      <c r="I630">
        <v>1</v>
      </c>
    </row>
    <row r="631" spans="1:9">
      <c r="A631" t="s">
        <v>1046</v>
      </c>
      <c r="B631" s="27" t="s">
        <v>3221</v>
      </c>
      <c r="C631" s="27" t="s">
        <v>5767</v>
      </c>
      <c r="D631">
        <f>VLOOKUP(tblTargetMedicos[[#This Row],[codigo_id]],[1]DIM_REPRESENTANTE_MEDICO!$C:$F,4,0)</f>
        <v>8</v>
      </c>
      <c r="E631">
        <f>VLOOKUP(tblTargetMedicos[[#This Row],[codigo_id]],[1]DIM_REPRESENTANTE_MEDICO!$C:$F,3,0)</f>
        <v>10</v>
      </c>
      <c r="F631" s="27" t="s">
        <v>5796</v>
      </c>
      <c r="G631" s="27" t="s">
        <v>5783</v>
      </c>
      <c r="H631" s="27" t="s">
        <v>97</v>
      </c>
      <c r="I631">
        <v>1</v>
      </c>
    </row>
    <row r="632" spans="1:9">
      <c r="A632" t="s">
        <v>1047</v>
      </c>
      <c r="B632" s="27" t="s">
        <v>3221</v>
      </c>
      <c r="C632" s="27" t="s">
        <v>5767</v>
      </c>
      <c r="D632">
        <f>VLOOKUP(tblTargetMedicos[[#This Row],[codigo_id]],[1]DIM_REPRESENTANTE_MEDICO!$C:$F,4,0)</f>
        <v>8</v>
      </c>
      <c r="E632">
        <f>VLOOKUP(tblTargetMedicos[[#This Row],[codigo_id]],[1]DIM_REPRESENTANTE_MEDICO!$C:$F,3,0)</f>
        <v>10</v>
      </c>
      <c r="F632" s="27" t="s">
        <v>5796</v>
      </c>
      <c r="G632" s="27" t="s">
        <v>5784</v>
      </c>
      <c r="H632" s="27" t="s">
        <v>96</v>
      </c>
      <c r="I632">
        <v>1</v>
      </c>
    </row>
    <row r="633" spans="1:9">
      <c r="A633" t="s">
        <v>1048</v>
      </c>
      <c r="B633" s="27" t="s">
        <v>3221</v>
      </c>
      <c r="C633" s="27" t="s">
        <v>5767</v>
      </c>
      <c r="D633">
        <f>VLOOKUP(tblTargetMedicos[[#This Row],[codigo_id]],[1]DIM_REPRESENTANTE_MEDICO!$C:$F,4,0)</f>
        <v>8</v>
      </c>
      <c r="E633">
        <f>VLOOKUP(tblTargetMedicos[[#This Row],[codigo_id]],[1]DIM_REPRESENTANTE_MEDICO!$C:$F,3,0)</f>
        <v>10</v>
      </c>
      <c r="F633" s="27" t="s">
        <v>5796</v>
      </c>
      <c r="G633" s="27" t="s">
        <v>5784</v>
      </c>
      <c r="H633" s="27" t="s">
        <v>96</v>
      </c>
      <c r="I633">
        <v>1</v>
      </c>
    </row>
    <row r="634" spans="1:9">
      <c r="A634" t="s">
        <v>1049</v>
      </c>
      <c r="B634" s="27" t="s">
        <v>3221</v>
      </c>
      <c r="C634" s="27" t="s">
        <v>5767</v>
      </c>
      <c r="D634">
        <f>VLOOKUP(tblTargetMedicos[[#This Row],[codigo_id]],[1]DIM_REPRESENTANTE_MEDICO!$C:$F,4,0)</f>
        <v>8</v>
      </c>
      <c r="E634">
        <f>VLOOKUP(tblTargetMedicos[[#This Row],[codigo_id]],[1]DIM_REPRESENTANTE_MEDICO!$C:$F,3,0)</f>
        <v>10</v>
      </c>
      <c r="F634" s="27" t="s">
        <v>5796</v>
      </c>
      <c r="G634" s="27" t="s">
        <v>5784</v>
      </c>
      <c r="H634" s="27" t="s">
        <v>97</v>
      </c>
      <c r="I634">
        <v>1</v>
      </c>
    </row>
    <row r="635" spans="1:9">
      <c r="A635" t="s">
        <v>1050</v>
      </c>
      <c r="B635" s="27" t="s">
        <v>3221</v>
      </c>
      <c r="C635" s="27" t="s">
        <v>5767</v>
      </c>
      <c r="D635">
        <f>VLOOKUP(tblTargetMedicos[[#This Row],[codigo_id]],[1]DIM_REPRESENTANTE_MEDICO!$C:$F,4,0)</f>
        <v>8</v>
      </c>
      <c r="E635">
        <f>VLOOKUP(tblTargetMedicos[[#This Row],[codigo_id]],[1]DIM_REPRESENTANTE_MEDICO!$C:$F,3,0)</f>
        <v>10</v>
      </c>
      <c r="F635" s="27" t="s">
        <v>5796</v>
      </c>
      <c r="G635" s="27" t="s">
        <v>5782</v>
      </c>
      <c r="H635" s="27" t="s">
        <v>97</v>
      </c>
      <c r="I635">
        <v>1</v>
      </c>
    </row>
    <row r="636" spans="1:9">
      <c r="A636" t="s">
        <v>1051</v>
      </c>
      <c r="B636" s="27" t="s">
        <v>3221</v>
      </c>
      <c r="C636" s="27" t="s">
        <v>5767</v>
      </c>
      <c r="D636">
        <f>VLOOKUP(tblTargetMedicos[[#This Row],[codigo_id]],[1]DIM_REPRESENTANTE_MEDICO!$C:$F,4,0)</f>
        <v>8</v>
      </c>
      <c r="E636">
        <f>VLOOKUP(tblTargetMedicos[[#This Row],[codigo_id]],[1]DIM_REPRESENTANTE_MEDICO!$C:$F,3,0)</f>
        <v>10</v>
      </c>
      <c r="F636" s="27" t="s">
        <v>5796</v>
      </c>
      <c r="G636" s="27" t="s">
        <v>5782</v>
      </c>
      <c r="H636" s="27" t="s">
        <v>97</v>
      </c>
      <c r="I636">
        <v>1</v>
      </c>
    </row>
    <row r="637" spans="1:9">
      <c r="A637" t="s">
        <v>1052</v>
      </c>
      <c r="B637" s="27" t="s">
        <v>3221</v>
      </c>
      <c r="C637" s="27" t="s">
        <v>5767</v>
      </c>
      <c r="D637">
        <f>VLOOKUP(tblTargetMedicos[[#This Row],[codigo_id]],[1]DIM_REPRESENTANTE_MEDICO!$C:$F,4,0)</f>
        <v>8</v>
      </c>
      <c r="E637">
        <f>VLOOKUP(tblTargetMedicos[[#This Row],[codigo_id]],[1]DIM_REPRESENTANTE_MEDICO!$C:$F,3,0)</f>
        <v>10</v>
      </c>
      <c r="F637" s="27" t="s">
        <v>5796</v>
      </c>
      <c r="G637" s="27" t="s">
        <v>5784</v>
      </c>
      <c r="H637" s="27" t="s">
        <v>96</v>
      </c>
      <c r="I637">
        <v>1</v>
      </c>
    </row>
    <row r="638" spans="1:9">
      <c r="A638" t="s">
        <v>1053</v>
      </c>
      <c r="B638" s="27" t="s">
        <v>3221</v>
      </c>
      <c r="C638" s="27" t="s">
        <v>5767</v>
      </c>
      <c r="D638">
        <f>VLOOKUP(tblTargetMedicos[[#This Row],[codigo_id]],[1]DIM_REPRESENTANTE_MEDICO!$C:$F,4,0)</f>
        <v>8</v>
      </c>
      <c r="E638">
        <f>VLOOKUP(tblTargetMedicos[[#This Row],[codigo_id]],[1]DIM_REPRESENTANTE_MEDICO!$C:$F,3,0)</f>
        <v>10</v>
      </c>
      <c r="F638" s="27" t="s">
        <v>5796</v>
      </c>
      <c r="G638" s="27" t="s">
        <v>5784</v>
      </c>
      <c r="H638" s="27" t="s">
        <v>97</v>
      </c>
      <c r="I638">
        <v>1</v>
      </c>
    </row>
    <row r="639" spans="1:9">
      <c r="A639" t="s">
        <v>1054</v>
      </c>
      <c r="B639" s="27" t="s">
        <v>3221</v>
      </c>
      <c r="C639" s="27" t="s">
        <v>5767</v>
      </c>
      <c r="D639">
        <f>VLOOKUP(tblTargetMedicos[[#This Row],[codigo_id]],[1]DIM_REPRESENTANTE_MEDICO!$C:$F,4,0)</f>
        <v>8</v>
      </c>
      <c r="E639">
        <f>VLOOKUP(tblTargetMedicos[[#This Row],[codigo_id]],[1]DIM_REPRESENTANTE_MEDICO!$C:$F,3,0)</f>
        <v>10</v>
      </c>
      <c r="F639" s="27" t="s">
        <v>5796</v>
      </c>
      <c r="G639" s="27" t="s">
        <v>5782</v>
      </c>
      <c r="H639" s="27" t="s">
        <v>97</v>
      </c>
      <c r="I639">
        <v>1</v>
      </c>
    </row>
    <row r="640" spans="1:9">
      <c r="A640" t="s">
        <v>1055</v>
      </c>
      <c r="B640" s="27" t="s">
        <v>3221</v>
      </c>
      <c r="C640" s="27" t="s">
        <v>5767</v>
      </c>
      <c r="D640">
        <f>VLOOKUP(tblTargetMedicos[[#This Row],[codigo_id]],[1]DIM_REPRESENTANTE_MEDICO!$C:$F,4,0)</f>
        <v>8</v>
      </c>
      <c r="E640">
        <f>VLOOKUP(tblTargetMedicos[[#This Row],[codigo_id]],[1]DIM_REPRESENTANTE_MEDICO!$C:$F,3,0)</f>
        <v>10</v>
      </c>
      <c r="F640" s="27" t="s">
        <v>5796</v>
      </c>
      <c r="G640" s="27" t="s">
        <v>5779</v>
      </c>
      <c r="H640" s="27" t="s">
        <v>97</v>
      </c>
      <c r="I640">
        <v>1</v>
      </c>
    </row>
    <row r="641" spans="1:9">
      <c r="A641" t="s">
        <v>1056</v>
      </c>
      <c r="B641" s="27" t="s">
        <v>3221</v>
      </c>
      <c r="C641" s="27" t="s">
        <v>5767</v>
      </c>
      <c r="D641">
        <f>VLOOKUP(tblTargetMedicos[[#This Row],[codigo_id]],[1]DIM_REPRESENTANTE_MEDICO!$C:$F,4,0)</f>
        <v>8</v>
      </c>
      <c r="E641">
        <f>VLOOKUP(tblTargetMedicos[[#This Row],[codigo_id]],[1]DIM_REPRESENTANTE_MEDICO!$C:$F,3,0)</f>
        <v>10</v>
      </c>
      <c r="F641" s="27" t="s">
        <v>5796</v>
      </c>
      <c r="G641" s="27" t="s">
        <v>5784</v>
      </c>
      <c r="H641" s="27" t="s">
        <v>96</v>
      </c>
      <c r="I641">
        <v>1</v>
      </c>
    </row>
    <row r="642" spans="1:9">
      <c r="A642" t="s">
        <v>1057</v>
      </c>
      <c r="B642" s="27" t="s">
        <v>3221</v>
      </c>
      <c r="C642" s="27" t="s">
        <v>5767</v>
      </c>
      <c r="D642">
        <f>VLOOKUP(tblTargetMedicos[[#This Row],[codigo_id]],[1]DIM_REPRESENTANTE_MEDICO!$C:$F,4,0)</f>
        <v>8</v>
      </c>
      <c r="E642">
        <f>VLOOKUP(tblTargetMedicos[[#This Row],[codigo_id]],[1]DIM_REPRESENTANTE_MEDICO!$C:$F,3,0)</f>
        <v>10</v>
      </c>
      <c r="F642" s="27" t="s">
        <v>5796</v>
      </c>
      <c r="G642" s="27" t="s">
        <v>5784</v>
      </c>
      <c r="H642" s="27" t="s">
        <v>97</v>
      </c>
      <c r="I642">
        <v>1</v>
      </c>
    </row>
    <row r="643" spans="1:9">
      <c r="A643" t="s">
        <v>1058</v>
      </c>
      <c r="B643" s="27" t="s">
        <v>3221</v>
      </c>
      <c r="C643" s="27" t="s">
        <v>5767</v>
      </c>
      <c r="D643">
        <f>VLOOKUP(tblTargetMedicos[[#This Row],[codigo_id]],[1]DIM_REPRESENTANTE_MEDICO!$C:$F,4,0)</f>
        <v>8</v>
      </c>
      <c r="E643">
        <f>VLOOKUP(tblTargetMedicos[[#This Row],[codigo_id]],[1]DIM_REPRESENTANTE_MEDICO!$C:$F,3,0)</f>
        <v>10</v>
      </c>
      <c r="F643" s="27" t="s">
        <v>5796</v>
      </c>
      <c r="G643" s="27" t="s">
        <v>5786</v>
      </c>
      <c r="H643" s="27" t="s">
        <v>96</v>
      </c>
      <c r="I643">
        <v>1</v>
      </c>
    </row>
    <row r="644" spans="1:9">
      <c r="A644" t="s">
        <v>1059</v>
      </c>
      <c r="B644" s="27" t="s">
        <v>3221</v>
      </c>
      <c r="C644" s="27" t="s">
        <v>5767</v>
      </c>
      <c r="D644">
        <f>VLOOKUP(tblTargetMedicos[[#This Row],[codigo_id]],[1]DIM_REPRESENTANTE_MEDICO!$C:$F,4,0)</f>
        <v>8</v>
      </c>
      <c r="E644">
        <f>VLOOKUP(tblTargetMedicos[[#This Row],[codigo_id]],[1]DIM_REPRESENTANTE_MEDICO!$C:$F,3,0)</f>
        <v>10</v>
      </c>
      <c r="F644" s="27" t="s">
        <v>5796</v>
      </c>
      <c r="G644" s="27" t="s">
        <v>5784</v>
      </c>
      <c r="H644" s="27" t="s">
        <v>97</v>
      </c>
      <c r="I644">
        <v>1</v>
      </c>
    </row>
    <row r="645" spans="1:9">
      <c r="A645" t="s">
        <v>1060</v>
      </c>
      <c r="B645" s="27" t="s">
        <v>3221</v>
      </c>
      <c r="C645" s="27" t="s">
        <v>5767</v>
      </c>
      <c r="D645">
        <f>VLOOKUP(tblTargetMedicos[[#This Row],[codigo_id]],[1]DIM_REPRESENTANTE_MEDICO!$C:$F,4,0)</f>
        <v>8</v>
      </c>
      <c r="E645">
        <f>VLOOKUP(tblTargetMedicos[[#This Row],[codigo_id]],[1]DIM_REPRESENTANTE_MEDICO!$C:$F,3,0)</f>
        <v>10</v>
      </c>
      <c r="F645" s="27" t="s">
        <v>5796</v>
      </c>
      <c r="G645" s="27" t="s">
        <v>5783</v>
      </c>
      <c r="H645" s="27" t="s">
        <v>96</v>
      </c>
      <c r="I645">
        <v>1</v>
      </c>
    </row>
    <row r="646" spans="1:9">
      <c r="A646" t="s">
        <v>1061</v>
      </c>
      <c r="B646" s="27" t="s">
        <v>3221</v>
      </c>
      <c r="C646" s="27" t="s">
        <v>5767</v>
      </c>
      <c r="D646">
        <f>VLOOKUP(tblTargetMedicos[[#This Row],[codigo_id]],[1]DIM_REPRESENTANTE_MEDICO!$C:$F,4,0)</f>
        <v>8</v>
      </c>
      <c r="E646">
        <f>VLOOKUP(tblTargetMedicos[[#This Row],[codigo_id]],[1]DIM_REPRESENTANTE_MEDICO!$C:$F,3,0)</f>
        <v>10</v>
      </c>
      <c r="F646" s="27" t="s">
        <v>5796</v>
      </c>
      <c r="G646" s="27" t="s">
        <v>5784</v>
      </c>
      <c r="H646" s="27" t="s">
        <v>96</v>
      </c>
      <c r="I646">
        <v>1</v>
      </c>
    </row>
    <row r="647" spans="1:9">
      <c r="A647" t="s">
        <v>1062</v>
      </c>
      <c r="B647" s="27" t="s">
        <v>3221</v>
      </c>
      <c r="C647" s="27" t="s">
        <v>5767</v>
      </c>
      <c r="D647">
        <f>VLOOKUP(tblTargetMedicos[[#This Row],[codigo_id]],[1]DIM_REPRESENTANTE_MEDICO!$C:$F,4,0)</f>
        <v>8</v>
      </c>
      <c r="E647">
        <f>VLOOKUP(tblTargetMedicos[[#This Row],[codigo_id]],[1]DIM_REPRESENTANTE_MEDICO!$C:$F,3,0)</f>
        <v>10</v>
      </c>
      <c r="F647" s="27" t="s">
        <v>5796</v>
      </c>
      <c r="G647" s="27" t="s">
        <v>5779</v>
      </c>
      <c r="H647" s="27" t="s">
        <v>96</v>
      </c>
      <c r="I647">
        <v>1</v>
      </c>
    </row>
    <row r="648" spans="1:9">
      <c r="A648" t="s">
        <v>1063</v>
      </c>
      <c r="B648" s="27" t="s">
        <v>3221</v>
      </c>
      <c r="C648" s="27" t="s">
        <v>5767</v>
      </c>
      <c r="D648">
        <f>VLOOKUP(tblTargetMedicos[[#This Row],[codigo_id]],[1]DIM_REPRESENTANTE_MEDICO!$C:$F,4,0)</f>
        <v>8</v>
      </c>
      <c r="E648">
        <f>VLOOKUP(tblTargetMedicos[[#This Row],[codigo_id]],[1]DIM_REPRESENTANTE_MEDICO!$C:$F,3,0)</f>
        <v>10</v>
      </c>
      <c r="F648" s="27" t="s">
        <v>5796</v>
      </c>
      <c r="G648" s="27" t="s">
        <v>5783</v>
      </c>
      <c r="H648" s="27" t="s">
        <v>97</v>
      </c>
      <c r="I648">
        <v>1</v>
      </c>
    </row>
    <row r="649" spans="1:9">
      <c r="A649" t="s">
        <v>1064</v>
      </c>
      <c r="B649" s="27" t="s">
        <v>3221</v>
      </c>
      <c r="C649" s="27" t="s">
        <v>5767</v>
      </c>
      <c r="D649">
        <f>VLOOKUP(tblTargetMedicos[[#This Row],[codigo_id]],[1]DIM_REPRESENTANTE_MEDICO!$C:$F,4,0)</f>
        <v>8</v>
      </c>
      <c r="E649">
        <f>VLOOKUP(tblTargetMedicos[[#This Row],[codigo_id]],[1]DIM_REPRESENTANTE_MEDICO!$C:$F,3,0)</f>
        <v>10</v>
      </c>
      <c r="F649" s="27" t="s">
        <v>5796</v>
      </c>
      <c r="G649" s="27" t="s">
        <v>5779</v>
      </c>
      <c r="H649" s="27" t="s">
        <v>96</v>
      </c>
      <c r="I649">
        <v>1</v>
      </c>
    </row>
    <row r="650" spans="1:9">
      <c r="A650" t="s">
        <v>1065</v>
      </c>
      <c r="B650" s="27" t="s">
        <v>3221</v>
      </c>
      <c r="C650" s="27" t="s">
        <v>5767</v>
      </c>
      <c r="D650">
        <f>VLOOKUP(tblTargetMedicos[[#This Row],[codigo_id]],[1]DIM_REPRESENTANTE_MEDICO!$C:$F,4,0)</f>
        <v>8</v>
      </c>
      <c r="E650">
        <f>VLOOKUP(tblTargetMedicos[[#This Row],[codigo_id]],[1]DIM_REPRESENTANTE_MEDICO!$C:$F,3,0)</f>
        <v>10</v>
      </c>
      <c r="F650" s="27" t="s">
        <v>5796</v>
      </c>
      <c r="G650" s="27" t="s">
        <v>5782</v>
      </c>
      <c r="H650" s="27" t="s">
        <v>96</v>
      </c>
      <c r="I650">
        <v>1</v>
      </c>
    </row>
    <row r="651" spans="1:9">
      <c r="A651" t="s">
        <v>1066</v>
      </c>
      <c r="B651" s="27" t="s">
        <v>3221</v>
      </c>
      <c r="C651" s="27" t="s">
        <v>5767</v>
      </c>
      <c r="D651">
        <f>VLOOKUP(tblTargetMedicos[[#This Row],[codigo_id]],[1]DIM_REPRESENTANTE_MEDICO!$C:$F,4,0)</f>
        <v>8</v>
      </c>
      <c r="E651">
        <f>VLOOKUP(tblTargetMedicos[[#This Row],[codigo_id]],[1]DIM_REPRESENTANTE_MEDICO!$C:$F,3,0)</f>
        <v>10</v>
      </c>
      <c r="F651" s="27" t="s">
        <v>5796</v>
      </c>
      <c r="G651" s="27" t="s">
        <v>5786</v>
      </c>
      <c r="H651" s="27" t="s">
        <v>96</v>
      </c>
      <c r="I651">
        <v>1</v>
      </c>
    </row>
    <row r="652" spans="1:9">
      <c r="A652" t="s">
        <v>1067</v>
      </c>
      <c r="B652" s="27" t="s">
        <v>3221</v>
      </c>
      <c r="C652" s="27" t="s">
        <v>5767</v>
      </c>
      <c r="D652">
        <f>VLOOKUP(tblTargetMedicos[[#This Row],[codigo_id]],[1]DIM_REPRESENTANTE_MEDICO!$C:$F,4,0)</f>
        <v>8</v>
      </c>
      <c r="E652">
        <f>VLOOKUP(tblTargetMedicos[[#This Row],[codigo_id]],[1]DIM_REPRESENTANTE_MEDICO!$C:$F,3,0)</f>
        <v>10</v>
      </c>
      <c r="F652" s="27" t="s">
        <v>5796</v>
      </c>
      <c r="G652" s="27" t="s">
        <v>5784</v>
      </c>
      <c r="H652" s="27" t="s">
        <v>97</v>
      </c>
      <c r="I652">
        <v>1</v>
      </c>
    </row>
    <row r="653" spans="1:9">
      <c r="A653" t="s">
        <v>1068</v>
      </c>
      <c r="B653" s="27" t="s">
        <v>3221</v>
      </c>
      <c r="C653" s="27" t="s">
        <v>5767</v>
      </c>
      <c r="D653">
        <f>VLOOKUP(tblTargetMedicos[[#This Row],[codigo_id]],[1]DIM_REPRESENTANTE_MEDICO!$C:$F,4,0)</f>
        <v>8</v>
      </c>
      <c r="E653">
        <f>VLOOKUP(tblTargetMedicos[[#This Row],[codigo_id]],[1]DIM_REPRESENTANTE_MEDICO!$C:$F,3,0)</f>
        <v>10</v>
      </c>
      <c r="F653" s="27" t="s">
        <v>5796</v>
      </c>
      <c r="G653" s="27" t="s">
        <v>5785</v>
      </c>
      <c r="H653" s="27" t="s">
        <v>97</v>
      </c>
      <c r="I653">
        <v>1</v>
      </c>
    </row>
    <row r="654" spans="1:9">
      <c r="A654" t="s">
        <v>1069</v>
      </c>
      <c r="B654" s="27" t="s">
        <v>3221</v>
      </c>
      <c r="C654" s="27" t="s">
        <v>5767</v>
      </c>
      <c r="D654">
        <f>VLOOKUP(tblTargetMedicos[[#This Row],[codigo_id]],[1]DIM_REPRESENTANTE_MEDICO!$C:$F,4,0)</f>
        <v>8</v>
      </c>
      <c r="E654">
        <f>VLOOKUP(tblTargetMedicos[[#This Row],[codigo_id]],[1]DIM_REPRESENTANTE_MEDICO!$C:$F,3,0)</f>
        <v>10</v>
      </c>
      <c r="F654" s="27" t="s">
        <v>5796</v>
      </c>
      <c r="G654" s="27" t="s">
        <v>5785</v>
      </c>
      <c r="H654" s="27" t="s">
        <v>96</v>
      </c>
      <c r="I654">
        <v>1</v>
      </c>
    </row>
    <row r="655" spans="1:9">
      <c r="A655" t="s">
        <v>1070</v>
      </c>
      <c r="B655" s="27" t="s">
        <v>3221</v>
      </c>
      <c r="C655" s="27" t="s">
        <v>5767</v>
      </c>
      <c r="D655">
        <f>VLOOKUP(tblTargetMedicos[[#This Row],[codigo_id]],[1]DIM_REPRESENTANTE_MEDICO!$C:$F,4,0)</f>
        <v>8</v>
      </c>
      <c r="E655">
        <f>VLOOKUP(tblTargetMedicos[[#This Row],[codigo_id]],[1]DIM_REPRESENTANTE_MEDICO!$C:$F,3,0)</f>
        <v>10</v>
      </c>
      <c r="F655" s="27" t="s">
        <v>5796</v>
      </c>
      <c r="G655" s="27" t="s">
        <v>5784</v>
      </c>
      <c r="H655" s="27" t="s">
        <v>97</v>
      </c>
      <c r="I655">
        <v>1</v>
      </c>
    </row>
    <row r="656" spans="1:9">
      <c r="A656" t="s">
        <v>1071</v>
      </c>
      <c r="B656" s="27" t="s">
        <v>3221</v>
      </c>
      <c r="C656" s="27" t="s">
        <v>5767</v>
      </c>
      <c r="D656">
        <f>VLOOKUP(tblTargetMedicos[[#This Row],[codigo_id]],[1]DIM_REPRESENTANTE_MEDICO!$C:$F,4,0)</f>
        <v>8</v>
      </c>
      <c r="E656">
        <f>VLOOKUP(tblTargetMedicos[[#This Row],[codigo_id]],[1]DIM_REPRESENTANTE_MEDICO!$C:$F,3,0)</f>
        <v>10</v>
      </c>
      <c r="F656" s="27" t="s">
        <v>5796</v>
      </c>
      <c r="G656" s="27" t="s">
        <v>5783</v>
      </c>
      <c r="H656" s="27" t="s">
        <v>97</v>
      </c>
      <c r="I656">
        <v>1</v>
      </c>
    </row>
    <row r="657" spans="1:9">
      <c r="A657" t="s">
        <v>1072</v>
      </c>
      <c r="B657" s="27" t="s">
        <v>3221</v>
      </c>
      <c r="C657" s="27" t="s">
        <v>5767</v>
      </c>
      <c r="D657">
        <f>VLOOKUP(tblTargetMedicos[[#This Row],[codigo_id]],[1]DIM_REPRESENTANTE_MEDICO!$C:$F,4,0)</f>
        <v>8</v>
      </c>
      <c r="E657">
        <f>VLOOKUP(tblTargetMedicos[[#This Row],[codigo_id]],[1]DIM_REPRESENTANTE_MEDICO!$C:$F,3,0)</f>
        <v>10</v>
      </c>
      <c r="F657" s="27" t="s">
        <v>5796</v>
      </c>
      <c r="G657" s="27" t="s">
        <v>5783</v>
      </c>
      <c r="H657" s="27" t="s">
        <v>96</v>
      </c>
      <c r="I657">
        <v>1</v>
      </c>
    </row>
    <row r="658" spans="1:9">
      <c r="A658" t="s">
        <v>1073</v>
      </c>
      <c r="B658" s="27" t="s">
        <v>3221</v>
      </c>
      <c r="C658" s="27" t="s">
        <v>5767</v>
      </c>
      <c r="D658">
        <f>VLOOKUP(tblTargetMedicos[[#This Row],[codigo_id]],[1]DIM_REPRESENTANTE_MEDICO!$C:$F,4,0)</f>
        <v>8</v>
      </c>
      <c r="E658">
        <f>VLOOKUP(tblTargetMedicos[[#This Row],[codigo_id]],[1]DIM_REPRESENTANTE_MEDICO!$C:$F,3,0)</f>
        <v>10</v>
      </c>
      <c r="F658" s="27" t="s">
        <v>5796</v>
      </c>
      <c r="G658" s="27" t="s">
        <v>5779</v>
      </c>
      <c r="H658" s="27" t="s">
        <v>96</v>
      </c>
      <c r="I658">
        <v>1</v>
      </c>
    </row>
    <row r="659" spans="1:9">
      <c r="A659" t="s">
        <v>1074</v>
      </c>
      <c r="B659" s="27" t="s">
        <v>3221</v>
      </c>
      <c r="C659" s="27" t="s">
        <v>5767</v>
      </c>
      <c r="D659">
        <f>VLOOKUP(tblTargetMedicos[[#This Row],[codigo_id]],[1]DIM_REPRESENTANTE_MEDICO!$C:$F,4,0)</f>
        <v>8</v>
      </c>
      <c r="E659">
        <f>VLOOKUP(tblTargetMedicos[[#This Row],[codigo_id]],[1]DIM_REPRESENTANTE_MEDICO!$C:$F,3,0)</f>
        <v>10</v>
      </c>
      <c r="F659" s="27" t="s">
        <v>5796</v>
      </c>
      <c r="G659" s="27" t="s">
        <v>5783</v>
      </c>
      <c r="H659" s="27" t="s">
        <v>96</v>
      </c>
      <c r="I659">
        <v>1</v>
      </c>
    </row>
    <row r="660" spans="1:9">
      <c r="A660" t="s">
        <v>1075</v>
      </c>
      <c r="B660" s="27" t="s">
        <v>3221</v>
      </c>
      <c r="C660" s="27" t="s">
        <v>5767</v>
      </c>
      <c r="D660">
        <f>VLOOKUP(tblTargetMedicos[[#This Row],[codigo_id]],[1]DIM_REPRESENTANTE_MEDICO!$C:$F,4,0)</f>
        <v>8</v>
      </c>
      <c r="E660">
        <f>VLOOKUP(tblTargetMedicos[[#This Row],[codigo_id]],[1]DIM_REPRESENTANTE_MEDICO!$C:$F,3,0)</f>
        <v>10</v>
      </c>
      <c r="F660" s="27" t="s">
        <v>5796</v>
      </c>
      <c r="G660" s="27" t="s">
        <v>5788</v>
      </c>
      <c r="H660" s="27" t="s">
        <v>96</v>
      </c>
      <c r="I660">
        <v>1</v>
      </c>
    </row>
    <row r="661" spans="1:9">
      <c r="A661" t="s">
        <v>1076</v>
      </c>
      <c r="B661" s="27" t="s">
        <v>3221</v>
      </c>
      <c r="C661" s="27" t="s">
        <v>5767</v>
      </c>
      <c r="D661">
        <f>VLOOKUP(tblTargetMedicos[[#This Row],[codigo_id]],[1]DIM_REPRESENTANTE_MEDICO!$C:$F,4,0)</f>
        <v>8</v>
      </c>
      <c r="E661">
        <f>VLOOKUP(tblTargetMedicos[[#This Row],[codigo_id]],[1]DIM_REPRESENTANTE_MEDICO!$C:$F,3,0)</f>
        <v>10</v>
      </c>
      <c r="F661" s="27" t="s">
        <v>5796</v>
      </c>
      <c r="G661" s="27" t="s">
        <v>5784</v>
      </c>
      <c r="H661" s="27" t="s">
        <v>5793</v>
      </c>
      <c r="I661">
        <v>1</v>
      </c>
    </row>
    <row r="662" spans="1:9">
      <c r="A662" t="s">
        <v>1077</v>
      </c>
      <c r="B662" s="27" t="s">
        <v>3221</v>
      </c>
      <c r="C662" s="27" t="s">
        <v>5767</v>
      </c>
      <c r="D662">
        <f>VLOOKUP(tblTargetMedicos[[#This Row],[codigo_id]],[1]DIM_REPRESENTANTE_MEDICO!$C:$F,4,0)</f>
        <v>8</v>
      </c>
      <c r="E662">
        <f>VLOOKUP(tblTargetMedicos[[#This Row],[codigo_id]],[1]DIM_REPRESENTANTE_MEDICO!$C:$F,3,0)</f>
        <v>10</v>
      </c>
      <c r="F662" s="27" t="s">
        <v>5796</v>
      </c>
      <c r="G662" s="27" t="s">
        <v>5784</v>
      </c>
      <c r="H662" s="27" t="s">
        <v>96</v>
      </c>
      <c r="I662">
        <v>1</v>
      </c>
    </row>
    <row r="663" spans="1:9">
      <c r="A663" t="s">
        <v>1078</v>
      </c>
      <c r="B663" s="27" t="s">
        <v>3221</v>
      </c>
      <c r="C663" s="27" t="s">
        <v>5767</v>
      </c>
      <c r="D663">
        <f>VLOOKUP(tblTargetMedicos[[#This Row],[codigo_id]],[1]DIM_REPRESENTANTE_MEDICO!$C:$F,4,0)</f>
        <v>8</v>
      </c>
      <c r="E663">
        <f>VLOOKUP(tblTargetMedicos[[#This Row],[codigo_id]],[1]DIM_REPRESENTANTE_MEDICO!$C:$F,3,0)</f>
        <v>10</v>
      </c>
      <c r="F663" s="27" t="s">
        <v>5796</v>
      </c>
      <c r="G663" s="27" t="s">
        <v>5781</v>
      </c>
      <c r="H663" s="27" t="s">
        <v>5793</v>
      </c>
      <c r="I663">
        <v>1</v>
      </c>
    </row>
    <row r="664" spans="1:9">
      <c r="A664" t="s">
        <v>1079</v>
      </c>
      <c r="B664" s="27" t="s">
        <v>3221</v>
      </c>
      <c r="C664" s="27" t="s">
        <v>5767</v>
      </c>
      <c r="D664">
        <f>VLOOKUP(tblTargetMedicos[[#This Row],[codigo_id]],[1]DIM_REPRESENTANTE_MEDICO!$C:$F,4,0)</f>
        <v>8</v>
      </c>
      <c r="E664">
        <f>VLOOKUP(tblTargetMedicos[[#This Row],[codigo_id]],[1]DIM_REPRESENTANTE_MEDICO!$C:$F,3,0)</f>
        <v>10</v>
      </c>
      <c r="F664" s="27" t="s">
        <v>5796</v>
      </c>
      <c r="G664" s="27" t="s">
        <v>5782</v>
      </c>
      <c r="H664" s="27" t="s">
        <v>96</v>
      </c>
      <c r="I664">
        <v>1</v>
      </c>
    </row>
    <row r="665" spans="1:9">
      <c r="A665" t="s">
        <v>1080</v>
      </c>
      <c r="B665" s="27" t="s">
        <v>3221</v>
      </c>
      <c r="C665" s="27" t="s">
        <v>5767</v>
      </c>
      <c r="D665">
        <f>VLOOKUP(tblTargetMedicos[[#This Row],[codigo_id]],[1]DIM_REPRESENTANTE_MEDICO!$C:$F,4,0)</f>
        <v>8</v>
      </c>
      <c r="E665">
        <f>VLOOKUP(tblTargetMedicos[[#This Row],[codigo_id]],[1]DIM_REPRESENTANTE_MEDICO!$C:$F,3,0)</f>
        <v>10</v>
      </c>
      <c r="F665" s="27" t="s">
        <v>5796</v>
      </c>
      <c r="G665" s="27" t="s">
        <v>5783</v>
      </c>
      <c r="H665" s="27" t="s">
        <v>96</v>
      </c>
      <c r="I665">
        <v>1</v>
      </c>
    </row>
    <row r="666" spans="1:9">
      <c r="A666" t="s">
        <v>1081</v>
      </c>
      <c r="B666" s="27" t="s">
        <v>3221</v>
      </c>
      <c r="C666" s="27" t="s">
        <v>5767</v>
      </c>
      <c r="D666">
        <f>VLOOKUP(tblTargetMedicos[[#This Row],[codigo_id]],[1]DIM_REPRESENTANTE_MEDICO!$C:$F,4,0)</f>
        <v>8</v>
      </c>
      <c r="E666">
        <f>VLOOKUP(tblTargetMedicos[[#This Row],[codigo_id]],[1]DIM_REPRESENTANTE_MEDICO!$C:$F,3,0)</f>
        <v>10</v>
      </c>
      <c r="F666" s="27" t="s">
        <v>5796</v>
      </c>
      <c r="G666" s="27" t="s">
        <v>5781</v>
      </c>
      <c r="H666" s="27" t="s">
        <v>5793</v>
      </c>
      <c r="I666">
        <v>1</v>
      </c>
    </row>
    <row r="667" spans="1:9">
      <c r="A667" t="s">
        <v>1082</v>
      </c>
      <c r="B667" s="27" t="s">
        <v>3221</v>
      </c>
      <c r="C667" s="27" t="s">
        <v>5767</v>
      </c>
      <c r="D667">
        <f>VLOOKUP(tblTargetMedicos[[#This Row],[codigo_id]],[1]DIM_REPRESENTANTE_MEDICO!$C:$F,4,0)</f>
        <v>8</v>
      </c>
      <c r="E667">
        <f>VLOOKUP(tblTargetMedicos[[#This Row],[codigo_id]],[1]DIM_REPRESENTANTE_MEDICO!$C:$F,3,0)</f>
        <v>10</v>
      </c>
      <c r="F667" s="27" t="s">
        <v>5796</v>
      </c>
      <c r="G667" s="27" t="s">
        <v>5783</v>
      </c>
      <c r="H667" s="27" t="s">
        <v>96</v>
      </c>
      <c r="I667">
        <v>1</v>
      </c>
    </row>
    <row r="668" spans="1:9">
      <c r="A668" t="s">
        <v>1083</v>
      </c>
      <c r="B668" s="27" t="s">
        <v>3221</v>
      </c>
      <c r="C668" s="27" t="s">
        <v>5767</v>
      </c>
      <c r="D668">
        <f>VLOOKUP(tblTargetMedicos[[#This Row],[codigo_id]],[1]DIM_REPRESENTANTE_MEDICO!$C:$F,4,0)</f>
        <v>8</v>
      </c>
      <c r="E668">
        <f>VLOOKUP(tblTargetMedicos[[#This Row],[codigo_id]],[1]DIM_REPRESENTANTE_MEDICO!$C:$F,3,0)</f>
        <v>10</v>
      </c>
      <c r="F668" s="27" t="s">
        <v>5796</v>
      </c>
      <c r="G668" s="27" t="s">
        <v>5786</v>
      </c>
      <c r="H668" s="27" t="s">
        <v>97</v>
      </c>
      <c r="I668">
        <v>1</v>
      </c>
    </row>
    <row r="669" spans="1:9">
      <c r="A669" t="s">
        <v>1084</v>
      </c>
      <c r="B669" s="27" t="s">
        <v>3221</v>
      </c>
      <c r="C669" s="27" t="s">
        <v>5767</v>
      </c>
      <c r="D669">
        <f>VLOOKUP(tblTargetMedicos[[#This Row],[codigo_id]],[1]DIM_REPRESENTANTE_MEDICO!$C:$F,4,0)</f>
        <v>8</v>
      </c>
      <c r="E669">
        <f>VLOOKUP(tblTargetMedicos[[#This Row],[codigo_id]],[1]DIM_REPRESENTANTE_MEDICO!$C:$F,3,0)</f>
        <v>10</v>
      </c>
      <c r="F669" s="27" t="s">
        <v>5796</v>
      </c>
      <c r="G669" s="27" t="s">
        <v>5786</v>
      </c>
      <c r="H669" s="27" t="s">
        <v>97</v>
      </c>
      <c r="I669">
        <v>1</v>
      </c>
    </row>
    <row r="670" spans="1:9">
      <c r="A670" t="s">
        <v>1085</v>
      </c>
      <c r="B670" s="27" t="s">
        <v>3221</v>
      </c>
      <c r="C670" s="27" t="s">
        <v>5767</v>
      </c>
      <c r="D670">
        <f>VLOOKUP(tblTargetMedicos[[#This Row],[codigo_id]],[1]DIM_REPRESENTANTE_MEDICO!$C:$F,4,0)</f>
        <v>8</v>
      </c>
      <c r="E670">
        <f>VLOOKUP(tblTargetMedicos[[#This Row],[codigo_id]],[1]DIM_REPRESENTANTE_MEDICO!$C:$F,3,0)</f>
        <v>10</v>
      </c>
      <c r="F670" s="27" t="s">
        <v>5796</v>
      </c>
      <c r="G670" s="27" t="s">
        <v>5779</v>
      </c>
      <c r="H670" s="27" t="s">
        <v>97</v>
      </c>
      <c r="I670">
        <v>1</v>
      </c>
    </row>
    <row r="671" spans="1:9">
      <c r="A671" t="s">
        <v>1086</v>
      </c>
      <c r="B671" s="27" t="s">
        <v>3221</v>
      </c>
      <c r="C671" s="27" t="s">
        <v>5767</v>
      </c>
      <c r="D671">
        <f>VLOOKUP(tblTargetMedicos[[#This Row],[codigo_id]],[1]DIM_REPRESENTANTE_MEDICO!$C:$F,4,0)</f>
        <v>8</v>
      </c>
      <c r="E671">
        <f>VLOOKUP(tblTargetMedicos[[#This Row],[codigo_id]],[1]DIM_REPRESENTANTE_MEDICO!$C:$F,3,0)</f>
        <v>10</v>
      </c>
      <c r="F671" s="27" t="s">
        <v>5796</v>
      </c>
      <c r="G671" s="27" t="s">
        <v>5786</v>
      </c>
      <c r="H671" s="27" t="s">
        <v>97</v>
      </c>
      <c r="I671">
        <v>1</v>
      </c>
    </row>
    <row r="672" spans="1:9">
      <c r="A672" t="s">
        <v>1087</v>
      </c>
      <c r="B672" s="27" t="s">
        <v>3221</v>
      </c>
      <c r="C672" s="27" t="s">
        <v>5767</v>
      </c>
      <c r="D672">
        <f>VLOOKUP(tblTargetMedicos[[#This Row],[codigo_id]],[1]DIM_REPRESENTANTE_MEDICO!$C:$F,4,0)</f>
        <v>8</v>
      </c>
      <c r="E672">
        <f>VLOOKUP(tblTargetMedicos[[#This Row],[codigo_id]],[1]DIM_REPRESENTANTE_MEDICO!$C:$F,3,0)</f>
        <v>10</v>
      </c>
      <c r="F672" s="27" t="s">
        <v>5796</v>
      </c>
      <c r="G672" s="27" t="s">
        <v>5783</v>
      </c>
      <c r="H672" s="27" t="s">
        <v>97</v>
      </c>
      <c r="I672">
        <v>1</v>
      </c>
    </row>
    <row r="673" spans="1:9">
      <c r="A673" t="s">
        <v>1088</v>
      </c>
      <c r="B673" s="27" t="s">
        <v>3221</v>
      </c>
      <c r="C673" s="27" t="s">
        <v>5767</v>
      </c>
      <c r="D673">
        <f>VLOOKUP(tblTargetMedicos[[#This Row],[codigo_id]],[1]DIM_REPRESENTANTE_MEDICO!$C:$F,4,0)</f>
        <v>8</v>
      </c>
      <c r="E673">
        <f>VLOOKUP(tblTargetMedicos[[#This Row],[codigo_id]],[1]DIM_REPRESENTANTE_MEDICO!$C:$F,3,0)</f>
        <v>10</v>
      </c>
      <c r="F673" s="27" t="s">
        <v>5796</v>
      </c>
      <c r="G673" s="27" t="s">
        <v>5779</v>
      </c>
      <c r="H673" s="27" t="s">
        <v>97</v>
      </c>
      <c r="I673">
        <v>1</v>
      </c>
    </row>
    <row r="674" spans="1:9">
      <c r="A674" t="s">
        <v>1089</v>
      </c>
      <c r="B674" s="27" t="s">
        <v>3221</v>
      </c>
      <c r="C674" s="27" t="s">
        <v>5767</v>
      </c>
      <c r="D674">
        <f>VLOOKUP(tblTargetMedicos[[#This Row],[codigo_id]],[1]DIM_REPRESENTANTE_MEDICO!$C:$F,4,0)</f>
        <v>8</v>
      </c>
      <c r="E674">
        <f>VLOOKUP(tblTargetMedicos[[#This Row],[codigo_id]],[1]DIM_REPRESENTANTE_MEDICO!$C:$F,3,0)</f>
        <v>10</v>
      </c>
      <c r="F674" s="27" t="s">
        <v>5796</v>
      </c>
      <c r="G674" s="27" t="s">
        <v>5784</v>
      </c>
      <c r="H674" s="27" t="s">
        <v>96</v>
      </c>
      <c r="I674">
        <v>1</v>
      </c>
    </row>
    <row r="675" spans="1:9">
      <c r="A675" t="s">
        <v>1090</v>
      </c>
      <c r="B675" s="27" t="s">
        <v>3221</v>
      </c>
      <c r="C675" s="27" t="s">
        <v>5767</v>
      </c>
      <c r="D675">
        <f>VLOOKUP(tblTargetMedicos[[#This Row],[codigo_id]],[1]DIM_REPRESENTANTE_MEDICO!$C:$F,4,0)</f>
        <v>8</v>
      </c>
      <c r="E675">
        <f>VLOOKUP(tblTargetMedicos[[#This Row],[codigo_id]],[1]DIM_REPRESENTANTE_MEDICO!$C:$F,3,0)</f>
        <v>10</v>
      </c>
      <c r="F675" s="27" t="s">
        <v>5796</v>
      </c>
      <c r="G675" s="27" t="s">
        <v>5784</v>
      </c>
      <c r="H675" s="27" t="s">
        <v>97</v>
      </c>
      <c r="I675">
        <v>1</v>
      </c>
    </row>
    <row r="676" spans="1:9">
      <c r="A676" t="s">
        <v>1091</v>
      </c>
      <c r="B676" s="27" t="s">
        <v>3221</v>
      </c>
      <c r="C676" s="27" t="s">
        <v>5767</v>
      </c>
      <c r="D676">
        <f>VLOOKUP(tblTargetMedicos[[#This Row],[codigo_id]],[1]DIM_REPRESENTANTE_MEDICO!$C:$F,4,0)</f>
        <v>8</v>
      </c>
      <c r="E676">
        <f>VLOOKUP(tblTargetMedicos[[#This Row],[codigo_id]],[1]DIM_REPRESENTANTE_MEDICO!$C:$F,3,0)</f>
        <v>10</v>
      </c>
      <c r="F676" s="27" t="s">
        <v>5796</v>
      </c>
      <c r="G676" s="27" t="s">
        <v>5784</v>
      </c>
      <c r="H676" s="27" t="s">
        <v>97</v>
      </c>
      <c r="I676">
        <v>1</v>
      </c>
    </row>
    <row r="677" spans="1:9">
      <c r="A677" t="s">
        <v>1092</v>
      </c>
      <c r="B677" s="27" t="s">
        <v>3221</v>
      </c>
      <c r="C677" s="27" t="s">
        <v>5767</v>
      </c>
      <c r="D677">
        <f>VLOOKUP(tblTargetMedicos[[#This Row],[codigo_id]],[1]DIM_REPRESENTANTE_MEDICO!$C:$F,4,0)</f>
        <v>8</v>
      </c>
      <c r="E677">
        <f>VLOOKUP(tblTargetMedicos[[#This Row],[codigo_id]],[1]DIM_REPRESENTANTE_MEDICO!$C:$F,3,0)</f>
        <v>10</v>
      </c>
      <c r="F677" s="27" t="s">
        <v>5796</v>
      </c>
      <c r="G677" s="27" t="s">
        <v>5786</v>
      </c>
      <c r="H677" s="27" t="s">
        <v>97</v>
      </c>
      <c r="I677">
        <v>1</v>
      </c>
    </row>
    <row r="678" spans="1:9">
      <c r="A678" t="s">
        <v>1093</v>
      </c>
      <c r="B678" s="27" t="s">
        <v>3221</v>
      </c>
      <c r="C678" s="27" t="s">
        <v>5767</v>
      </c>
      <c r="D678">
        <f>VLOOKUP(tblTargetMedicos[[#This Row],[codigo_id]],[1]DIM_REPRESENTANTE_MEDICO!$C:$F,4,0)</f>
        <v>8</v>
      </c>
      <c r="E678">
        <f>VLOOKUP(tblTargetMedicos[[#This Row],[codigo_id]],[1]DIM_REPRESENTANTE_MEDICO!$C:$F,3,0)</f>
        <v>10</v>
      </c>
      <c r="F678" s="27" t="s">
        <v>5796</v>
      </c>
      <c r="G678" s="27" t="s">
        <v>5785</v>
      </c>
      <c r="H678" s="27" t="s">
        <v>97</v>
      </c>
      <c r="I678">
        <v>1</v>
      </c>
    </row>
    <row r="679" spans="1:9">
      <c r="A679" t="s">
        <v>1094</v>
      </c>
      <c r="B679" s="27" t="s">
        <v>3221</v>
      </c>
      <c r="C679" s="27" t="s">
        <v>5767</v>
      </c>
      <c r="D679">
        <f>VLOOKUP(tblTargetMedicos[[#This Row],[codigo_id]],[1]DIM_REPRESENTANTE_MEDICO!$C:$F,4,0)</f>
        <v>8</v>
      </c>
      <c r="E679">
        <f>VLOOKUP(tblTargetMedicos[[#This Row],[codigo_id]],[1]DIM_REPRESENTANTE_MEDICO!$C:$F,3,0)</f>
        <v>10</v>
      </c>
      <c r="F679" s="27" t="s">
        <v>5796</v>
      </c>
      <c r="G679" s="27" t="s">
        <v>5782</v>
      </c>
      <c r="H679" s="27" t="s">
        <v>96</v>
      </c>
      <c r="I679">
        <v>1</v>
      </c>
    </row>
    <row r="680" spans="1:9">
      <c r="A680" t="s">
        <v>1095</v>
      </c>
      <c r="B680" s="27" t="s">
        <v>3221</v>
      </c>
      <c r="C680" s="27" t="s">
        <v>5767</v>
      </c>
      <c r="D680">
        <f>VLOOKUP(tblTargetMedicos[[#This Row],[codigo_id]],[1]DIM_REPRESENTANTE_MEDICO!$C:$F,4,0)</f>
        <v>8</v>
      </c>
      <c r="E680">
        <f>VLOOKUP(tblTargetMedicos[[#This Row],[codigo_id]],[1]DIM_REPRESENTANTE_MEDICO!$C:$F,3,0)</f>
        <v>10</v>
      </c>
      <c r="F680" s="27" t="s">
        <v>5796</v>
      </c>
      <c r="G680" s="27" t="s">
        <v>5783</v>
      </c>
      <c r="H680" s="27" t="s">
        <v>97</v>
      </c>
      <c r="I680">
        <v>1</v>
      </c>
    </row>
    <row r="681" spans="1:9">
      <c r="A681" t="s">
        <v>1096</v>
      </c>
      <c r="B681" s="27" t="s">
        <v>3221</v>
      </c>
      <c r="C681" s="27" t="s">
        <v>5767</v>
      </c>
      <c r="D681">
        <f>VLOOKUP(tblTargetMedicos[[#This Row],[codigo_id]],[1]DIM_REPRESENTANTE_MEDICO!$C:$F,4,0)</f>
        <v>8</v>
      </c>
      <c r="E681">
        <f>VLOOKUP(tblTargetMedicos[[#This Row],[codigo_id]],[1]DIM_REPRESENTANTE_MEDICO!$C:$F,3,0)</f>
        <v>10</v>
      </c>
      <c r="F681" s="27" t="s">
        <v>5796</v>
      </c>
      <c r="G681" s="27" t="s">
        <v>5783</v>
      </c>
      <c r="H681" s="27" t="s">
        <v>96</v>
      </c>
      <c r="I681">
        <v>1</v>
      </c>
    </row>
    <row r="682" spans="1:9">
      <c r="A682" t="s">
        <v>1097</v>
      </c>
      <c r="B682" s="27" t="s">
        <v>3221</v>
      </c>
      <c r="C682" s="27" t="s">
        <v>5767</v>
      </c>
      <c r="D682">
        <f>VLOOKUP(tblTargetMedicos[[#This Row],[codigo_id]],[1]DIM_REPRESENTANTE_MEDICO!$C:$F,4,0)</f>
        <v>8</v>
      </c>
      <c r="E682">
        <f>VLOOKUP(tblTargetMedicos[[#This Row],[codigo_id]],[1]DIM_REPRESENTANTE_MEDICO!$C:$F,3,0)</f>
        <v>10</v>
      </c>
      <c r="F682" s="27" t="s">
        <v>5796</v>
      </c>
      <c r="G682" s="27" t="s">
        <v>5779</v>
      </c>
      <c r="H682" s="27" t="s">
        <v>97</v>
      </c>
      <c r="I682">
        <v>1</v>
      </c>
    </row>
    <row r="683" spans="1:9">
      <c r="A683" t="s">
        <v>1098</v>
      </c>
      <c r="B683" s="27" t="s">
        <v>3221</v>
      </c>
      <c r="C683" s="27" t="s">
        <v>5767</v>
      </c>
      <c r="D683">
        <f>VLOOKUP(tblTargetMedicos[[#This Row],[codigo_id]],[1]DIM_REPRESENTANTE_MEDICO!$C:$F,4,0)</f>
        <v>8</v>
      </c>
      <c r="E683">
        <f>VLOOKUP(tblTargetMedicos[[#This Row],[codigo_id]],[1]DIM_REPRESENTANTE_MEDICO!$C:$F,3,0)</f>
        <v>10</v>
      </c>
      <c r="F683" s="27" t="s">
        <v>5796</v>
      </c>
      <c r="G683" s="27" t="s">
        <v>5784</v>
      </c>
      <c r="H683" s="27" t="s">
        <v>97</v>
      </c>
      <c r="I683">
        <v>1</v>
      </c>
    </row>
    <row r="684" spans="1:9">
      <c r="A684" t="s">
        <v>1099</v>
      </c>
      <c r="B684" s="27" t="s">
        <v>3221</v>
      </c>
      <c r="C684" s="27" t="s">
        <v>5767</v>
      </c>
      <c r="D684">
        <f>VLOOKUP(tblTargetMedicos[[#This Row],[codigo_id]],[1]DIM_REPRESENTANTE_MEDICO!$C:$F,4,0)</f>
        <v>8</v>
      </c>
      <c r="E684">
        <f>VLOOKUP(tblTargetMedicos[[#This Row],[codigo_id]],[1]DIM_REPRESENTANTE_MEDICO!$C:$F,3,0)</f>
        <v>10</v>
      </c>
      <c r="F684" s="27" t="s">
        <v>5796</v>
      </c>
      <c r="G684" s="27" t="s">
        <v>5786</v>
      </c>
      <c r="H684" s="27" t="s">
        <v>96</v>
      </c>
      <c r="I684">
        <v>1</v>
      </c>
    </row>
    <row r="685" spans="1:9">
      <c r="A685" t="s">
        <v>1100</v>
      </c>
      <c r="B685" s="27" t="s">
        <v>3221</v>
      </c>
      <c r="C685" s="27" t="s">
        <v>5767</v>
      </c>
      <c r="D685">
        <f>VLOOKUP(tblTargetMedicos[[#This Row],[codigo_id]],[1]DIM_REPRESENTANTE_MEDICO!$C:$F,4,0)</f>
        <v>8</v>
      </c>
      <c r="E685">
        <f>VLOOKUP(tblTargetMedicos[[#This Row],[codigo_id]],[1]DIM_REPRESENTANTE_MEDICO!$C:$F,3,0)</f>
        <v>10</v>
      </c>
      <c r="F685" s="27" t="s">
        <v>5796</v>
      </c>
      <c r="G685" s="27" t="s">
        <v>5782</v>
      </c>
      <c r="H685" s="27" t="s">
        <v>97</v>
      </c>
      <c r="I685">
        <v>1</v>
      </c>
    </row>
    <row r="686" spans="1:9">
      <c r="A686" t="s">
        <v>1101</v>
      </c>
      <c r="B686" s="27" t="s">
        <v>3221</v>
      </c>
      <c r="C686" s="27" t="s">
        <v>5767</v>
      </c>
      <c r="D686">
        <f>VLOOKUP(tblTargetMedicos[[#This Row],[codigo_id]],[1]DIM_REPRESENTANTE_MEDICO!$C:$F,4,0)</f>
        <v>8</v>
      </c>
      <c r="E686">
        <f>VLOOKUP(tblTargetMedicos[[#This Row],[codigo_id]],[1]DIM_REPRESENTANTE_MEDICO!$C:$F,3,0)</f>
        <v>10</v>
      </c>
      <c r="F686" s="27" t="s">
        <v>5796</v>
      </c>
      <c r="G686" s="27" t="s">
        <v>5781</v>
      </c>
      <c r="H686" s="27" t="s">
        <v>96</v>
      </c>
      <c r="I686">
        <v>1</v>
      </c>
    </row>
    <row r="687" spans="1:9">
      <c r="A687" t="s">
        <v>1102</v>
      </c>
      <c r="B687" s="27" t="s">
        <v>3221</v>
      </c>
      <c r="C687" s="27" t="s">
        <v>5767</v>
      </c>
      <c r="D687">
        <f>VLOOKUP(tblTargetMedicos[[#This Row],[codigo_id]],[1]DIM_REPRESENTANTE_MEDICO!$C:$F,4,0)</f>
        <v>8</v>
      </c>
      <c r="E687">
        <f>VLOOKUP(tblTargetMedicos[[#This Row],[codigo_id]],[1]DIM_REPRESENTANTE_MEDICO!$C:$F,3,0)</f>
        <v>10</v>
      </c>
      <c r="F687" s="27" t="s">
        <v>5796</v>
      </c>
      <c r="G687" s="27" t="s">
        <v>5788</v>
      </c>
      <c r="H687" s="27" t="s">
        <v>96</v>
      </c>
      <c r="I687">
        <v>1</v>
      </c>
    </row>
    <row r="688" spans="1:9">
      <c r="A688" t="s">
        <v>1103</v>
      </c>
      <c r="B688" s="27" t="s">
        <v>3221</v>
      </c>
      <c r="C688" s="27" t="s">
        <v>5767</v>
      </c>
      <c r="D688">
        <f>VLOOKUP(tblTargetMedicos[[#This Row],[codigo_id]],[1]DIM_REPRESENTANTE_MEDICO!$C:$F,4,0)</f>
        <v>8</v>
      </c>
      <c r="E688">
        <f>VLOOKUP(tblTargetMedicos[[#This Row],[codigo_id]],[1]DIM_REPRESENTANTE_MEDICO!$C:$F,3,0)</f>
        <v>10</v>
      </c>
      <c r="F688" s="27" t="s">
        <v>5796</v>
      </c>
      <c r="G688" s="27" t="s">
        <v>5780</v>
      </c>
      <c r="H688" s="27" t="s">
        <v>97</v>
      </c>
      <c r="I688">
        <v>1</v>
      </c>
    </row>
    <row r="689" spans="1:9">
      <c r="A689" t="s">
        <v>1104</v>
      </c>
      <c r="B689" s="27" t="s">
        <v>3221</v>
      </c>
      <c r="C689" s="27" t="s">
        <v>5767</v>
      </c>
      <c r="D689">
        <f>VLOOKUP(tblTargetMedicos[[#This Row],[codigo_id]],[1]DIM_REPRESENTANTE_MEDICO!$C:$F,4,0)</f>
        <v>8</v>
      </c>
      <c r="E689">
        <f>VLOOKUP(tblTargetMedicos[[#This Row],[codigo_id]],[1]DIM_REPRESENTANTE_MEDICO!$C:$F,3,0)</f>
        <v>10</v>
      </c>
      <c r="F689" s="27" t="s">
        <v>5796</v>
      </c>
      <c r="G689" s="27" t="s">
        <v>5781</v>
      </c>
      <c r="H689" s="27" t="s">
        <v>97</v>
      </c>
      <c r="I689">
        <v>1</v>
      </c>
    </row>
    <row r="690" spans="1:9">
      <c r="A690" t="s">
        <v>1105</v>
      </c>
      <c r="B690" s="27" t="s">
        <v>3221</v>
      </c>
      <c r="C690" s="27" t="s">
        <v>5767</v>
      </c>
      <c r="D690">
        <f>VLOOKUP(tblTargetMedicos[[#This Row],[codigo_id]],[1]DIM_REPRESENTANTE_MEDICO!$C:$F,4,0)</f>
        <v>8</v>
      </c>
      <c r="E690">
        <f>VLOOKUP(tblTargetMedicos[[#This Row],[codigo_id]],[1]DIM_REPRESENTANTE_MEDICO!$C:$F,3,0)</f>
        <v>10</v>
      </c>
      <c r="F690" s="27" t="s">
        <v>5796</v>
      </c>
      <c r="G690" s="27" t="s">
        <v>5784</v>
      </c>
      <c r="H690" s="27" t="s">
        <v>95</v>
      </c>
      <c r="I690">
        <v>1</v>
      </c>
    </row>
    <row r="691" spans="1:9">
      <c r="A691" t="s">
        <v>1106</v>
      </c>
      <c r="B691" s="27" t="s">
        <v>3221</v>
      </c>
      <c r="C691" s="27" t="s">
        <v>5767</v>
      </c>
      <c r="D691">
        <f>VLOOKUP(tblTargetMedicos[[#This Row],[codigo_id]],[1]DIM_REPRESENTANTE_MEDICO!$C:$F,4,0)</f>
        <v>8</v>
      </c>
      <c r="E691">
        <f>VLOOKUP(tblTargetMedicos[[#This Row],[codigo_id]],[1]DIM_REPRESENTANTE_MEDICO!$C:$F,3,0)</f>
        <v>10</v>
      </c>
      <c r="F691" s="27" t="s">
        <v>5796</v>
      </c>
      <c r="G691" s="27" t="s">
        <v>5782</v>
      </c>
      <c r="H691" s="27" t="s">
        <v>97</v>
      </c>
      <c r="I691">
        <v>1</v>
      </c>
    </row>
    <row r="692" spans="1:9">
      <c r="A692" t="s">
        <v>1107</v>
      </c>
      <c r="B692" s="27" t="s">
        <v>3221</v>
      </c>
      <c r="C692" s="27" t="s">
        <v>5767</v>
      </c>
      <c r="D692">
        <f>VLOOKUP(tblTargetMedicos[[#This Row],[codigo_id]],[1]DIM_REPRESENTANTE_MEDICO!$C:$F,4,0)</f>
        <v>8</v>
      </c>
      <c r="E692">
        <f>VLOOKUP(tblTargetMedicos[[#This Row],[codigo_id]],[1]DIM_REPRESENTANTE_MEDICO!$C:$F,3,0)</f>
        <v>10</v>
      </c>
      <c r="F692" s="27" t="s">
        <v>5796</v>
      </c>
      <c r="G692" s="27" t="s">
        <v>5784</v>
      </c>
      <c r="H692" s="27" t="s">
        <v>96</v>
      </c>
      <c r="I692">
        <v>1</v>
      </c>
    </row>
    <row r="693" spans="1:9">
      <c r="A693" t="s">
        <v>1108</v>
      </c>
      <c r="B693" s="27" t="s">
        <v>3221</v>
      </c>
      <c r="C693" s="27" t="s">
        <v>5767</v>
      </c>
      <c r="D693">
        <f>VLOOKUP(tblTargetMedicos[[#This Row],[codigo_id]],[1]DIM_REPRESENTANTE_MEDICO!$C:$F,4,0)</f>
        <v>8</v>
      </c>
      <c r="E693">
        <f>VLOOKUP(tblTargetMedicos[[#This Row],[codigo_id]],[1]DIM_REPRESENTANTE_MEDICO!$C:$F,3,0)</f>
        <v>10</v>
      </c>
      <c r="F693" s="27" t="s">
        <v>5796</v>
      </c>
      <c r="G693" s="27" t="s">
        <v>5783</v>
      </c>
      <c r="H693" s="27" t="s">
        <v>96</v>
      </c>
      <c r="I693">
        <v>1</v>
      </c>
    </row>
    <row r="694" spans="1:9">
      <c r="A694" t="s">
        <v>1109</v>
      </c>
      <c r="B694" s="27" t="s">
        <v>3221</v>
      </c>
      <c r="C694" s="27" t="s">
        <v>5767</v>
      </c>
      <c r="D694">
        <f>VLOOKUP(tblTargetMedicos[[#This Row],[codigo_id]],[1]DIM_REPRESENTANTE_MEDICO!$C:$F,4,0)</f>
        <v>8</v>
      </c>
      <c r="E694">
        <f>VLOOKUP(tblTargetMedicos[[#This Row],[codigo_id]],[1]DIM_REPRESENTANTE_MEDICO!$C:$F,3,0)</f>
        <v>10</v>
      </c>
      <c r="F694" s="27" t="s">
        <v>5796</v>
      </c>
      <c r="G694" s="27" t="s">
        <v>5785</v>
      </c>
      <c r="H694" s="27" t="s">
        <v>96</v>
      </c>
      <c r="I694">
        <v>1</v>
      </c>
    </row>
    <row r="695" spans="1:9">
      <c r="A695" t="s">
        <v>1110</v>
      </c>
      <c r="B695" s="27" t="s">
        <v>3221</v>
      </c>
      <c r="C695" s="27" t="s">
        <v>5767</v>
      </c>
      <c r="D695">
        <f>VLOOKUP(tblTargetMedicos[[#This Row],[codigo_id]],[1]DIM_REPRESENTANTE_MEDICO!$C:$F,4,0)</f>
        <v>8</v>
      </c>
      <c r="E695">
        <f>VLOOKUP(tblTargetMedicos[[#This Row],[codigo_id]],[1]DIM_REPRESENTANTE_MEDICO!$C:$F,3,0)</f>
        <v>10</v>
      </c>
      <c r="F695" s="27" t="s">
        <v>5796</v>
      </c>
      <c r="G695" s="27" t="s">
        <v>5783</v>
      </c>
      <c r="H695" s="27" t="s">
        <v>96</v>
      </c>
      <c r="I695">
        <v>1</v>
      </c>
    </row>
    <row r="696" spans="1:9">
      <c r="A696" t="s">
        <v>1111</v>
      </c>
      <c r="B696" s="27" t="s">
        <v>3221</v>
      </c>
      <c r="C696" s="27" t="s">
        <v>5767</v>
      </c>
      <c r="D696">
        <f>VLOOKUP(tblTargetMedicos[[#This Row],[codigo_id]],[1]DIM_REPRESENTANTE_MEDICO!$C:$F,4,0)</f>
        <v>8</v>
      </c>
      <c r="E696">
        <f>VLOOKUP(tblTargetMedicos[[#This Row],[codigo_id]],[1]DIM_REPRESENTANTE_MEDICO!$C:$F,3,0)</f>
        <v>10</v>
      </c>
      <c r="F696" s="27" t="s">
        <v>5796</v>
      </c>
      <c r="G696" s="27" t="s">
        <v>5779</v>
      </c>
      <c r="H696" s="27" t="s">
        <v>96</v>
      </c>
      <c r="I696">
        <v>1</v>
      </c>
    </row>
    <row r="697" spans="1:9">
      <c r="A697" t="s">
        <v>1112</v>
      </c>
      <c r="B697" s="27" t="s">
        <v>3221</v>
      </c>
      <c r="C697" s="27" t="s">
        <v>5767</v>
      </c>
      <c r="D697">
        <f>VLOOKUP(tblTargetMedicos[[#This Row],[codigo_id]],[1]DIM_REPRESENTANTE_MEDICO!$C:$F,4,0)</f>
        <v>8</v>
      </c>
      <c r="E697">
        <f>VLOOKUP(tblTargetMedicos[[#This Row],[codigo_id]],[1]DIM_REPRESENTANTE_MEDICO!$C:$F,3,0)</f>
        <v>10</v>
      </c>
      <c r="F697" s="27" t="s">
        <v>5796</v>
      </c>
      <c r="G697" s="27" t="s">
        <v>5779</v>
      </c>
      <c r="H697" s="27" t="s">
        <v>96</v>
      </c>
      <c r="I697">
        <v>1</v>
      </c>
    </row>
    <row r="698" spans="1:9">
      <c r="A698" t="s">
        <v>1113</v>
      </c>
      <c r="B698" s="27" t="s">
        <v>3221</v>
      </c>
      <c r="C698" s="27" t="s">
        <v>5767</v>
      </c>
      <c r="D698">
        <f>VLOOKUP(tblTargetMedicos[[#This Row],[codigo_id]],[1]DIM_REPRESENTANTE_MEDICO!$C:$F,4,0)</f>
        <v>8</v>
      </c>
      <c r="E698">
        <f>VLOOKUP(tblTargetMedicos[[#This Row],[codigo_id]],[1]DIM_REPRESENTANTE_MEDICO!$C:$F,3,0)</f>
        <v>10</v>
      </c>
      <c r="F698" s="27" t="s">
        <v>5796</v>
      </c>
      <c r="G698" s="27" t="s">
        <v>5781</v>
      </c>
      <c r="H698" s="27" t="s">
        <v>97</v>
      </c>
      <c r="I698">
        <v>1</v>
      </c>
    </row>
    <row r="699" spans="1:9">
      <c r="A699" t="s">
        <v>1114</v>
      </c>
      <c r="B699" s="27" t="s">
        <v>3221</v>
      </c>
      <c r="C699" s="27" t="s">
        <v>5767</v>
      </c>
      <c r="D699">
        <f>VLOOKUP(tblTargetMedicos[[#This Row],[codigo_id]],[1]DIM_REPRESENTANTE_MEDICO!$C:$F,4,0)</f>
        <v>8</v>
      </c>
      <c r="E699">
        <f>VLOOKUP(tblTargetMedicos[[#This Row],[codigo_id]],[1]DIM_REPRESENTANTE_MEDICO!$C:$F,3,0)</f>
        <v>10</v>
      </c>
      <c r="F699" s="27" t="s">
        <v>5796</v>
      </c>
      <c r="G699" s="27" t="s">
        <v>5783</v>
      </c>
      <c r="H699" s="27" t="s">
        <v>97</v>
      </c>
      <c r="I699">
        <v>1</v>
      </c>
    </row>
    <row r="700" spans="1:9">
      <c r="A700" t="s">
        <v>1115</v>
      </c>
      <c r="B700" s="27" t="s">
        <v>3221</v>
      </c>
      <c r="C700" s="27" t="s">
        <v>5767</v>
      </c>
      <c r="D700">
        <f>VLOOKUP(tblTargetMedicos[[#This Row],[codigo_id]],[1]DIM_REPRESENTANTE_MEDICO!$C:$F,4,0)</f>
        <v>8</v>
      </c>
      <c r="E700">
        <f>VLOOKUP(tblTargetMedicos[[#This Row],[codigo_id]],[1]DIM_REPRESENTANTE_MEDICO!$C:$F,3,0)</f>
        <v>10</v>
      </c>
      <c r="F700" s="27" t="s">
        <v>5796</v>
      </c>
      <c r="G700" s="27" t="s">
        <v>5783</v>
      </c>
      <c r="H700" s="27" t="s">
        <v>97</v>
      </c>
      <c r="I700">
        <v>1</v>
      </c>
    </row>
    <row r="701" spans="1:9">
      <c r="A701" t="s">
        <v>1116</v>
      </c>
      <c r="B701" s="27" t="s">
        <v>3221</v>
      </c>
      <c r="C701" s="27" t="s">
        <v>5767</v>
      </c>
      <c r="D701">
        <f>VLOOKUP(tblTargetMedicos[[#This Row],[codigo_id]],[1]DIM_REPRESENTANTE_MEDICO!$C:$F,4,0)</f>
        <v>8</v>
      </c>
      <c r="E701">
        <f>VLOOKUP(tblTargetMedicos[[#This Row],[codigo_id]],[1]DIM_REPRESENTANTE_MEDICO!$C:$F,3,0)</f>
        <v>10</v>
      </c>
      <c r="F701" s="27" t="s">
        <v>5796</v>
      </c>
      <c r="G701" s="27" t="s">
        <v>5783</v>
      </c>
      <c r="H701" s="27" t="s">
        <v>96</v>
      </c>
      <c r="I701">
        <v>1</v>
      </c>
    </row>
    <row r="702" spans="1:9">
      <c r="A702" t="s">
        <v>1117</v>
      </c>
      <c r="B702" s="27" t="s">
        <v>3221</v>
      </c>
      <c r="C702" s="27" t="s">
        <v>5767</v>
      </c>
      <c r="D702">
        <f>VLOOKUP(tblTargetMedicos[[#This Row],[codigo_id]],[1]DIM_REPRESENTANTE_MEDICO!$C:$F,4,0)</f>
        <v>8</v>
      </c>
      <c r="E702">
        <f>VLOOKUP(tblTargetMedicos[[#This Row],[codigo_id]],[1]DIM_REPRESENTANTE_MEDICO!$C:$F,3,0)</f>
        <v>10</v>
      </c>
      <c r="F702" s="27" t="s">
        <v>5796</v>
      </c>
      <c r="G702" s="27" t="s">
        <v>5783</v>
      </c>
      <c r="H702" s="27" t="s">
        <v>96</v>
      </c>
      <c r="I702">
        <v>1</v>
      </c>
    </row>
    <row r="703" spans="1:9">
      <c r="A703" t="s">
        <v>1118</v>
      </c>
      <c r="B703" s="27" t="s">
        <v>3221</v>
      </c>
      <c r="C703" s="27" t="s">
        <v>5767</v>
      </c>
      <c r="D703">
        <f>VLOOKUP(tblTargetMedicos[[#This Row],[codigo_id]],[1]DIM_REPRESENTANTE_MEDICO!$C:$F,4,0)</f>
        <v>8</v>
      </c>
      <c r="E703">
        <f>VLOOKUP(tblTargetMedicos[[#This Row],[codigo_id]],[1]DIM_REPRESENTANTE_MEDICO!$C:$F,3,0)</f>
        <v>10</v>
      </c>
      <c r="F703" s="27" t="s">
        <v>5796</v>
      </c>
      <c r="G703" s="27" t="s">
        <v>5784</v>
      </c>
      <c r="H703" s="27" t="s">
        <v>96</v>
      </c>
      <c r="I703">
        <v>1</v>
      </c>
    </row>
    <row r="704" spans="1:9">
      <c r="A704" t="s">
        <v>1119</v>
      </c>
      <c r="B704" s="27" t="s">
        <v>3221</v>
      </c>
      <c r="C704" s="27" t="s">
        <v>5767</v>
      </c>
      <c r="D704">
        <f>VLOOKUP(tblTargetMedicos[[#This Row],[codigo_id]],[1]DIM_REPRESENTANTE_MEDICO!$C:$F,4,0)</f>
        <v>8</v>
      </c>
      <c r="E704">
        <f>VLOOKUP(tblTargetMedicos[[#This Row],[codigo_id]],[1]DIM_REPRESENTANTE_MEDICO!$C:$F,3,0)</f>
        <v>10</v>
      </c>
      <c r="F704" s="27" t="s">
        <v>5796</v>
      </c>
      <c r="G704" s="27" t="s">
        <v>5783</v>
      </c>
      <c r="H704" s="27" t="s">
        <v>96</v>
      </c>
      <c r="I704">
        <v>1</v>
      </c>
    </row>
    <row r="705" spans="1:9">
      <c r="A705" t="s">
        <v>1120</v>
      </c>
      <c r="B705" s="27" t="s">
        <v>3221</v>
      </c>
      <c r="C705" s="27" t="s">
        <v>5767</v>
      </c>
      <c r="D705">
        <f>VLOOKUP(tblTargetMedicos[[#This Row],[codigo_id]],[1]DIM_REPRESENTANTE_MEDICO!$C:$F,4,0)</f>
        <v>8</v>
      </c>
      <c r="E705">
        <f>VLOOKUP(tblTargetMedicos[[#This Row],[codigo_id]],[1]DIM_REPRESENTANTE_MEDICO!$C:$F,3,0)</f>
        <v>10</v>
      </c>
      <c r="F705" s="27" t="s">
        <v>5796</v>
      </c>
      <c r="G705" s="27" t="s">
        <v>5784</v>
      </c>
      <c r="H705" s="27" t="s">
        <v>96</v>
      </c>
      <c r="I705">
        <v>1</v>
      </c>
    </row>
    <row r="706" spans="1:9">
      <c r="A706" t="s">
        <v>1121</v>
      </c>
      <c r="B706" s="27" t="s">
        <v>3221</v>
      </c>
      <c r="C706" s="27" t="s">
        <v>5767</v>
      </c>
      <c r="D706">
        <f>VLOOKUP(tblTargetMedicos[[#This Row],[codigo_id]],[1]DIM_REPRESENTANTE_MEDICO!$C:$F,4,0)</f>
        <v>8</v>
      </c>
      <c r="E706">
        <f>VLOOKUP(tblTargetMedicos[[#This Row],[codigo_id]],[1]DIM_REPRESENTANTE_MEDICO!$C:$F,3,0)</f>
        <v>10</v>
      </c>
      <c r="F706" s="27" t="s">
        <v>5796</v>
      </c>
      <c r="G706" s="27" t="s">
        <v>5786</v>
      </c>
      <c r="H706" s="27" t="s">
        <v>96</v>
      </c>
      <c r="I706">
        <v>1</v>
      </c>
    </row>
    <row r="707" spans="1:9">
      <c r="A707" t="s">
        <v>1122</v>
      </c>
      <c r="B707" s="27" t="s">
        <v>3221</v>
      </c>
      <c r="C707" s="27" t="s">
        <v>5767</v>
      </c>
      <c r="D707">
        <f>VLOOKUP(tblTargetMedicos[[#This Row],[codigo_id]],[1]DIM_REPRESENTANTE_MEDICO!$C:$F,4,0)</f>
        <v>8</v>
      </c>
      <c r="E707">
        <f>VLOOKUP(tblTargetMedicos[[#This Row],[codigo_id]],[1]DIM_REPRESENTANTE_MEDICO!$C:$F,3,0)</f>
        <v>10</v>
      </c>
      <c r="F707" s="27" t="s">
        <v>5796</v>
      </c>
      <c r="G707" s="27" t="s">
        <v>5784</v>
      </c>
      <c r="H707" s="27" t="s">
        <v>97</v>
      </c>
      <c r="I707">
        <v>1</v>
      </c>
    </row>
    <row r="708" spans="1:9">
      <c r="A708" t="s">
        <v>1123</v>
      </c>
      <c r="B708" s="27" t="s">
        <v>3221</v>
      </c>
      <c r="C708" s="27" t="s">
        <v>5767</v>
      </c>
      <c r="D708">
        <f>VLOOKUP(tblTargetMedicos[[#This Row],[codigo_id]],[1]DIM_REPRESENTANTE_MEDICO!$C:$F,4,0)</f>
        <v>8</v>
      </c>
      <c r="E708">
        <f>VLOOKUP(tblTargetMedicos[[#This Row],[codigo_id]],[1]DIM_REPRESENTANTE_MEDICO!$C:$F,3,0)</f>
        <v>10</v>
      </c>
      <c r="F708" s="27" t="s">
        <v>5796</v>
      </c>
      <c r="G708" s="27" t="s">
        <v>5783</v>
      </c>
      <c r="H708" s="27" t="s">
        <v>5793</v>
      </c>
      <c r="I708">
        <v>1</v>
      </c>
    </row>
    <row r="709" spans="1:9">
      <c r="A709" t="s">
        <v>1124</v>
      </c>
      <c r="B709" s="27" t="s">
        <v>3221</v>
      </c>
      <c r="C709" s="27" t="s">
        <v>5767</v>
      </c>
      <c r="D709">
        <f>VLOOKUP(tblTargetMedicos[[#This Row],[codigo_id]],[1]DIM_REPRESENTANTE_MEDICO!$C:$F,4,0)</f>
        <v>8</v>
      </c>
      <c r="E709">
        <f>VLOOKUP(tblTargetMedicos[[#This Row],[codigo_id]],[1]DIM_REPRESENTANTE_MEDICO!$C:$F,3,0)</f>
        <v>10</v>
      </c>
      <c r="F709" s="27" t="s">
        <v>5796</v>
      </c>
      <c r="G709" s="27" t="s">
        <v>5784</v>
      </c>
      <c r="H709" s="27" t="s">
        <v>96</v>
      </c>
      <c r="I709">
        <v>1</v>
      </c>
    </row>
    <row r="710" spans="1:9">
      <c r="A710" t="s">
        <v>1125</v>
      </c>
      <c r="B710" s="27" t="s">
        <v>3221</v>
      </c>
      <c r="C710" s="27" t="s">
        <v>5767</v>
      </c>
      <c r="D710">
        <f>VLOOKUP(tblTargetMedicos[[#This Row],[codigo_id]],[1]DIM_REPRESENTANTE_MEDICO!$C:$F,4,0)</f>
        <v>8</v>
      </c>
      <c r="E710">
        <f>VLOOKUP(tblTargetMedicos[[#This Row],[codigo_id]],[1]DIM_REPRESENTANTE_MEDICO!$C:$F,3,0)</f>
        <v>10</v>
      </c>
      <c r="F710" s="27" t="s">
        <v>5796</v>
      </c>
      <c r="G710" s="27" t="s">
        <v>5785</v>
      </c>
      <c r="H710" s="27" t="s">
        <v>96</v>
      </c>
      <c r="I710">
        <v>1</v>
      </c>
    </row>
    <row r="711" spans="1:9">
      <c r="A711" t="s">
        <v>1126</v>
      </c>
      <c r="B711" s="27" t="s">
        <v>3221</v>
      </c>
      <c r="C711" s="27" t="s">
        <v>5767</v>
      </c>
      <c r="D711">
        <f>VLOOKUP(tblTargetMedicos[[#This Row],[codigo_id]],[1]DIM_REPRESENTANTE_MEDICO!$C:$F,4,0)</f>
        <v>8</v>
      </c>
      <c r="E711">
        <f>VLOOKUP(tblTargetMedicos[[#This Row],[codigo_id]],[1]DIM_REPRESENTANTE_MEDICO!$C:$F,3,0)</f>
        <v>10</v>
      </c>
      <c r="F711" s="27" t="s">
        <v>5796</v>
      </c>
      <c r="G711" s="27" t="s">
        <v>5783</v>
      </c>
      <c r="H711" s="27" t="s">
        <v>97</v>
      </c>
      <c r="I711">
        <v>1</v>
      </c>
    </row>
    <row r="712" spans="1:9">
      <c r="A712" t="s">
        <v>1127</v>
      </c>
      <c r="B712" s="27" t="s">
        <v>3221</v>
      </c>
      <c r="C712" s="27" t="s">
        <v>5767</v>
      </c>
      <c r="D712">
        <f>VLOOKUP(tblTargetMedicos[[#This Row],[codigo_id]],[1]DIM_REPRESENTANTE_MEDICO!$C:$F,4,0)</f>
        <v>8</v>
      </c>
      <c r="E712">
        <f>VLOOKUP(tblTargetMedicos[[#This Row],[codigo_id]],[1]DIM_REPRESENTANTE_MEDICO!$C:$F,3,0)</f>
        <v>10</v>
      </c>
      <c r="F712" s="27" t="s">
        <v>5796</v>
      </c>
      <c r="G712" s="27" t="s">
        <v>5782</v>
      </c>
      <c r="H712" s="27" t="s">
        <v>96</v>
      </c>
      <c r="I712">
        <v>1</v>
      </c>
    </row>
    <row r="713" spans="1:9">
      <c r="A713" t="s">
        <v>1128</v>
      </c>
      <c r="B713" s="27" t="s">
        <v>3221</v>
      </c>
      <c r="C713" s="27" t="s">
        <v>5767</v>
      </c>
      <c r="D713">
        <f>VLOOKUP(tblTargetMedicos[[#This Row],[codigo_id]],[1]DIM_REPRESENTANTE_MEDICO!$C:$F,4,0)</f>
        <v>8</v>
      </c>
      <c r="E713">
        <f>VLOOKUP(tblTargetMedicos[[#This Row],[codigo_id]],[1]DIM_REPRESENTANTE_MEDICO!$C:$F,3,0)</f>
        <v>10</v>
      </c>
      <c r="F713" s="27" t="s">
        <v>5796</v>
      </c>
      <c r="G713" s="27" t="s">
        <v>5786</v>
      </c>
      <c r="H713" s="27" t="s">
        <v>97</v>
      </c>
      <c r="I713">
        <v>1</v>
      </c>
    </row>
    <row r="714" spans="1:9">
      <c r="A714" t="s">
        <v>1129</v>
      </c>
      <c r="B714" s="27" t="s">
        <v>3221</v>
      </c>
      <c r="C714" s="27" t="s">
        <v>5767</v>
      </c>
      <c r="D714">
        <f>VLOOKUP(tblTargetMedicos[[#This Row],[codigo_id]],[1]DIM_REPRESENTANTE_MEDICO!$C:$F,4,0)</f>
        <v>8</v>
      </c>
      <c r="E714">
        <f>VLOOKUP(tblTargetMedicos[[#This Row],[codigo_id]],[1]DIM_REPRESENTANTE_MEDICO!$C:$F,3,0)</f>
        <v>10</v>
      </c>
      <c r="F714" s="27" t="s">
        <v>5796</v>
      </c>
      <c r="G714" s="27" t="s">
        <v>5784</v>
      </c>
      <c r="H714" s="27" t="s">
        <v>96</v>
      </c>
      <c r="I714">
        <v>1</v>
      </c>
    </row>
    <row r="715" spans="1:9">
      <c r="A715" t="s">
        <v>1130</v>
      </c>
      <c r="B715" s="27" t="s">
        <v>3221</v>
      </c>
      <c r="C715" s="27" t="s">
        <v>5767</v>
      </c>
      <c r="D715">
        <f>VLOOKUP(tblTargetMedicos[[#This Row],[codigo_id]],[1]DIM_REPRESENTANTE_MEDICO!$C:$F,4,0)</f>
        <v>8</v>
      </c>
      <c r="E715">
        <f>VLOOKUP(tblTargetMedicos[[#This Row],[codigo_id]],[1]DIM_REPRESENTANTE_MEDICO!$C:$F,3,0)</f>
        <v>10</v>
      </c>
      <c r="F715" s="27" t="s">
        <v>5796</v>
      </c>
      <c r="G715" s="27" t="s">
        <v>5784</v>
      </c>
      <c r="H715" s="27" t="s">
        <v>95</v>
      </c>
      <c r="I715">
        <v>1</v>
      </c>
    </row>
    <row r="716" spans="1:9">
      <c r="A716" t="s">
        <v>1131</v>
      </c>
      <c r="B716" s="27" t="s">
        <v>3221</v>
      </c>
      <c r="C716" s="27" t="s">
        <v>5767</v>
      </c>
      <c r="D716">
        <f>VLOOKUP(tblTargetMedicos[[#This Row],[codigo_id]],[1]DIM_REPRESENTANTE_MEDICO!$C:$F,4,0)</f>
        <v>8</v>
      </c>
      <c r="E716">
        <f>VLOOKUP(tblTargetMedicos[[#This Row],[codigo_id]],[1]DIM_REPRESENTANTE_MEDICO!$C:$F,3,0)</f>
        <v>10</v>
      </c>
      <c r="F716" s="27" t="s">
        <v>5796</v>
      </c>
      <c r="G716" s="27" t="s">
        <v>5782</v>
      </c>
      <c r="H716" s="27" t="s">
        <v>97</v>
      </c>
      <c r="I716">
        <v>1</v>
      </c>
    </row>
    <row r="717" spans="1:9">
      <c r="A717" t="s">
        <v>1132</v>
      </c>
      <c r="B717" s="27" t="s">
        <v>3221</v>
      </c>
      <c r="C717" s="27" t="s">
        <v>5767</v>
      </c>
      <c r="D717">
        <f>VLOOKUP(tblTargetMedicos[[#This Row],[codigo_id]],[1]DIM_REPRESENTANTE_MEDICO!$C:$F,4,0)</f>
        <v>8</v>
      </c>
      <c r="E717">
        <f>VLOOKUP(tblTargetMedicos[[#This Row],[codigo_id]],[1]DIM_REPRESENTANTE_MEDICO!$C:$F,3,0)</f>
        <v>10</v>
      </c>
      <c r="F717" s="27" t="s">
        <v>5796</v>
      </c>
      <c r="G717" s="27" t="s">
        <v>5779</v>
      </c>
      <c r="H717" s="27" t="s">
        <v>96</v>
      </c>
      <c r="I717">
        <v>1</v>
      </c>
    </row>
    <row r="718" spans="1:9">
      <c r="A718" t="s">
        <v>1133</v>
      </c>
      <c r="B718" s="27" t="s">
        <v>3221</v>
      </c>
      <c r="C718" s="27" t="s">
        <v>5767</v>
      </c>
      <c r="D718">
        <f>VLOOKUP(tblTargetMedicos[[#This Row],[codigo_id]],[1]DIM_REPRESENTANTE_MEDICO!$C:$F,4,0)</f>
        <v>8</v>
      </c>
      <c r="E718">
        <f>VLOOKUP(tblTargetMedicos[[#This Row],[codigo_id]],[1]DIM_REPRESENTANTE_MEDICO!$C:$F,3,0)</f>
        <v>10</v>
      </c>
      <c r="F718" s="27" t="s">
        <v>5796</v>
      </c>
      <c r="G718" s="27" t="s">
        <v>5784</v>
      </c>
      <c r="H718" s="27" t="s">
        <v>96</v>
      </c>
      <c r="I718">
        <v>1</v>
      </c>
    </row>
    <row r="719" spans="1:9">
      <c r="A719" t="s">
        <v>1134</v>
      </c>
      <c r="B719" s="27" t="s">
        <v>3221</v>
      </c>
      <c r="C719" s="27" t="s">
        <v>5767</v>
      </c>
      <c r="D719">
        <f>VLOOKUP(tblTargetMedicos[[#This Row],[codigo_id]],[1]DIM_REPRESENTANTE_MEDICO!$C:$F,4,0)</f>
        <v>8</v>
      </c>
      <c r="E719">
        <f>VLOOKUP(tblTargetMedicos[[#This Row],[codigo_id]],[1]DIM_REPRESENTANTE_MEDICO!$C:$F,3,0)</f>
        <v>10</v>
      </c>
      <c r="F719" s="27" t="s">
        <v>5796</v>
      </c>
      <c r="G719" s="27" t="s">
        <v>5781</v>
      </c>
      <c r="H719" s="27" t="s">
        <v>97</v>
      </c>
      <c r="I719">
        <v>1</v>
      </c>
    </row>
    <row r="720" spans="1:9">
      <c r="A720" t="s">
        <v>1135</v>
      </c>
      <c r="B720" s="27" t="s">
        <v>3221</v>
      </c>
      <c r="C720" s="27" t="s">
        <v>5767</v>
      </c>
      <c r="D720">
        <f>VLOOKUP(tblTargetMedicos[[#This Row],[codigo_id]],[1]DIM_REPRESENTANTE_MEDICO!$C:$F,4,0)</f>
        <v>8</v>
      </c>
      <c r="E720">
        <f>VLOOKUP(tblTargetMedicos[[#This Row],[codigo_id]],[1]DIM_REPRESENTANTE_MEDICO!$C:$F,3,0)</f>
        <v>10</v>
      </c>
      <c r="F720" s="27" t="s">
        <v>5796</v>
      </c>
      <c r="G720" s="27" t="s">
        <v>5781</v>
      </c>
      <c r="H720" s="27" t="s">
        <v>97</v>
      </c>
      <c r="I720">
        <v>1</v>
      </c>
    </row>
    <row r="721" spans="1:9">
      <c r="A721" t="s">
        <v>1136</v>
      </c>
      <c r="B721" s="27" t="s">
        <v>3221</v>
      </c>
      <c r="C721" s="27" t="s">
        <v>5767</v>
      </c>
      <c r="D721">
        <f>VLOOKUP(tblTargetMedicos[[#This Row],[codigo_id]],[1]DIM_REPRESENTANTE_MEDICO!$C:$F,4,0)</f>
        <v>8</v>
      </c>
      <c r="E721">
        <f>VLOOKUP(tblTargetMedicos[[#This Row],[codigo_id]],[1]DIM_REPRESENTANTE_MEDICO!$C:$F,3,0)</f>
        <v>10</v>
      </c>
      <c r="F721" s="27" t="s">
        <v>5796</v>
      </c>
      <c r="G721" s="27" t="s">
        <v>5783</v>
      </c>
      <c r="H721" s="27" t="s">
        <v>97</v>
      </c>
      <c r="I721">
        <v>1</v>
      </c>
    </row>
    <row r="722" spans="1:9">
      <c r="A722" t="s">
        <v>1137</v>
      </c>
      <c r="B722" s="27" t="s">
        <v>3221</v>
      </c>
      <c r="C722" s="27" t="s">
        <v>5767</v>
      </c>
      <c r="D722">
        <f>VLOOKUP(tblTargetMedicos[[#This Row],[codigo_id]],[1]DIM_REPRESENTANTE_MEDICO!$C:$F,4,0)</f>
        <v>8</v>
      </c>
      <c r="E722">
        <f>VLOOKUP(tblTargetMedicos[[#This Row],[codigo_id]],[1]DIM_REPRESENTANTE_MEDICO!$C:$F,3,0)</f>
        <v>10</v>
      </c>
      <c r="F722" s="27" t="s">
        <v>5796</v>
      </c>
      <c r="G722" s="27" t="s">
        <v>5779</v>
      </c>
      <c r="H722" s="27" t="s">
        <v>96</v>
      </c>
      <c r="I722">
        <v>1</v>
      </c>
    </row>
    <row r="723" spans="1:9">
      <c r="A723" t="s">
        <v>1138</v>
      </c>
      <c r="B723" s="27" t="s">
        <v>3221</v>
      </c>
      <c r="C723" s="27" t="s">
        <v>5767</v>
      </c>
      <c r="D723">
        <f>VLOOKUP(tblTargetMedicos[[#This Row],[codigo_id]],[1]DIM_REPRESENTANTE_MEDICO!$C:$F,4,0)</f>
        <v>8</v>
      </c>
      <c r="E723">
        <f>VLOOKUP(tblTargetMedicos[[#This Row],[codigo_id]],[1]DIM_REPRESENTANTE_MEDICO!$C:$F,3,0)</f>
        <v>10</v>
      </c>
      <c r="F723" s="27" t="s">
        <v>5796</v>
      </c>
      <c r="G723" s="27" t="s">
        <v>5785</v>
      </c>
      <c r="H723" s="27" t="s">
        <v>96</v>
      </c>
      <c r="I723">
        <v>1</v>
      </c>
    </row>
    <row r="724" spans="1:9">
      <c r="A724" t="s">
        <v>1139</v>
      </c>
      <c r="B724" s="27" t="s">
        <v>3221</v>
      </c>
      <c r="C724" s="27" t="s">
        <v>5767</v>
      </c>
      <c r="D724">
        <f>VLOOKUP(tblTargetMedicos[[#This Row],[codigo_id]],[1]DIM_REPRESENTANTE_MEDICO!$C:$F,4,0)</f>
        <v>8</v>
      </c>
      <c r="E724">
        <f>VLOOKUP(tblTargetMedicos[[#This Row],[codigo_id]],[1]DIM_REPRESENTANTE_MEDICO!$C:$F,3,0)</f>
        <v>10</v>
      </c>
      <c r="F724" s="27" t="s">
        <v>5796</v>
      </c>
      <c r="G724" s="27" t="s">
        <v>5785</v>
      </c>
      <c r="H724" s="27" t="s">
        <v>96</v>
      </c>
      <c r="I724">
        <v>1</v>
      </c>
    </row>
    <row r="725" spans="1:9">
      <c r="A725" t="s">
        <v>1140</v>
      </c>
      <c r="B725" s="27" t="s">
        <v>3221</v>
      </c>
      <c r="C725" s="27" t="s">
        <v>5767</v>
      </c>
      <c r="D725">
        <f>VLOOKUP(tblTargetMedicos[[#This Row],[codigo_id]],[1]DIM_REPRESENTANTE_MEDICO!$C:$F,4,0)</f>
        <v>8</v>
      </c>
      <c r="E725">
        <f>VLOOKUP(tblTargetMedicos[[#This Row],[codigo_id]],[1]DIM_REPRESENTANTE_MEDICO!$C:$F,3,0)</f>
        <v>10</v>
      </c>
      <c r="F725" s="27" t="s">
        <v>5796</v>
      </c>
      <c r="G725" s="27" t="s">
        <v>5783</v>
      </c>
      <c r="H725" s="27" t="s">
        <v>96</v>
      </c>
      <c r="I725">
        <v>1</v>
      </c>
    </row>
    <row r="726" spans="1:9">
      <c r="A726" t="s">
        <v>1141</v>
      </c>
      <c r="B726" s="27" t="s">
        <v>3221</v>
      </c>
      <c r="C726" s="27" t="s">
        <v>5767</v>
      </c>
      <c r="D726">
        <f>VLOOKUP(tblTargetMedicos[[#This Row],[codigo_id]],[1]DIM_REPRESENTANTE_MEDICO!$C:$F,4,0)</f>
        <v>8</v>
      </c>
      <c r="E726">
        <f>VLOOKUP(tblTargetMedicos[[#This Row],[codigo_id]],[1]DIM_REPRESENTANTE_MEDICO!$C:$F,3,0)</f>
        <v>10</v>
      </c>
      <c r="F726" s="27" t="s">
        <v>5796</v>
      </c>
      <c r="G726" s="27" t="s">
        <v>5784</v>
      </c>
      <c r="H726" s="27" t="s">
        <v>96</v>
      </c>
      <c r="I726">
        <v>1</v>
      </c>
    </row>
    <row r="727" spans="1:9">
      <c r="A727" t="s">
        <v>1142</v>
      </c>
      <c r="B727" s="27" t="s">
        <v>3221</v>
      </c>
      <c r="C727" s="27" t="s">
        <v>5767</v>
      </c>
      <c r="D727">
        <f>VLOOKUP(tblTargetMedicos[[#This Row],[codigo_id]],[1]DIM_REPRESENTANTE_MEDICO!$C:$F,4,0)</f>
        <v>8</v>
      </c>
      <c r="E727">
        <f>VLOOKUP(tblTargetMedicos[[#This Row],[codigo_id]],[1]DIM_REPRESENTANTE_MEDICO!$C:$F,3,0)</f>
        <v>10</v>
      </c>
      <c r="F727" s="27" t="s">
        <v>5796</v>
      </c>
      <c r="G727" s="27" t="s">
        <v>5779</v>
      </c>
      <c r="H727" s="27" t="s">
        <v>96</v>
      </c>
      <c r="I727">
        <v>1</v>
      </c>
    </row>
    <row r="728" spans="1:9">
      <c r="A728" t="s">
        <v>1143</v>
      </c>
      <c r="B728" s="27" t="s">
        <v>3221</v>
      </c>
      <c r="C728" s="27" t="s">
        <v>5767</v>
      </c>
      <c r="D728">
        <f>VLOOKUP(tblTargetMedicos[[#This Row],[codigo_id]],[1]DIM_REPRESENTANTE_MEDICO!$C:$F,4,0)</f>
        <v>8</v>
      </c>
      <c r="E728">
        <f>VLOOKUP(tblTargetMedicos[[#This Row],[codigo_id]],[1]DIM_REPRESENTANTE_MEDICO!$C:$F,3,0)</f>
        <v>10</v>
      </c>
      <c r="F728" s="27" t="s">
        <v>5796</v>
      </c>
      <c r="G728" s="27" t="s">
        <v>5784</v>
      </c>
      <c r="H728" s="27" t="s">
        <v>97</v>
      </c>
      <c r="I728">
        <v>1</v>
      </c>
    </row>
    <row r="729" spans="1:9">
      <c r="A729" t="s">
        <v>1144</v>
      </c>
      <c r="B729" s="27" t="s">
        <v>3221</v>
      </c>
      <c r="C729" s="27" t="s">
        <v>5767</v>
      </c>
      <c r="D729">
        <f>VLOOKUP(tblTargetMedicos[[#This Row],[codigo_id]],[1]DIM_REPRESENTANTE_MEDICO!$C:$F,4,0)</f>
        <v>8</v>
      </c>
      <c r="E729">
        <f>VLOOKUP(tblTargetMedicos[[#This Row],[codigo_id]],[1]DIM_REPRESENTANTE_MEDICO!$C:$F,3,0)</f>
        <v>10</v>
      </c>
      <c r="F729" s="27" t="s">
        <v>5796</v>
      </c>
      <c r="G729" s="27" t="s">
        <v>5783</v>
      </c>
      <c r="H729" s="27" t="s">
        <v>97</v>
      </c>
      <c r="I729">
        <v>1</v>
      </c>
    </row>
    <row r="730" spans="1:9">
      <c r="A730" t="s">
        <v>1145</v>
      </c>
      <c r="B730" s="27" t="s">
        <v>3221</v>
      </c>
      <c r="C730" s="27" t="s">
        <v>5767</v>
      </c>
      <c r="D730">
        <f>VLOOKUP(tblTargetMedicos[[#This Row],[codigo_id]],[1]DIM_REPRESENTANTE_MEDICO!$C:$F,4,0)</f>
        <v>8</v>
      </c>
      <c r="E730">
        <f>VLOOKUP(tblTargetMedicos[[#This Row],[codigo_id]],[1]DIM_REPRESENTANTE_MEDICO!$C:$F,3,0)</f>
        <v>10</v>
      </c>
      <c r="F730" s="27" t="s">
        <v>5796</v>
      </c>
      <c r="G730" s="27" t="s">
        <v>5783</v>
      </c>
      <c r="H730" s="27" t="s">
        <v>97</v>
      </c>
      <c r="I730">
        <v>1</v>
      </c>
    </row>
    <row r="731" spans="1:9">
      <c r="A731" t="s">
        <v>1146</v>
      </c>
      <c r="B731" s="27" t="s">
        <v>3221</v>
      </c>
      <c r="C731" s="27" t="s">
        <v>5767</v>
      </c>
      <c r="D731">
        <f>VLOOKUP(tblTargetMedicos[[#This Row],[codigo_id]],[1]DIM_REPRESENTANTE_MEDICO!$C:$F,4,0)</f>
        <v>8</v>
      </c>
      <c r="E731">
        <f>VLOOKUP(tblTargetMedicos[[#This Row],[codigo_id]],[1]DIM_REPRESENTANTE_MEDICO!$C:$F,3,0)</f>
        <v>10</v>
      </c>
      <c r="F731" s="27" t="s">
        <v>5796</v>
      </c>
      <c r="G731" s="27" t="s">
        <v>5783</v>
      </c>
      <c r="H731" s="27" t="s">
        <v>96</v>
      </c>
      <c r="I731">
        <v>1</v>
      </c>
    </row>
    <row r="732" spans="1:9">
      <c r="A732" t="s">
        <v>1147</v>
      </c>
      <c r="B732" s="27" t="s">
        <v>3221</v>
      </c>
      <c r="C732" s="27" t="s">
        <v>5767</v>
      </c>
      <c r="D732">
        <f>VLOOKUP(tblTargetMedicos[[#This Row],[codigo_id]],[1]DIM_REPRESENTANTE_MEDICO!$C:$F,4,0)</f>
        <v>8</v>
      </c>
      <c r="E732">
        <f>VLOOKUP(tblTargetMedicos[[#This Row],[codigo_id]],[1]DIM_REPRESENTANTE_MEDICO!$C:$F,3,0)</f>
        <v>10</v>
      </c>
      <c r="F732" s="27" t="s">
        <v>5796</v>
      </c>
      <c r="G732" s="27" t="s">
        <v>5783</v>
      </c>
      <c r="H732" s="27" t="s">
        <v>96</v>
      </c>
      <c r="I732">
        <v>1</v>
      </c>
    </row>
    <row r="733" spans="1:9">
      <c r="A733" t="s">
        <v>1148</v>
      </c>
      <c r="B733" s="27" t="s">
        <v>3221</v>
      </c>
      <c r="C733" s="27" t="s">
        <v>5767</v>
      </c>
      <c r="D733">
        <f>VLOOKUP(tblTargetMedicos[[#This Row],[codigo_id]],[1]DIM_REPRESENTANTE_MEDICO!$C:$F,4,0)</f>
        <v>8</v>
      </c>
      <c r="E733">
        <f>VLOOKUP(tblTargetMedicos[[#This Row],[codigo_id]],[1]DIM_REPRESENTANTE_MEDICO!$C:$F,3,0)</f>
        <v>10</v>
      </c>
      <c r="F733" s="27" t="s">
        <v>5796</v>
      </c>
      <c r="G733" s="27" t="s">
        <v>5784</v>
      </c>
      <c r="H733" s="27" t="s">
        <v>96</v>
      </c>
      <c r="I733">
        <v>1</v>
      </c>
    </row>
    <row r="734" spans="1:9">
      <c r="A734" t="s">
        <v>1149</v>
      </c>
      <c r="B734" s="27" t="s">
        <v>3221</v>
      </c>
      <c r="C734" s="27" t="s">
        <v>5767</v>
      </c>
      <c r="D734">
        <f>VLOOKUP(tblTargetMedicos[[#This Row],[codigo_id]],[1]DIM_REPRESENTANTE_MEDICO!$C:$F,4,0)</f>
        <v>8</v>
      </c>
      <c r="E734">
        <f>VLOOKUP(tblTargetMedicos[[#This Row],[codigo_id]],[1]DIM_REPRESENTANTE_MEDICO!$C:$F,3,0)</f>
        <v>10</v>
      </c>
      <c r="F734" s="27" t="s">
        <v>5796</v>
      </c>
      <c r="G734" s="27" t="s">
        <v>5784</v>
      </c>
      <c r="H734" s="27" t="s">
        <v>96</v>
      </c>
      <c r="I734">
        <v>1</v>
      </c>
    </row>
    <row r="735" spans="1:9">
      <c r="A735" t="s">
        <v>1150</v>
      </c>
      <c r="B735" s="27" t="s">
        <v>3221</v>
      </c>
      <c r="C735" s="27" t="s">
        <v>5767</v>
      </c>
      <c r="D735">
        <f>VLOOKUP(tblTargetMedicos[[#This Row],[codigo_id]],[1]DIM_REPRESENTANTE_MEDICO!$C:$F,4,0)</f>
        <v>8</v>
      </c>
      <c r="E735">
        <f>VLOOKUP(tblTargetMedicos[[#This Row],[codigo_id]],[1]DIM_REPRESENTANTE_MEDICO!$C:$F,3,0)</f>
        <v>10</v>
      </c>
      <c r="F735" s="27" t="s">
        <v>5796</v>
      </c>
      <c r="G735" s="27" t="s">
        <v>5779</v>
      </c>
      <c r="H735" s="27" t="s">
        <v>96</v>
      </c>
      <c r="I735">
        <v>1</v>
      </c>
    </row>
    <row r="736" spans="1:9">
      <c r="A736" t="s">
        <v>1151</v>
      </c>
      <c r="B736" s="27" t="s">
        <v>3221</v>
      </c>
      <c r="C736" s="27" t="s">
        <v>5767</v>
      </c>
      <c r="D736">
        <f>VLOOKUP(tblTargetMedicos[[#This Row],[codigo_id]],[1]DIM_REPRESENTANTE_MEDICO!$C:$F,4,0)</f>
        <v>8</v>
      </c>
      <c r="E736">
        <f>VLOOKUP(tblTargetMedicos[[#This Row],[codigo_id]],[1]DIM_REPRESENTANTE_MEDICO!$C:$F,3,0)</f>
        <v>10</v>
      </c>
      <c r="F736" s="27" t="s">
        <v>5796</v>
      </c>
      <c r="G736" s="27" t="s">
        <v>5784</v>
      </c>
      <c r="H736" s="27" t="s">
        <v>97</v>
      </c>
      <c r="I736">
        <v>1</v>
      </c>
    </row>
    <row r="737" spans="1:9">
      <c r="A737" t="s">
        <v>1152</v>
      </c>
      <c r="B737" s="27" t="s">
        <v>3221</v>
      </c>
      <c r="C737" s="27" t="s">
        <v>5767</v>
      </c>
      <c r="D737">
        <f>VLOOKUP(tblTargetMedicos[[#This Row],[codigo_id]],[1]DIM_REPRESENTANTE_MEDICO!$C:$F,4,0)</f>
        <v>8</v>
      </c>
      <c r="E737">
        <f>VLOOKUP(tblTargetMedicos[[#This Row],[codigo_id]],[1]DIM_REPRESENTANTE_MEDICO!$C:$F,3,0)</f>
        <v>10</v>
      </c>
      <c r="F737" s="27" t="s">
        <v>5796</v>
      </c>
      <c r="G737" s="27" t="s">
        <v>5782</v>
      </c>
      <c r="H737" s="27" t="s">
        <v>97</v>
      </c>
      <c r="I737">
        <v>1</v>
      </c>
    </row>
    <row r="738" spans="1:9">
      <c r="A738" t="s">
        <v>1153</v>
      </c>
      <c r="B738" s="27" t="s">
        <v>3221</v>
      </c>
      <c r="C738" s="27" t="s">
        <v>5767</v>
      </c>
      <c r="D738">
        <f>VLOOKUP(tblTargetMedicos[[#This Row],[codigo_id]],[1]DIM_REPRESENTANTE_MEDICO!$C:$F,4,0)</f>
        <v>8</v>
      </c>
      <c r="E738">
        <f>VLOOKUP(tblTargetMedicos[[#This Row],[codigo_id]],[1]DIM_REPRESENTANTE_MEDICO!$C:$F,3,0)</f>
        <v>10</v>
      </c>
      <c r="F738" s="27" t="s">
        <v>5796</v>
      </c>
      <c r="G738" s="27" t="s">
        <v>5782</v>
      </c>
      <c r="H738" s="27" t="s">
        <v>96</v>
      </c>
      <c r="I738">
        <v>1</v>
      </c>
    </row>
    <row r="739" spans="1:9">
      <c r="A739" t="s">
        <v>1154</v>
      </c>
      <c r="B739" s="27" t="s">
        <v>3221</v>
      </c>
      <c r="C739" s="27" t="s">
        <v>5767</v>
      </c>
      <c r="D739">
        <f>VLOOKUP(tblTargetMedicos[[#This Row],[codigo_id]],[1]DIM_REPRESENTANTE_MEDICO!$C:$F,4,0)</f>
        <v>8</v>
      </c>
      <c r="E739">
        <f>VLOOKUP(tblTargetMedicos[[#This Row],[codigo_id]],[1]DIM_REPRESENTANTE_MEDICO!$C:$F,3,0)</f>
        <v>10</v>
      </c>
      <c r="F739" s="27" t="s">
        <v>5796</v>
      </c>
      <c r="G739" s="27" t="s">
        <v>5784</v>
      </c>
      <c r="H739" s="27" t="s">
        <v>96</v>
      </c>
      <c r="I739">
        <v>1</v>
      </c>
    </row>
    <row r="740" spans="1:9">
      <c r="A740" t="s">
        <v>1155</v>
      </c>
      <c r="B740" s="27" t="s">
        <v>3221</v>
      </c>
      <c r="C740" s="27" t="s">
        <v>5767</v>
      </c>
      <c r="D740">
        <f>VLOOKUP(tblTargetMedicos[[#This Row],[codigo_id]],[1]DIM_REPRESENTANTE_MEDICO!$C:$F,4,0)</f>
        <v>8</v>
      </c>
      <c r="E740">
        <f>VLOOKUP(tblTargetMedicos[[#This Row],[codigo_id]],[1]DIM_REPRESENTANTE_MEDICO!$C:$F,3,0)</f>
        <v>10</v>
      </c>
      <c r="F740" s="27" t="s">
        <v>5796</v>
      </c>
      <c r="G740" s="27" t="s">
        <v>5784</v>
      </c>
      <c r="H740" s="27" t="s">
        <v>96</v>
      </c>
      <c r="I740">
        <v>1</v>
      </c>
    </row>
    <row r="741" spans="1:9">
      <c r="A741" t="s">
        <v>1156</v>
      </c>
      <c r="B741" s="27" t="s">
        <v>3221</v>
      </c>
      <c r="C741" s="27" t="s">
        <v>5767</v>
      </c>
      <c r="D741">
        <f>VLOOKUP(tblTargetMedicos[[#This Row],[codigo_id]],[1]DIM_REPRESENTANTE_MEDICO!$C:$F,4,0)</f>
        <v>8</v>
      </c>
      <c r="E741">
        <f>VLOOKUP(tblTargetMedicos[[#This Row],[codigo_id]],[1]DIM_REPRESENTANTE_MEDICO!$C:$F,3,0)</f>
        <v>10</v>
      </c>
      <c r="F741" s="27" t="s">
        <v>5796</v>
      </c>
      <c r="G741" s="27" t="s">
        <v>5785</v>
      </c>
      <c r="H741" s="27" t="s">
        <v>97</v>
      </c>
      <c r="I741">
        <v>1</v>
      </c>
    </row>
    <row r="742" spans="1:9">
      <c r="A742" t="s">
        <v>1157</v>
      </c>
      <c r="B742" s="27" t="s">
        <v>3221</v>
      </c>
      <c r="C742" s="27" t="s">
        <v>5767</v>
      </c>
      <c r="D742">
        <f>VLOOKUP(tblTargetMedicos[[#This Row],[codigo_id]],[1]DIM_REPRESENTANTE_MEDICO!$C:$F,4,0)</f>
        <v>8</v>
      </c>
      <c r="E742">
        <f>VLOOKUP(tblTargetMedicos[[#This Row],[codigo_id]],[1]DIM_REPRESENTANTE_MEDICO!$C:$F,3,0)</f>
        <v>10</v>
      </c>
      <c r="F742" s="27" t="s">
        <v>5796</v>
      </c>
      <c r="G742" s="27" t="s">
        <v>5784</v>
      </c>
      <c r="H742" s="27" t="s">
        <v>96</v>
      </c>
      <c r="I742">
        <v>1</v>
      </c>
    </row>
    <row r="743" spans="1:9">
      <c r="A743" t="s">
        <v>1158</v>
      </c>
      <c r="B743" s="27" t="s">
        <v>3221</v>
      </c>
      <c r="C743" s="27" t="s">
        <v>5767</v>
      </c>
      <c r="D743">
        <f>VLOOKUP(tblTargetMedicos[[#This Row],[codigo_id]],[1]DIM_REPRESENTANTE_MEDICO!$C:$F,4,0)</f>
        <v>8</v>
      </c>
      <c r="E743">
        <f>VLOOKUP(tblTargetMedicos[[#This Row],[codigo_id]],[1]DIM_REPRESENTANTE_MEDICO!$C:$F,3,0)</f>
        <v>10</v>
      </c>
      <c r="F743" s="27" t="s">
        <v>5796</v>
      </c>
      <c r="G743" s="27" t="s">
        <v>5781</v>
      </c>
      <c r="H743" s="27" t="s">
        <v>96</v>
      </c>
      <c r="I743">
        <v>1</v>
      </c>
    </row>
    <row r="744" spans="1:9">
      <c r="A744" t="s">
        <v>1159</v>
      </c>
      <c r="B744" s="27" t="s">
        <v>3221</v>
      </c>
      <c r="C744" s="27" t="s">
        <v>5767</v>
      </c>
      <c r="D744">
        <f>VLOOKUP(tblTargetMedicos[[#This Row],[codigo_id]],[1]DIM_REPRESENTANTE_MEDICO!$C:$F,4,0)</f>
        <v>8</v>
      </c>
      <c r="E744">
        <f>VLOOKUP(tblTargetMedicos[[#This Row],[codigo_id]],[1]DIM_REPRESENTANTE_MEDICO!$C:$F,3,0)</f>
        <v>10</v>
      </c>
      <c r="F744" s="27" t="s">
        <v>5796</v>
      </c>
      <c r="G744" s="27" t="s">
        <v>5784</v>
      </c>
      <c r="H744" s="27" t="s">
        <v>97</v>
      </c>
      <c r="I744">
        <v>1</v>
      </c>
    </row>
    <row r="745" spans="1:9">
      <c r="A745" t="s">
        <v>1160</v>
      </c>
      <c r="B745" s="27" t="s">
        <v>3221</v>
      </c>
      <c r="C745" s="27" t="s">
        <v>5767</v>
      </c>
      <c r="D745">
        <f>VLOOKUP(tblTargetMedicos[[#This Row],[codigo_id]],[1]DIM_REPRESENTANTE_MEDICO!$C:$F,4,0)</f>
        <v>8</v>
      </c>
      <c r="E745">
        <f>VLOOKUP(tblTargetMedicos[[#This Row],[codigo_id]],[1]DIM_REPRESENTANTE_MEDICO!$C:$F,3,0)</f>
        <v>10</v>
      </c>
      <c r="F745" s="27" t="s">
        <v>5796</v>
      </c>
      <c r="G745" s="27" t="s">
        <v>5784</v>
      </c>
      <c r="H745" s="27" t="s">
        <v>97</v>
      </c>
      <c r="I745">
        <v>1</v>
      </c>
    </row>
    <row r="746" spans="1:9">
      <c r="A746" t="s">
        <v>1161</v>
      </c>
      <c r="B746" s="27" t="s">
        <v>3221</v>
      </c>
      <c r="C746" s="27" t="s">
        <v>5767</v>
      </c>
      <c r="D746">
        <f>VLOOKUP(tblTargetMedicos[[#This Row],[codigo_id]],[1]DIM_REPRESENTANTE_MEDICO!$C:$F,4,0)</f>
        <v>8</v>
      </c>
      <c r="E746">
        <f>VLOOKUP(tblTargetMedicos[[#This Row],[codigo_id]],[1]DIM_REPRESENTANTE_MEDICO!$C:$F,3,0)</f>
        <v>10</v>
      </c>
      <c r="F746" s="27" t="s">
        <v>5796</v>
      </c>
      <c r="G746" s="27" t="s">
        <v>5784</v>
      </c>
      <c r="H746" s="27" t="s">
        <v>96</v>
      </c>
      <c r="I746">
        <v>1</v>
      </c>
    </row>
    <row r="747" spans="1:9">
      <c r="A747" t="s">
        <v>1162</v>
      </c>
      <c r="B747" s="27" t="s">
        <v>3221</v>
      </c>
      <c r="C747" s="27" t="s">
        <v>5767</v>
      </c>
      <c r="D747">
        <f>VLOOKUP(tblTargetMedicos[[#This Row],[codigo_id]],[1]DIM_REPRESENTANTE_MEDICO!$C:$F,4,0)</f>
        <v>8</v>
      </c>
      <c r="E747">
        <f>VLOOKUP(tblTargetMedicos[[#This Row],[codigo_id]],[1]DIM_REPRESENTANTE_MEDICO!$C:$F,3,0)</f>
        <v>10</v>
      </c>
      <c r="F747" s="27" t="s">
        <v>5796</v>
      </c>
      <c r="G747" s="27" t="s">
        <v>5779</v>
      </c>
      <c r="H747" s="27" t="s">
        <v>96</v>
      </c>
      <c r="I747">
        <v>1</v>
      </c>
    </row>
    <row r="748" spans="1:9">
      <c r="A748" t="s">
        <v>1163</v>
      </c>
      <c r="B748" s="27" t="s">
        <v>3221</v>
      </c>
      <c r="C748" s="27" t="s">
        <v>5767</v>
      </c>
      <c r="D748">
        <f>VLOOKUP(tblTargetMedicos[[#This Row],[codigo_id]],[1]DIM_REPRESENTANTE_MEDICO!$C:$F,4,0)</f>
        <v>8</v>
      </c>
      <c r="E748">
        <f>VLOOKUP(tblTargetMedicos[[#This Row],[codigo_id]],[1]DIM_REPRESENTANTE_MEDICO!$C:$F,3,0)</f>
        <v>10</v>
      </c>
      <c r="F748" s="27" t="s">
        <v>5796</v>
      </c>
      <c r="G748" s="27" t="s">
        <v>5783</v>
      </c>
      <c r="H748" s="27" t="s">
        <v>96</v>
      </c>
      <c r="I748">
        <v>1</v>
      </c>
    </row>
    <row r="749" spans="1:9">
      <c r="A749" t="s">
        <v>1164</v>
      </c>
      <c r="B749" s="27" t="s">
        <v>3221</v>
      </c>
      <c r="C749" s="27" t="s">
        <v>5767</v>
      </c>
      <c r="D749">
        <f>VLOOKUP(tblTargetMedicos[[#This Row],[codigo_id]],[1]DIM_REPRESENTANTE_MEDICO!$C:$F,4,0)</f>
        <v>8</v>
      </c>
      <c r="E749">
        <f>VLOOKUP(tblTargetMedicos[[#This Row],[codigo_id]],[1]DIM_REPRESENTANTE_MEDICO!$C:$F,3,0)</f>
        <v>10</v>
      </c>
      <c r="F749" s="27" t="s">
        <v>5796</v>
      </c>
      <c r="G749" s="27" t="s">
        <v>5785</v>
      </c>
      <c r="H749" s="27" t="s">
        <v>96</v>
      </c>
      <c r="I749">
        <v>1</v>
      </c>
    </row>
    <row r="750" spans="1:9">
      <c r="A750" t="s">
        <v>1165</v>
      </c>
      <c r="B750" s="27" t="s">
        <v>3221</v>
      </c>
      <c r="C750" s="27" t="s">
        <v>5767</v>
      </c>
      <c r="D750">
        <f>VLOOKUP(tblTargetMedicos[[#This Row],[codigo_id]],[1]DIM_REPRESENTANTE_MEDICO!$C:$F,4,0)</f>
        <v>8</v>
      </c>
      <c r="E750">
        <f>VLOOKUP(tblTargetMedicos[[#This Row],[codigo_id]],[1]DIM_REPRESENTANTE_MEDICO!$C:$F,3,0)</f>
        <v>10</v>
      </c>
      <c r="F750" s="27" t="s">
        <v>5796</v>
      </c>
      <c r="G750" s="27" t="s">
        <v>5779</v>
      </c>
      <c r="H750" s="27" t="s">
        <v>96</v>
      </c>
      <c r="I750">
        <v>1</v>
      </c>
    </row>
    <row r="751" spans="1:9">
      <c r="A751" t="s">
        <v>1166</v>
      </c>
      <c r="B751" s="27" t="s">
        <v>3221</v>
      </c>
      <c r="C751" s="27" t="s">
        <v>5767</v>
      </c>
      <c r="D751">
        <f>VLOOKUP(tblTargetMedicos[[#This Row],[codigo_id]],[1]DIM_REPRESENTANTE_MEDICO!$C:$F,4,0)</f>
        <v>8</v>
      </c>
      <c r="E751">
        <f>VLOOKUP(tblTargetMedicos[[#This Row],[codigo_id]],[1]DIM_REPRESENTANTE_MEDICO!$C:$F,3,0)</f>
        <v>10</v>
      </c>
      <c r="F751" s="27" t="s">
        <v>5796</v>
      </c>
      <c r="G751" s="27" t="s">
        <v>5790</v>
      </c>
      <c r="H751" s="27" t="s">
        <v>97</v>
      </c>
      <c r="I751">
        <v>1</v>
      </c>
    </row>
    <row r="752" spans="1:9">
      <c r="A752" t="s">
        <v>1167</v>
      </c>
      <c r="B752" s="27" t="s">
        <v>3221</v>
      </c>
      <c r="C752" s="27" t="s">
        <v>5767</v>
      </c>
      <c r="D752">
        <f>VLOOKUP(tblTargetMedicos[[#This Row],[codigo_id]],[1]DIM_REPRESENTANTE_MEDICO!$C:$F,4,0)</f>
        <v>8</v>
      </c>
      <c r="E752">
        <f>VLOOKUP(tblTargetMedicos[[#This Row],[codigo_id]],[1]DIM_REPRESENTANTE_MEDICO!$C:$F,3,0)</f>
        <v>10</v>
      </c>
      <c r="F752" s="27" t="s">
        <v>5796</v>
      </c>
      <c r="G752" s="27" t="s">
        <v>5784</v>
      </c>
      <c r="H752" s="27" t="s">
        <v>96</v>
      </c>
      <c r="I752">
        <v>1</v>
      </c>
    </row>
    <row r="753" spans="1:9">
      <c r="A753" t="s">
        <v>1168</v>
      </c>
      <c r="B753" s="27" t="s">
        <v>3221</v>
      </c>
      <c r="C753" s="27" t="s">
        <v>5767</v>
      </c>
      <c r="D753">
        <f>VLOOKUP(tblTargetMedicos[[#This Row],[codigo_id]],[1]DIM_REPRESENTANTE_MEDICO!$C:$F,4,0)</f>
        <v>8</v>
      </c>
      <c r="E753">
        <f>VLOOKUP(tblTargetMedicos[[#This Row],[codigo_id]],[1]DIM_REPRESENTANTE_MEDICO!$C:$F,3,0)</f>
        <v>10</v>
      </c>
      <c r="F753" s="27" t="s">
        <v>5796</v>
      </c>
      <c r="G753" s="27" t="s">
        <v>5784</v>
      </c>
      <c r="H753" s="27" t="s">
        <v>96</v>
      </c>
      <c r="I753">
        <v>1</v>
      </c>
    </row>
    <row r="754" spans="1:9">
      <c r="A754" t="s">
        <v>1169</v>
      </c>
      <c r="B754" s="27" t="s">
        <v>3221</v>
      </c>
      <c r="C754" s="27" t="s">
        <v>5767</v>
      </c>
      <c r="D754">
        <f>VLOOKUP(tblTargetMedicos[[#This Row],[codigo_id]],[1]DIM_REPRESENTANTE_MEDICO!$C:$F,4,0)</f>
        <v>8</v>
      </c>
      <c r="E754">
        <f>VLOOKUP(tblTargetMedicos[[#This Row],[codigo_id]],[1]DIM_REPRESENTANTE_MEDICO!$C:$F,3,0)</f>
        <v>10</v>
      </c>
      <c r="F754" s="27" t="s">
        <v>5796</v>
      </c>
      <c r="G754" s="27" t="s">
        <v>5782</v>
      </c>
      <c r="H754" s="27" t="s">
        <v>96</v>
      </c>
      <c r="I754">
        <v>1</v>
      </c>
    </row>
    <row r="755" spans="1:9">
      <c r="A755" t="s">
        <v>1170</v>
      </c>
      <c r="B755" s="27" t="s">
        <v>3221</v>
      </c>
      <c r="C755" s="27" t="s">
        <v>5767</v>
      </c>
      <c r="D755">
        <f>VLOOKUP(tblTargetMedicos[[#This Row],[codigo_id]],[1]DIM_REPRESENTANTE_MEDICO!$C:$F,4,0)</f>
        <v>8</v>
      </c>
      <c r="E755">
        <f>VLOOKUP(tblTargetMedicos[[#This Row],[codigo_id]],[1]DIM_REPRESENTANTE_MEDICO!$C:$F,3,0)</f>
        <v>10</v>
      </c>
      <c r="F755" s="27" t="s">
        <v>5796</v>
      </c>
      <c r="G755" s="27" t="s">
        <v>5781</v>
      </c>
      <c r="H755" s="27" t="s">
        <v>97</v>
      </c>
      <c r="I755">
        <v>1</v>
      </c>
    </row>
    <row r="756" spans="1:9">
      <c r="A756" t="s">
        <v>1171</v>
      </c>
      <c r="B756" s="27" t="s">
        <v>3221</v>
      </c>
      <c r="C756" s="27" t="s">
        <v>5767</v>
      </c>
      <c r="D756">
        <f>VLOOKUP(tblTargetMedicos[[#This Row],[codigo_id]],[1]DIM_REPRESENTANTE_MEDICO!$C:$F,4,0)</f>
        <v>8</v>
      </c>
      <c r="E756">
        <f>VLOOKUP(tblTargetMedicos[[#This Row],[codigo_id]],[1]DIM_REPRESENTANTE_MEDICO!$C:$F,3,0)</f>
        <v>10</v>
      </c>
      <c r="F756" s="27" t="s">
        <v>5796</v>
      </c>
      <c r="G756" s="27" t="s">
        <v>5784</v>
      </c>
      <c r="H756" s="27" t="s">
        <v>97</v>
      </c>
      <c r="I756">
        <v>1</v>
      </c>
    </row>
    <row r="757" spans="1:9">
      <c r="A757" t="s">
        <v>1172</v>
      </c>
      <c r="B757" s="27" t="s">
        <v>3221</v>
      </c>
      <c r="C757" s="27" t="s">
        <v>5767</v>
      </c>
      <c r="D757">
        <f>VLOOKUP(tblTargetMedicos[[#This Row],[codigo_id]],[1]DIM_REPRESENTANTE_MEDICO!$C:$F,4,0)</f>
        <v>8</v>
      </c>
      <c r="E757">
        <f>VLOOKUP(tblTargetMedicos[[#This Row],[codigo_id]],[1]DIM_REPRESENTANTE_MEDICO!$C:$F,3,0)</f>
        <v>10</v>
      </c>
      <c r="F757" s="27" t="s">
        <v>5796</v>
      </c>
      <c r="G757" s="27" t="s">
        <v>5786</v>
      </c>
      <c r="H757" s="27" t="s">
        <v>96</v>
      </c>
      <c r="I757">
        <v>1</v>
      </c>
    </row>
    <row r="758" spans="1:9">
      <c r="A758" t="s">
        <v>1173</v>
      </c>
      <c r="B758" s="27" t="s">
        <v>3221</v>
      </c>
      <c r="C758" s="27" t="s">
        <v>5767</v>
      </c>
      <c r="D758">
        <f>VLOOKUP(tblTargetMedicos[[#This Row],[codigo_id]],[1]DIM_REPRESENTANTE_MEDICO!$C:$F,4,0)</f>
        <v>8</v>
      </c>
      <c r="E758">
        <f>VLOOKUP(tblTargetMedicos[[#This Row],[codigo_id]],[1]DIM_REPRESENTANTE_MEDICO!$C:$F,3,0)</f>
        <v>10</v>
      </c>
      <c r="F758" s="27" t="s">
        <v>5796</v>
      </c>
      <c r="G758" s="27" t="s">
        <v>5784</v>
      </c>
      <c r="H758" s="27" t="s">
        <v>96</v>
      </c>
      <c r="I758">
        <v>1</v>
      </c>
    </row>
    <row r="759" spans="1:9">
      <c r="A759" t="s">
        <v>1174</v>
      </c>
      <c r="B759" s="27" t="s">
        <v>3221</v>
      </c>
      <c r="C759" s="27" t="s">
        <v>5767</v>
      </c>
      <c r="D759">
        <f>VLOOKUP(tblTargetMedicos[[#This Row],[codigo_id]],[1]DIM_REPRESENTANTE_MEDICO!$C:$F,4,0)</f>
        <v>8</v>
      </c>
      <c r="E759">
        <f>VLOOKUP(tblTargetMedicos[[#This Row],[codigo_id]],[1]DIM_REPRESENTANTE_MEDICO!$C:$F,3,0)</f>
        <v>10</v>
      </c>
      <c r="F759" s="27" t="s">
        <v>5796</v>
      </c>
      <c r="G759" s="27" t="s">
        <v>5784</v>
      </c>
      <c r="H759" s="27" t="s">
        <v>95</v>
      </c>
      <c r="I759">
        <v>1</v>
      </c>
    </row>
    <row r="760" spans="1:9">
      <c r="A760" t="s">
        <v>1175</v>
      </c>
      <c r="B760" s="27" t="s">
        <v>3221</v>
      </c>
      <c r="C760" s="27" t="s">
        <v>5767</v>
      </c>
      <c r="D760">
        <f>VLOOKUP(tblTargetMedicos[[#This Row],[codigo_id]],[1]DIM_REPRESENTANTE_MEDICO!$C:$F,4,0)</f>
        <v>8</v>
      </c>
      <c r="E760">
        <f>VLOOKUP(tblTargetMedicos[[#This Row],[codigo_id]],[1]DIM_REPRESENTANTE_MEDICO!$C:$F,3,0)</f>
        <v>10</v>
      </c>
      <c r="F760" s="27" t="s">
        <v>5796</v>
      </c>
      <c r="G760" s="27" t="s">
        <v>5784</v>
      </c>
      <c r="H760" s="27" t="s">
        <v>96</v>
      </c>
      <c r="I760">
        <v>1</v>
      </c>
    </row>
    <row r="761" spans="1:9">
      <c r="A761" t="s">
        <v>1176</v>
      </c>
      <c r="B761" s="27" t="s">
        <v>3221</v>
      </c>
      <c r="C761" s="27" t="s">
        <v>5767</v>
      </c>
      <c r="D761">
        <f>VLOOKUP(tblTargetMedicos[[#This Row],[codigo_id]],[1]DIM_REPRESENTANTE_MEDICO!$C:$F,4,0)</f>
        <v>8</v>
      </c>
      <c r="E761">
        <f>VLOOKUP(tblTargetMedicos[[#This Row],[codigo_id]],[1]DIM_REPRESENTANTE_MEDICO!$C:$F,3,0)</f>
        <v>10</v>
      </c>
      <c r="F761" s="27" t="s">
        <v>5796</v>
      </c>
      <c r="G761" s="27" t="s">
        <v>5790</v>
      </c>
      <c r="H761" s="27" t="s">
        <v>96</v>
      </c>
      <c r="I761">
        <v>1</v>
      </c>
    </row>
    <row r="762" spans="1:9">
      <c r="A762" t="s">
        <v>1177</v>
      </c>
      <c r="B762" s="27" t="s">
        <v>3221</v>
      </c>
      <c r="C762" s="27" t="s">
        <v>5767</v>
      </c>
      <c r="D762">
        <f>VLOOKUP(tblTargetMedicos[[#This Row],[codigo_id]],[1]DIM_REPRESENTANTE_MEDICO!$C:$F,4,0)</f>
        <v>8</v>
      </c>
      <c r="E762">
        <f>VLOOKUP(tblTargetMedicos[[#This Row],[codigo_id]],[1]DIM_REPRESENTANTE_MEDICO!$C:$F,3,0)</f>
        <v>10</v>
      </c>
      <c r="F762" s="27" t="s">
        <v>5796</v>
      </c>
      <c r="G762" s="27" t="s">
        <v>5779</v>
      </c>
      <c r="H762" s="27" t="s">
        <v>96</v>
      </c>
      <c r="I762">
        <v>1</v>
      </c>
    </row>
    <row r="763" spans="1:9">
      <c r="A763" t="s">
        <v>1178</v>
      </c>
      <c r="B763" s="27" t="s">
        <v>3221</v>
      </c>
      <c r="C763" s="27" t="s">
        <v>5767</v>
      </c>
      <c r="D763">
        <f>VLOOKUP(tblTargetMedicos[[#This Row],[codigo_id]],[1]DIM_REPRESENTANTE_MEDICO!$C:$F,4,0)</f>
        <v>8</v>
      </c>
      <c r="E763">
        <f>VLOOKUP(tblTargetMedicos[[#This Row],[codigo_id]],[1]DIM_REPRESENTANTE_MEDICO!$C:$F,3,0)</f>
        <v>10</v>
      </c>
      <c r="F763" s="27" t="s">
        <v>5796</v>
      </c>
      <c r="G763" s="27" t="s">
        <v>5779</v>
      </c>
      <c r="H763" s="27" t="s">
        <v>96</v>
      </c>
      <c r="I763">
        <v>1</v>
      </c>
    </row>
    <row r="764" spans="1:9">
      <c r="A764" t="s">
        <v>1179</v>
      </c>
      <c r="B764" s="27" t="s">
        <v>3221</v>
      </c>
      <c r="C764" s="27" t="s">
        <v>5767</v>
      </c>
      <c r="D764">
        <f>VLOOKUP(tblTargetMedicos[[#This Row],[codigo_id]],[1]DIM_REPRESENTANTE_MEDICO!$C:$F,4,0)</f>
        <v>8</v>
      </c>
      <c r="E764">
        <f>VLOOKUP(tblTargetMedicos[[#This Row],[codigo_id]],[1]DIM_REPRESENTANTE_MEDICO!$C:$F,3,0)</f>
        <v>10</v>
      </c>
      <c r="F764" s="27" t="s">
        <v>5796</v>
      </c>
      <c r="G764" s="27" t="s">
        <v>5783</v>
      </c>
      <c r="H764" s="27" t="s">
        <v>97</v>
      </c>
      <c r="I764">
        <v>1</v>
      </c>
    </row>
    <row r="765" spans="1:9">
      <c r="A765" t="s">
        <v>1180</v>
      </c>
      <c r="B765" s="27" t="s">
        <v>3221</v>
      </c>
      <c r="C765" s="27" t="s">
        <v>5767</v>
      </c>
      <c r="D765">
        <f>VLOOKUP(tblTargetMedicos[[#This Row],[codigo_id]],[1]DIM_REPRESENTANTE_MEDICO!$C:$F,4,0)</f>
        <v>8</v>
      </c>
      <c r="E765">
        <f>VLOOKUP(tblTargetMedicos[[#This Row],[codigo_id]],[1]DIM_REPRESENTANTE_MEDICO!$C:$F,3,0)</f>
        <v>10</v>
      </c>
      <c r="F765" s="27" t="s">
        <v>5796</v>
      </c>
      <c r="G765" s="27" t="s">
        <v>5784</v>
      </c>
      <c r="H765" s="27" t="s">
        <v>97</v>
      </c>
      <c r="I765">
        <v>1</v>
      </c>
    </row>
    <row r="766" spans="1:9">
      <c r="A766" t="s">
        <v>1181</v>
      </c>
      <c r="B766" s="27" t="s">
        <v>3221</v>
      </c>
      <c r="C766" s="27" t="s">
        <v>5767</v>
      </c>
      <c r="D766">
        <f>VLOOKUP(tblTargetMedicos[[#This Row],[codigo_id]],[1]DIM_REPRESENTANTE_MEDICO!$C:$F,4,0)</f>
        <v>8</v>
      </c>
      <c r="E766">
        <f>VLOOKUP(tblTargetMedicos[[#This Row],[codigo_id]],[1]DIM_REPRESENTANTE_MEDICO!$C:$F,3,0)</f>
        <v>10</v>
      </c>
      <c r="F766" s="27" t="s">
        <v>5796</v>
      </c>
      <c r="G766" s="27" t="s">
        <v>5788</v>
      </c>
      <c r="H766" s="27" t="s">
        <v>96</v>
      </c>
      <c r="I766">
        <v>1</v>
      </c>
    </row>
    <row r="767" spans="1:9">
      <c r="A767" t="s">
        <v>1182</v>
      </c>
      <c r="B767" s="27" t="s">
        <v>3221</v>
      </c>
      <c r="C767" s="27" t="s">
        <v>5767</v>
      </c>
      <c r="D767">
        <f>VLOOKUP(tblTargetMedicos[[#This Row],[codigo_id]],[1]DIM_REPRESENTANTE_MEDICO!$C:$F,4,0)</f>
        <v>8</v>
      </c>
      <c r="E767">
        <f>VLOOKUP(tblTargetMedicos[[#This Row],[codigo_id]],[1]DIM_REPRESENTANTE_MEDICO!$C:$F,3,0)</f>
        <v>10</v>
      </c>
      <c r="F767" s="27" t="s">
        <v>5796</v>
      </c>
      <c r="G767" s="27" t="s">
        <v>5784</v>
      </c>
      <c r="H767" s="27" t="s">
        <v>96</v>
      </c>
      <c r="I767">
        <v>1</v>
      </c>
    </row>
    <row r="768" spans="1:9">
      <c r="A768" t="s">
        <v>1183</v>
      </c>
      <c r="B768" s="27" t="s">
        <v>3221</v>
      </c>
      <c r="C768" s="27" t="s">
        <v>5767</v>
      </c>
      <c r="D768">
        <f>VLOOKUP(tblTargetMedicos[[#This Row],[codigo_id]],[1]DIM_REPRESENTANTE_MEDICO!$C:$F,4,0)</f>
        <v>8</v>
      </c>
      <c r="E768">
        <f>VLOOKUP(tblTargetMedicos[[#This Row],[codigo_id]],[1]DIM_REPRESENTANTE_MEDICO!$C:$F,3,0)</f>
        <v>10</v>
      </c>
      <c r="F768" s="27" t="s">
        <v>5796</v>
      </c>
      <c r="G768" s="27" t="s">
        <v>5786</v>
      </c>
      <c r="H768" s="27" t="s">
        <v>97</v>
      </c>
      <c r="I768">
        <v>1</v>
      </c>
    </row>
    <row r="769" spans="1:9">
      <c r="A769" t="s">
        <v>1184</v>
      </c>
      <c r="B769" s="27" t="s">
        <v>3221</v>
      </c>
      <c r="C769" s="27" t="s">
        <v>5767</v>
      </c>
      <c r="D769">
        <f>VLOOKUP(tblTargetMedicos[[#This Row],[codigo_id]],[1]DIM_REPRESENTANTE_MEDICO!$C:$F,4,0)</f>
        <v>8</v>
      </c>
      <c r="E769">
        <f>VLOOKUP(tblTargetMedicos[[#This Row],[codigo_id]],[1]DIM_REPRESENTANTE_MEDICO!$C:$F,3,0)</f>
        <v>10</v>
      </c>
      <c r="F769" s="27" t="s">
        <v>5796</v>
      </c>
      <c r="G769" s="27" t="s">
        <v>5783</v>
      </c>
      <c r="H769" s="27" t="s">
        <v>97</v>
      </c>
      <c r="I769">
        <v>1</v>
      </c>
    </row>
    <row r="770" spans="1:9">
      <c r="A770" t="s">
        <v>1185</v>
      </c>
      <c r="B770" s="27" t="s">
        <v>3221</v>
      </c>
      <c r="C770" s="27" t="s">
        <v>5767</v>
      </c>
      <c r="D770">
        <f>VLOOKUP(tblTargetMedicos[[#This Row],[codigo_id]],[1]DIM_REPRESENTANTE_MEDICO!$C:$F,4,0)</f>
        <v>8</v>
      </c>
      <c r="E770">
        <f>VLOOKUP(tblTargetMedicos[[#This Row],[codigo_id]],[1]DIM_REPRESENTANTE_MEDICO!$C:$F,3,0)</f>
        <v>10</v>
      </c>
      <c r="F770" s="27" t="s">
        <v>5796</v>
      </c>
      <c r="G770" s="27" t="s">
        <v>5782</v>
      </c>
      <c r="H770" s="27" t="s">
        <v>97</v>
      </c>
      <c r="I770">
        <v>1</v>
      </c>
    </row>
    <row r="771" spans="1:9">
      <c r="A771" t="s">
        <v>1186</v>
      </c>
      <c r="B771" s="27" t="s">
        <v>3221</v>
      </c>
      <c r="C771" s="27" t="s">
        <v>5767</v>
      </c>
      <c r="D771">
        <f>VLOOKUP(tblTargetMedicos[[#This Row],[codigo_id]],[1]DIM_REPRESENTANTE_MEDICO!$C:$F,4,0)</f>
        <v>8</v>
      </c>
      <c r="E771">
        <f>VLOOKUP(tblTargetMedicos[[#This Row],[codigo_id]],[1]DIM_REPRESENTANTE_MEDICO!$C:$F,3,0)</f>
        <v>10</v>
      </c>
      <c r="F771" s="27" t="s">
        <v>5796</v>
      </c>
      <c r="G771" s="27" t="s">
        <v>5784</v>
      </c>
      <c r="H771" s="27" t="s">
        <v>96</v>
      </c>
      <c r="I771">
        <v>1</v>
      </c>
    </row>
    <row r="772" spans="1:9">
      <c r="A772" t="s">
        <v>1187</v>
      </c>
      <c r="B772" s="27" t="s">
        <v>3221</v>
      </c>
      <c r="C772" s="27" t="s">
        <v>5767</v>
      </c>
      <c r="D772">
        <f>VLOOKUP(tblTargetMedicos[[#This Row],[codigo_id]],[1]DIM_REPRESENTANTE_MEDICO!$C:$F,4,0)</f>
        <v>8</v>
      </c>
      <c r="E772">
        <f>VLOOKUP(tblTargetMedicos[[#This Row],[codigo_id]],[1]DIM_REPRESENTANTE_MEDICO!$C:$F,3,0)</f>
        <v>10</v>
      </c>
      <c r="F772" s="27" t="s">
        <v>5796</v>
      </c>
      <c r="G772" s="27" t="s">
        <v>5785</v>
      </c>
      <c r="H772" s="27" t="s">
        <v>97</v>
      </c>
      <c r="I772">
        <v>1</v>
      </c>
    </row>
    <row r="773" spans="1:9">
      <c r="A773" t="s">
        <v>1188</v>
      </c>
      <c r="B773" s="27" t="s">
        <v>3221</v>
      </c>
      <c r="C773" s="27" t="s">
        <v>5767</v>
      </c>
      <c r="D773">
        <f>VLOOKUP(tblTargetMedicos[[#This Row],[codigo_id]],[1]DIM_REPRESENTANTE_MEDICO!$C:$F,4,0)</f>
        <v>8</v>
      </c>
      <c r="E773">
        <f>VLOOKUP(tblTargetMedicos[[#This Row],[codigo_id]],[1]DIM_REPRESENTANTE_MEDICO!$C:$F,3,0)</f>
        <v>10</v>
      </c>
      <c r="F773" s="27" t="s">
        <v>5796</v>
      </c>
      <c r="G773" s="27" t="s">
        <v>5781</v>
      </c>
      <c r="H773" s="27" t="s">
        <v>97</v>
      </c>
      <c r="I773">
        <v>1</v>
      </c>
    </row>
    <row r="774" spans="1:9">
      <c r="A774" t="s">
        <v>1189</v>
      </c>
      <c r="B774" s="27" t="s">
        <v>3221</v>
      </c>
      <c r="C774" s="27" t="s">
        <v>5767</v>
      </c>
      <c r="D774">
        <f>VLOOKUP(tblTargetMedicos[[#This Row],[codigo_id]],[1]DIM_REPRESENTANTE_MEDICO!$C:$F,4,0)</f>
        <v>8</v>
      </c>
      <c r="E774">
        <f>VLOOKUP(tblTargetMedicos[[#This Row],[codigo_id]],[1]DIM_REPRESENTANTE_MEDICO!$C:$F,3,0)</f>
        <v>10</v>
      </c>
      <c r="F774" s="27" t="s">
        <v>5796</v>
      </c>
      <c r="G774" s="27" t="s">
        <v>5783</v>
      </c>
      <c r="H774" s="27" t="s">
        <v>96</v>
      </c>
      <c r="I774">
        <v>1</v>
      </c>
    </row>
    <row r="775" spans="1:9">
      <c r="A775" t="s">
        <v>1190</v>
      </c>
      <c r="B775" s="27" t="s">
        <v>3221</v>
      </c>
      <c r="C775" s="27" t="s">
        <v>5767</v>
      </c>
      <c r="D775">
        <f>VLOOKUP(tblTargetMedicos[[#This Row],[codigo_id]],[1]DIM_REPRESENTANTE_MEDICO!$C:$F,4,0)</f>
        <v>8</v>
      </c>
      <c r="E775">
        <f>VLOOKUP(tblTargetMedicos[[#This Row],[codigo_id]],[1]DIM_REPRESENTANTE_MEDICO!$C:$F,3,0)</f>
        <v>10</v>
      </c>
      <c r="F775" s="27" t="s">
        <v>5796</v>
      </c>
      <c r="G775" s="27" t="s">
        <v>5779</v>
      </c>
      <c r="H775" s="27" t="s">
        <v>96</v>
      </c>
      <c r="I775">
        <v>1</v>
      </c>
    </row>
    <row r="776" spans="1:9">
      <c r="A776" t="s">
        <v>1191</v>
      </c>
      <c r="B776" s="27" t="s">
        <v>3221</v>
      </c>
      <c r="C776" s="27" t="s">
        <v>5767</v>
      </c>
      <c r="D776">
        <f>VLOOKUP(tblTargetMedicos[[#This Row],[codigo_id]],[1]DIM_REPRESENTANTE_MEDICO!$C:$F,4,0)</f>
        <v>8</v>
      </c>
      <c r="E776">
        <f>VLOOKUP(tblTargetMedicos[[#This Row],[codigo_id]],[1]DIM_REPRESENTANTE_MEDICO!$C:$F,3,0)</f>
        <v>10</v>
      </c>
      <c r="F776" s="27" t="s">
        <v>5796</v>
      </c>
      <c r="G776" s="27" t="s">
        <v>5785</v>
      </c>
      <c r="H776" s="27" t="s">
        <v>96</v>
      </c>
      <c r="I776">
        <v>1</v>
      </c>
    </row>
    <row r="777" spans="1:9">
      <c r="A777" t="s">
        <v>1192</v>
      </c>
      <c r="B777" s="27" t="s">
        <v>3221</v>
      </c>
      <c r="C777" s="27" t="s">
        <v>5767</v>
      </c>
      <c r="D777">
        <f>VLOOKUP(tblTargetMedicos[[#This Row],[codigo_id]],[1]DIM_REPRESENTANTE_MEDICO!$C:$F,4,0)</f>
        <v>8</v>
      </c>
      <c r="E777">
        <f>VLOOKUP(tblTargetMedicos[[#This Row],[codigo_id]],[1]DIM_REPRESENTANTE_MEDICO!$C:$F,3,0)</f>
        <v>10</v>
      </c>
      <c r="F777" s="27" t="s">
        <v>5796</v>
      </c>
      <c r="G777" s="27" t="s">
        <v>5779</v>
      </c>
      <c r="H777" s="27" t="s">
        <v>97</v>
      </c>
      <c r="I777">
        <v>1</v>
      </c>
    </row>
    <row r="778" spans="1:9">
      <c r="A778" t="s">
        <v>1193</v>
      </c>
      <c r="B778" s="27" t="s">
        <v>3221</v>
      </c>
      <c r="C778" s="27" t="s">
        <v>5767</v>
      </c>
      <c r="D778">
        <f>VLOOKUP(tblTargetMedicos[[#This Row],[codigo_id]],[1]DIM_REPRESENTANTE_MEDICO!$C:$F,4,0)</f>
        <v>8</v>
      </c>
      <c r="E778">
        <f>VLOOKUP(tblTargetMedicos[[#This Row],[codigo_id]],[1]DIM_REPRESENTANTE_MEDICO!$C:$F,3,0)</f>
        <v>10</v>
      </c>
      <c r="F778" s="27" t="s">
        <v>5796</v>
      </c>
      <c r="G778" s="27" t="s">
        <v>5782</v>
      </c>
      <c r="H778" s="27" t="s">
        <v>97</v>
      </c>
      <c r="I778">
        <v>1</v>
      </c>
    </row>
    <row r="779" spans="1:9">
      <c r="A779" t="s">
        <v>1194</v>
      </c>
      <c r="B779" s="27" t="s">
        <v>3221</v>
      </c>
      <c r="C779" s="27" t="s">
        <v>5767</v>
      </c>
      <c r="D779">
        <f>VLOOKUP(tblTargetMedicos[[#This Row],[codigo_id]],[1]DIM_REPRESENTANTE_MEDICO!$C:$F,4,0)</f>
        <v>8</v>
      </c>
      <c r="E779">
        <f>VLOOKUP(tblTargetMedicos[[#This Row],[codigo_id]],[1]DIM_REPRESENTANTE_MEDICO!$C:$F,3,0)</f>
        <v>10</v>
      </c>
      <c r="F779" s="27" t="s">
        <v>5796</v>
      </c>
      <c r="G779" s="27" t="s">
        <v>5784</v>
      </c>
      <c r="H779" s="27" t="s">
        <v>96</v>
      </c>
      <c r="I779">
        <v>1</v>
      </c>
    </row>
    <row r="780" spans="1:9">
      <c r="A780" t="s">
        <v>1195</v>
      </c>
      <c r="B780" s="27" t="s">
        <v>3221</v>
      </c>
      <c r="C780" s="27" t="s">
        <v>5767</v>
      </c>
      <c r="D780">
        <f>VLOOKUP(tblTargetMedicos[[#This Row],[codigo_id]],[1]DIM_REPRESENTANTE_MEDICO!$C:$F,4,0)</f>
        <v>8</v>
      </c>
      <c r="E780">
        <f>VLOOKUP(tblTargetMedicos[[#This Row],[codigo_id]],[1]DIM_REPRESENTANTE_MEDICO!$C:$F,3,0)</f>
        <v>10</v>
      </c>
      <c r="F780" s="27" t="s">
        <v>5796</v>
      </c>
      <c r="G780" s="27" t="s">
        <v>5783</v>
      </c>
      <c r="H780" s="27" t="s">
        <v>97</v>
      </c>
      <c r="I780">
        <v>1</v>
      </c>
    </row>
    <row r="781" spans="1:9">
      <c r="A781" t="s">
        <v>1196</v>
      </c>
      <c r="B781" s="27" t="s">
        <v>3221</v>
      </c>
      <c r="C781" s="27" t="s">
        <v>5767</v>
      </c>
      <c r="D781">
        <f>VLOOKUP(tblTargetMedicos[[#This Row],[codigo_id]],[1]DIM_REPRESENTANTE_MEDICO!$C:$F,4,0)</f>
        <v>8</v>
      </c>
      <c r="E781">
        <f>VLOOKUP(tblTargetMedicos[[#This Row],[codigo_id]],[1]DIM_REPRESENTANTE_MEDICO!$C:$F,3,0)</f>
        <v>10</v>
      </c>
      <c r="F781" s="27" t="s">
        <v>5796</v>
      </c>
      <c r="G781" s="27" t="s">
        <v>5786</v>
      </c>
      <c r="H781" s="27" t="s">
        <v>97</v>
      </c>
      <c r="I781">
        <v>1</v>
      </c>
    </row>
    <row r="782" spans="1:9">
      <c r="A782" t="s">
        <v>1197</v>
      </c>
      <c r="B782" s="27" t="s">
        <v>3221</v>
      </c>
      <c r="C782" s="27" t="s">
        <v>5767</v>
      </c>
      <c r="D782">
        <f>VLOOKUP(tblTargetMedicos[[#This Row],[codigo_id]],[1]DIM_REPRESENTANTE_MEDICO!$C:$F,4,0)</f>
        <v>8</v>
      </c>
      <c r="E782">
        <f>VLOOKUP(tblTargetMedicos[[#This Row],[codigo_id]],[1]DIM_REPRESENTANTE_MEDICO!$C:$F,3,0)</f>
        <v>10</v>
      </c>
      <c r="F782" s="27" t="s">
        <v>5796</v>
      </c>
      <c r="G782" s="27" t="s">
        <v>5781</v>
      </c>
      <c r="H782" s="27" t="s">
        <v>96</v>
      </c>
      <c r="I782">
        <v>1</v>
      </c>
    </row>
    <row r="783" spans="1:9">
      <c r="A783" t="s">
        <v>1198</v>
      </c>
      <c r="B783" s="27" t="s">
        <v>3221</v>
      </c>
      <c r="C783" s="27" t="s">
        <v>5767</v>
      </c>
      <c r="D783">
        <f>VLOOKUP(tblTargetMedicos[[#This Row],[codigo_id]],[1]DIM_REPRESENTANTE_MEDICO!$C:$F,4,0)</f>
        <v>8</v>
      </c>
      <c r="E783">
        <f>VLOOKUP(tblTargetMedicos[[#This Row],[codigo_id]],[1]DIM_REPRESENTANTE_MEDICO!$C:$F,3,0)</f>
        <v>10</v>
      </c>
      <c r="F783" s="27" t="s">
        <v>5796</v>
      </c>
      <c r="G783" s="27" t="s">
        <v>5785</v>
      </c>
      <c r="H783" s="27" t="s">
        <v>97</v>
      </c>
      <c r="I783">
        <v>1</v>
      </c>
    </row>
    <row r="784" spans="1:9">
      <c r="A784" t="s">
        <v>1199</v>
      </c>
      <c r="B784" s="27" t="s">
        <v>3221</v>
      </c>
      <c r="C784" s="27" t="s">
        <v>5767</v>
      </c>
      <c r="D784">
        <f>VLOOKUP(tblTargetMedicos[[#This Row],[codigo_id]],[1]DIM_REPRESENTANTE_MEDICO!$C:$F,4,0)</f>
        <v>8</v>
      </c>
      <c r="E784">
        <f>VLOOKUP(tblTargetMedicos[[#This Row],[codigo_id]],[1]DIM_REPRESENTANTE_MEDICO!$C:$F,3,0)</f>
        <v>10</v>
      </c>
      <c r="F784" s="27" t="s">
        <v>5796</v>
      </c>
      <c r="G784" s="27" t="s">
        <v>5785</v>
      </c>
      <c r="H784" s="27" t="s">
        <v>96</v>
      </c>
      <c r="I784">
        <v>1</v>
      </c>
    </row>
    <row r="785" spans="1:9">
      <c r="A785" t="s">
        <v>1200</v>
      </c>
      <c r="B785" s="27" t="s">
        <v>3221</v>
      </c>
      <c r="C785" s="27" t="s">
        <v>5767</v>
      </c>
      <c r="D785">
        <f>VLOOKUP(tblTargetMedicos[[#This Row],[codigo_id]],[1]DIM_REPRESENTANTE_MEDICO!$C:$F,4,0)</f>
        <v>8</v>
      </c>
      <c r="E785">
        <f>VLOOKUP(tblTargetMedicos[[#This Row],[codigo_id]],[1]DIM_REPRESENTANTE_MEDICO!$C:$F,3,0)</f>
        <v>10</v>
      </c>
      <c r="F785" s="27" t="s">
        <v>5796</v>
      </c>
      <c r="G785" s="27" t="s">
        <v>5785</v>
      </c>
      <c r="H785" s="27" t="s">
        <v>97</v>
      </c>
      <c r="I785">
        <v>1</v>
      </c>
    </row>
    <row r="786" spans="1:9">
      <c r="A786" t="s">
        <v>1201</v>
      </c>
      <c r="B786" s="27" t="s">
        <v>3221</v>
      </c>
      <c r="C786" s="27" t="s">
        <v>5767</v>
      </c>
      <c r="D786">
        <f>VLOOKUP(tblTargetMedicos[[#This Row],[codigo_id]],[1]DIM_REPRESENTANTE_MEDICO!$C:$F,4,0)</f>
        <v>8</v>
      </c>
      <c r="E786">
        <f>VLOOKUP(tblTargetMedicos[[#This Row],[codigo_id]],[1]DIM_REPRESENTANTE_MEDICO!$C:$F,3,0)</f>
        <v>10</v>
      </c>
      <c r="F786" s="27" t="s">
        <v>5796</v>
      </c>
      <c r="G786" s="27" t="s">
        <v>5784</v>
      </c>
      <c r="H786" s="27" t="s">
        <v>96</v>
      </c>
      <c r="I786">
        <v>1</v>
      </c>
    </row>
    <row r="787" spans="1:9">
      <c r="A787" t="s">
        <v>1202</v>
      </c>
      <c r="B787" s="27" t="s">
        <v>3221</v>
      </c>
      <c r="C787" s="27" t="s">
        <v>5767</v>
      </c>
      <c r="D787">
        <f>VLOOKUP(tblTargetMedicos[[#This Row],[codigo_id]],[1]DIM_REPRESENTANTE_MEDICO!$C:$F,4,0)</f>
        <v>8</v>
      </c>
      <c r="E787">
        <f>VLOOKUP(tblTargetMedicos[[#This Row],[codigo_id]],[1]DIM_REPRESENTANTE_MEDICO!$C:$F,3,0)</f>
        <v>10</v>
      </c>
      <c r="F787" s="27" t="s">
        <v>5796</v>
      </c>
      <c r="G787" s="27" t="s">
        <v>5783</v>
      </c>
      <c r="H787" s="27" t="s">
        <v>97</v>
      </c>
      <c r="I787">
        <v>1</v>
      </c>
    </row>
    <row r="788" spans="1:9">
      <c r="A788" t="s">
        <v>1203</v>
      </c>
      <c r="B788" s="27" t="s">
        <v>3221</v>
      </c>
      <c r="C788" s="27" t="s">
        <v>5767</v>
      </c>
      <c r="D788">
        <f>VLOOKUP(tblTargetMedicos[[#This Row],[codigo_id]],[1]DIM_REPRESENTANTE_MEDICO!$C:$F,4,0)</f>
        <v>8</v>
      </c>
      <c r="E788">
        <f>VLOOKUP(tblTargetMedicos[[#This Row],[codigo_id]],[1]DIM_REPRESENTANTE_MEDICO!$C:$F,3,0)</f>
        <v>10</v>
      </c>
      <c r="F788" s="27" t="s">
        <v>5796</v>
      </c>
      <c r="G788" s="27" t="s">
        <v>5784</v>
      </c>
      <c r="H788" s="27" t="s">
        <v>96</v>
      </c>
      <c r="I788">
        <v>1</v>
      </c>
    </row>
    <row r="789" spans="1:9">
      <c r="A789" t="s">
        <v>1204</v>
      </c>
      <c r="B789" s="27" t="s">
        <v>3221</v>
      </c>
      <c r="C789" s="27" t="s">
        <v>5767</v>
      </c>
      <c r="D789">
        <f>VLOOKUP(tblTargetMedicos[[#This Row],[codigo_id]],[1]DIM_REPRESENTANTE_MEDICO!$C:$F,4,0)</f>
        <v>8</v>
      </c>
      <c r="E789">
        <f>VLOOKUP(tblTargetMedicos[[#This Row],[codigo_id]],[1]DIM_REPRESENTANTE_MEDICO!$C:$F,3,0)</f>
        <v>10</v>
      </c>
      <c r="F789" s="27" t="s">
        <v>5796</v>
      </c>
      <c r="G789" s="27" t="s">
        <v>5780</v>
      </c>
      <c r="H789" s="27" t="s">
        <v>97</v>
      </c>
      <c r="I789">
        <v>1</v>
      </c>
    </row>
    <row r="790" spans="1:9">
      <c r="A790" t="s">
        <v>1205</v>
      </c>
      <c r="B790" s="27" t="s">
        <v>3221</v>
      </c>
      <c r="C790" s="27" t="s">
        <v>5767</v>
      </c>
      <c r="D790">
        <f>VLOOKUP(tblTargetMedicos[[#This Row],[codigo_id]],[1]DIM_REPRESENTANTE_MEDICO!$C:$F,4,0)</f>
        <v>8</v>
      </c>
      <c r="E790">
        <f>VLOOKUP(tblTargetMedicos[[#This Row],[codigo_id]],[1]DIM_REPRESENTANTE_MEDICO!$C:$F,3,0)</f>
        <v>10</v>
      </c>
      <c r="F790" s="27" t="s">
        <v>5796</v>
      </c>
      <c r="G790" s="27" t="s">
        <v>5782</v>
      </c>
      <c r="H790" s="27" t="s">
        <v>97</v>
      </c>
      <c r="I790">
        <v>1</v>
      </c>
    </row>
    <row r="791" spans="1:9">
      <c r="A791" t="s">
        <v>1206</v>
      </c>
      <c r="B791" s="27" t="s">
        <v>3221</v>
      </c>
      <c r="C791" s="27" t="s">
        <v>5767</v>
      </c>
      <c r="D791">
        <f>VLOOKUP(tblTargetMedicos[[#This Row],[codigo_id]],[1]DIM_REPRESENTANTE_MEDICO!$C:$F,4,0)</f>
        <v>8</v>
      </c>
      <c r="E791">
        <f>VLOOKUP(tblTargetMedicos[[#This Row],[codigo_id]],[1]DIM_REPRESENTANTE_MEDICO!$C:$F,3,0)</f>
        <v>10</v>
      </c>
      <c r="F791" s="27" t="s">
        <v>5796</v>
      </c>
      <c r="G791" s="27" t="s">
        <v>5784</v>
      </c>
      <c r="H791" s="27" t="s">
        <v>97</v>
      </c>
      <c r="I791">
        <v>1</v>
      </c>
    </row>
    <row r="792" spans="1:9">
      <c r="A792" t="s">
        <v>1207</v>
      </c>
      <c r="B792" s="27" t="s">
        <v>3221</v>
      </c>
      <c r="C792" s="27" t="s">
        <v>5767</v>
      </c>
      <c r="D792">
        <f>VLOOKUP(tblTargetMedicos[[#This Row],[codigo_id]],[1]DIM_REPRESENTANTE_MEDICO!$C:$F,4,0)</f>
        <v>8</v>
      </c>
      <c r="E792">
        <f>VLOOKUP(tblTargetMedicos[[#This Row],[codigo_id]],[1]DIM_REPRESENTANTE_MEDICO!$C:$F,3,0)</f>
        <v>10</v>
      </c>
      <c r="F792" s="27" t="s">
        <v>5796</v>
      </c>
      <c r="G792" s="27" t="s">
        <v>5784</v>
      </c>
      <c r="H792" s="27" t="s">
        <v>96</v>
      </c>
      <c r="I792">
        <v>1</v>
      </c>
    </row>
    <row r="793" spans="1:9">
      <c r="A793" t="s">
        <v>1208</v>
      </c>
      <c r="B793" s="27" t="s">
        <v>3221</v>
      </c>
      <c r="C793" s="27" t="s">
        <v>5767</v>
      </c>
      <c r="D793">
        <f>VLOOKUP(tblTargetMedicos[[#This Row],[codigo_id]],[1]DIM_REPRESENTANTE_MEDICO!$C:$F,4,0)</f>
        <v>8</v>
      </c>
      <c r="E793">
        <f>VLOOKUP(tblTargetMedicos[[#This Row],[codigo_id]],[1]DIM_REPRESENTANTE_MEDICO!$C:$F,3,0)</f>
        <v>10</v>
      </c>
      <c r="F793" s="27" t="s">
        <v>5796</v>
      </c>
      <c r="G793" s="27" t="s">
        <v>5779</v>
      </c>
      <c r="H793" s="27" t="s">
        <v>97</v>
      </c>
      <c r="I793">
        <v>1</v>
      </c>
    </row>
    <row r="794" spans="1:9">
      <c r="A794" t="s">
        <v>1209</v>
      </c>
      <c r="B794" s="27" t="s">
        <v>3221</v>
      </c>
      <c r="C794" s="27" t="s">
        <v>5767</v>
      </c>
      <c r="D794">
        <f>VLOOKUP(tblTargetMedicos[[#This Row],[codigo_id]],[1]DIM_REPRESENTANTE_MEDICO!$C:$F,4,0)</f>
        <v>8</v>
      </c>
      <c r="E794">
        <f>VLOOKUP(tblTargetMedicos[[#This Row],[codigo_id]],[1]DIM_REPRESENTANTE_MEDICO!$C:$F,3,0)</f>
        <v>10</v>
      </c>
      <c r="F794" s="27" t="s">
        <v>5796</v>
      </c>
      <c r="G794" s="27" t="s">
        <v>5783</v>
      </c>
      <c r="H794" s="27" t="s">
        <v>96</v>
      </c>
      <c r="I794">
        <v>1</v>
      </c>
    </row>
    <row r="795" spans="1:9">
      <c r="A795" t="s">
        <v>1210</v>
      </c>
      <c r="B795" s="27" t="s">
        <v>3221</v>
      </c>
      <c r="C795" s="27" t="s">
        <v>5767</v>
      </c>
      <c r="D795">
        <f>VLOOKUP(tblTargetMedicos[[#This Row],[codigo_id]],[1]DIM_REPRESENTANTE_MEDICO!$C:$F,4,0)</f>
        <v>8</v>
      </c>
      <c r="E795">
        <f>VLOOKUP(tblTargetMedicos[[#This Row],[codigo_id]],[1]DIM_REPRESENTANTE_MEDICO!$C:$F,3,0)</f>
        <v>10</v>
      </c>
      <c r="F795" s="27" t="s">
        <v>5796</v>
      </c>
      <c r="G795" s="27" t="s">
        <v>5782</v>
      </c>
      <c r="H795" s="27" t="s">
        <v>97</v>
      </c>
      <c r="I795">
        <v>1</v>
      </c>
    </row>
    <row r="796" spans="1:9">
      <c r="A796" t="s">
        <v>1211</v>
      </c>
      <c r="B796" s="27" t="s">
        <v>3221</v>
      </c>
      <c r="C796" s="27" t="s">
        <v>5767</v>
      </c>
      <c r="D796">
        <f>VLOOKUP(tblTargetMedicos[[#This Row],[codigo_id]],[1]DIM_REPRESENTANTE_MEDICO!$C:$F,4,0)</f>
        <v>8</v>
      </c>
      <c r="E796">
        <f>VLOOKUP(tblTargetMedicos[[#This Row],[codigo_id]],[1]DIM_REPRESENTANTE_MEDICO!$C:$F,3,0)</f>
        <v>10</v>
      </c>
      <c r="F796" s="27" t="s">
        <v>5796</v>
      </c>
      <c r="G796" s="27" t="s">
        <v>5784</v>
      </c>
      <c r="H796" s="27" t="s">
        <v>96</v>
      </c>
      <c r="I796">
        <v>1</v>
      </c>
    </row>
    <row r="797" spans="1:9">
      <c r="A797" t="s">
        <v>1212</v>
      </c>
      <c r="B797" s="27" t="s">
        <v>3221</v>
      </c>
      <c r="C797" s="27" t="s">
        <v>5767</v>
      </c>
      <c r="D797">
        <f>VLOOKUP(tblTargetMedicos[[#This Row],[codigo_id]],[1]DIM_REPRESENTANTE_MEDICO!$C:$F,4,0)</f>
        <v>8</v>
      </c>
      <c r="E797">
        <f>VLOOKUP(tblTargetMedicos[[#This Row],[codigo_id]],[1]DIM_REPRESENTANTE_MEDICO!$C:$F,3,0)</f>
        <v>10</v>
      </c>
      <c r="F797" s="27" t="s">
        <v>5796</v>
      </c>
      <c r="G797" s="27" t="s">
        <v>5786</v>
      </c>
      <c r="H797" s="27" t="s">
        <v>97</v>
      </c>
      <c r="I797">
        <v>1</v>
      </c>
    </row>
    <row r="798" spans="1:9">
      <c r="A798" t="s">
        <v>1213</v>
      </c>
      <c r="B798" s="27" t="s">
        <v>3221</v>
      </c>
      <c r="C798" s="27" t="s">
        <v>5767</v>
      </c>
      <c r="D798">
        <f>VLOOKUP(tblTargetMedicos[[#This Row],[codigo_id]],[1]DIM_REPRESENTANTE_MEDICO!$C:$F,4,0)</f>
        <v>8</v>
      </c>
      <c r="E798">
        <f>VLOOKUP(tblTargetMedicos[[#This Row],[codigo_id]],[1]DIM_REPRESENTANTE_MEDICO!$C:$F,3,0)</f>
        <v>10</v>
      </c>
      <c r="F798" s="27" t="s">
        <v>5796</v>
      </c>
      <c r="G798" s="27" t="s">
        <v>5784</v>
      </c>
      <c r="H798" s="27" t="s">
        <v>95</v>
      </c>
      <c r="I798">
        <v>1</v>
      </c>
    </row>
    <row r="799" spans="1:9">
      <c r="A799" t="s">
        <v>1214</v>
      </c>
      <c r="B799" s="27" t="s">
        <v>3221</v>
      </c>
      <c r="C799" s="27" t="s">
        <v>5767</v>
      </c>
      <c r="D799">
        <f>VLOOKUP(tblTargetMedicos[[#This Row],[codigo_id]],[1]DIM_REPRESENTANTE_MEDICO!$C:$F,4,0)</f>
        <v>8</v>
      </c>
      <c r="E799">
        <f>VLOOKUP(tblTargetMedicos[[#This Row],[codigo_id]],[1]DIM_REPRESENTANTE_MEDICO!$C:$F,3,0)</f>
        <v>10</v>
      </c>
      <c r="F799" s="27" t="s">
        <v>5796</v>
      </c>
      <c r="G799" s="27" t="s">
        <v>5784</v>
      </c>
      <c r="H799" s="27" t="s">
        <v>95</v>
      </c>
      <c r="I799">
        <v>1</v>
      </c>
    </row>
    <row r="800" spans="1:9">
      <c r="A800" t="s">
        <v>1215</v>
      </c>
      <c r="B800" s="27" t="s">
        <v>3221</v>
      </c>
      <c r="C800" s="27" t="s">
        <v>5767</v>
      </c>
      <c r="D800">
        <f>VLOOKUP(tblTargetMedicos[[#This Row],[codigo_id]],[1]DIM_REPRESENTANTE_MEDICO!$C:$F,4,0)</f>
        <v>8</v>
      </c>
      <c r="E800">
        <f>VLOOKUP(tblTargetMedicos[[#This Row],[codigo_id]],[1]DIM_REPRESENTANTE_MEDICO!$C:$F,3,0)</f>
        <v>10</v>
      </c>
      <c r="F800" s="27" t="s">
        <v>5796</v>
      </c>
      <c r="G800" s="27" t="s">
        <v>5786</v>
      </c>
      <c r="H800" s="27" t="s">
        <v>96</v>
      </c>
      <c r="I800">
        <v>1</v>
      </c>
    </row>
    <row r="801" spans="1:9">
      <c r="A801" t="s">
        <v>1216</v>
      </c>
      <c r="B801" s="27" t="s">
        <v>3221</v>
      </c>
      <c r="C801" s="27" t="s">
        <v>5767</v>
      </c>
      <c r="D801">
        <f>VLOOKUP(tblTargetMedicos[[#This Row],[codigo_id]],[1]DIM_REPRESENTANTE_MEDICO!$C:$F,4,0)</f>
        <v>8</v>
      </c>
      <c r="E801">
        <f>VLOOKUP(tblTargetMedicos[[#This Row],[codigo_id]],[1]DIM_REPRESENTANTE_MEDICO!$C:$F,3,0)</f>
        <v>10</v>
      </c>
      <c r="F801" s="27" t="s">
        <v>5796</v>
      </c>
      <c r="G801" s="27" t="s">
        <v>5781</v>
      </c>
      <c r="H801" s="27" t="s">
        <v>97</v>
      </c>
      <c r="I801">
        <v>1</v>
      </c>
    </row>
    <row r="802" spans="1:9">
      <c r="A802" t="s">
        <v>1217</v>
      </c>
      <c r="B802" s="27" t="s">
        <v>3221</v>
      </c>
      <c r="C802" s="27" t="s">
        <v>5767</v>
      </c>
      <c r="D802">
        <f>VLOOKUP(tblTargetMedicos[[#This Row],[codigo_id]],[1]DIM_REPRESENTANTE_MEDICO!$C:$F,4,0)</f>
        <v>8</v>
      </c>
      <c r="E802">
        <f>VLOOKUP(tblTargetMedicos[[#This Row],[codigo_id]],[1]DIM_REPRESENTANTE_MEDICO!$C:$F,3,0)</f>
        <v>10</v>
      </c>
      <c r="F802" s="27" t="s">
        <v>5796</v>
      </c>
      <c r="G802" s="27" t="s">
        <v>5785</v>
      </c>
      <c r="H802" s="27" t="s">
        <v>97</v>
      </c>
      <c r="I802">
        <v>1</v>
      </c>
    </row>
    <row r="803" spans="1:9">
      <c r="A803" t="s">
        <v>1218</v>
      </c>
      <c r="B803" s="27" t="s">
        <v>3221</v>
      </c>
      <c r="C803" s="27" t="s">
        <v>5767</v>
      </c>
      <c r="D803">
        <f>VLOOKUP(tblTargetMedicos[[#This Row],[codigo_id]],[1]DIM_REPRESENTANTE_MEDICO!$C:$F,4,0)</f>
        <v>8</v>
      </c>
      <c r="E803">
        <f>VLOOKUP(tblTargetMedicos[[#This Row],[codigo_id]],[1]DIM_REPRESENTANTE_MEDICO!$C:$F,3,0)</f>
        <v>10</v>
      </c>
      <c r="F803" s="27" t="s">
        <v>5796</v>
      </c>
      <c r="G803" s="27" t="s">
        <v>5785</v>
      </c>
      <c r="H803" s="27" t="s">
        <v>96</v>
      </c>
      <c r="I803">
        <v>1</v>
      </c>
    </row>
    <row r="804" spans="1:9">
      <c r="A804" t="s">
        <v>1219</v>
      </c>
      <c r="B804" s="27" t="s">
        <v>3221</v>
      </c>
      <c r="C804" s="27" t="s">
        <v>5767</v>
      </c>
      <c r="D804">
        <f>VLOOKUP(tblTargetMedicos[[#This Row],[codigo_id]],[1]DIM_REPRESENTANTE_MEDICO!$C:$F,4,0)</f>
        <v>8</v>
      </c>
      <c r="E804">
        <f>VLOOKUP(tblTargetMedicos[[#This Row],[codigo_id]],[1]DIM_REPRESENTANTE_MEDICO!$C:$F,3,0)</f>
        <v>10</v>
      </c>
      <c r="F804" s="27" t="s">
        <v>5796</v>
      </c>
      <c r="G804" s="27" t="s">
        <v>5785</v>
      </c>
      <c r="H804" s="27" t="s">
        <v>97</v>
      </c>
      <c r="I804">
        <v>1</v>
      </c>
    </row>
    <row r="805" spans="1:9">
      <c r="A805" t="s">
        <v>1220</v>
      </c>
      <c r="B805" s="27" t="s">
        <v>3221</v>
      </c>
      <c r="C805" s="27" t="s">
        <v>5767</v>
      </c>
      <c r="D805">
        <f>VLOOKUP(tblTargetMedicos[[#This Row],[codigo_id]],[1]DIM_REPRESENTANTE_MEDICO!$C:$F,4,0)</f>
        <v>8</v>
      </c>
      <c r="E805">
        <f>VLOOKUP(tblTargetMedicos[[#This Row],[codigo_id]],[1]DIM_REPRESENTANTE_MEDICO!$C:$F,3,0)</f>
        <v>10</v>
      </c>
      <c r="F805" s="27" t="s">
        <v>5796</v>
      </c>
      <c r="G805" s="27" t="s">
        <v>5786</v>
      </c>
      <c r="H805" s="27" t="s">
        <v>97</v>
      </c>
      <c r="I805">
        <v>1</v>
      </c>
    </row>
    <row r="806" spans="1:9">
      <c r="A806" t="s">
        <v>1221</v>
      </c>
      <c r="B806" s="27" t="s">
        <v>3221</v>
      </c>
      <c r="C806" s="27" t="s">
        <v>5767</v>
      </c>
      <c r="D806">
        <f>VLOOKUP(tblTargetMedicos[[#This Row],[codigo_id]],[1]DIM_REPRESENTANTE_MEDICO!$C:$F,4,0)</f>
        <v>8</v>
      </c>
      <c r="E806">
        <f>VLOOKUP(tblTargetMedicos[[#This Row],[codigo_id]],[1]DIM_REPRESENTANTE_MEDICO!$C:$F,3,0)</f>
        <v>10</v>
      </c>
      <c r="F806" s="27" t="s">
        <v>5796</v>
      </c>
      <c r="G806" s="27" t="s">
        <v>5784</v>
      </c>
      <c r="H806" s="27" t="s">
        <v>96</v>
      </c>
      <c r="I806">
        <v>1</v>
      </c>
    </row>
    <row r="807" spans="1:9">
      <c r="A807" t="s">
        <v>1222</v>
      </c>
      <c r="B807" s="27" t="s">
        <v>3221</v>
      </c>
      <c r="C807" s="27" t="s">
        <v>5767</v>
      </c>
      <c r="D807">
        <f>VLOOKUP(tblTargetMedicos[[#This Row],[codigo_id]],[1]DIM_REPRESENTANTE_MEDICO!$C:$F,4,0)</f>
        <v>8</v>
      </c>
      <c r="E807">
        <f>VLOOKUP(tblTargetMedicos[[#This Row],[codigo_id]],[1]DIM_REPRESENTANTE_MEDICO!$C:$F,3,0)</f>
        <v>10</v>
      </c>
      <c r="F807" s="27" t="s">
        <v>5796</v>
      </c>
      <c r="G807" s="27" t="s">
        <v>5784</v>
      </c>
      <c r="H807" s="27" t="s">
        <v>96</v>
      </c>
      <c r="I807">
        <v>1</v>
      </c>
    </row>
    <row r="808" spans="1:9">
      <c r="A808" t="s">
        <v>1223</v>
      </c>
      <c r="B808" s="27" t="s">
        <v>3221</v>
      </c>
      <c r="C808" s="27" t="s">
        <v>5767</v>
      </c>
      <c r="D808">
        <f>VLOOKUP(tblTargetMedicos[[#This Row],[codigo_id]],[1]DIM_REPRESENTANTE_MEDICO!$C:$F,4,0)</f>
        <v>8</v>
      </c>
      <c r="E808">
        <f>VLOOKUP(tblTargetMedicos[[#This Row],[codigo_id]],[1]DIM_REPRESENTANTE_MEDICO!$C:$F,3,0)</f>
        <v>10</v>
      </c>
      <c r="F808" s="27" t="s">
        <v>5796</v>
      </c>
      <c r="G808" s="27" t="s">
        <v>5783</v>
      </c>
      <c r="H808" s="27" t="s">
        <v>97</v>
      </c>
      <c r="I808">
        <v>1</v>
      </c>
    </row>
    <row r="809" spans="1:9">
      <c r="A809" t="s">
        <v>1224</v>
      </c>
      <c r="B809" s="27" t="s">
        <v>3221</v>
      </c>
      <c r="C809" s="27" t="s">
        <v>5767</v>
      </c>
      <c r="D809">
        <f>VLOOKUP(tblTargetMedicos[[#This Row],[codigo_id]],[1]DIM_REPRESENTANTE_MEDICO!$C:$F,4,0)</f>
        <v>8</v>
      </c>
      <c r="E809">
        <f>VLOOKUP(tblTargetMedicos[[#This Row],[codigo_id]],[1]DIM_REPRESENTANTE_MEDICO!$C:$F,3,0)</f>
        <v>10</v>
      </c>
      <c r="F809" s="27" t="s">
        <v>5796</v>
      </c>
      <c r="G809" s="27" t="s">
        <v>5784</v>
      </c>
      <c r="H809" s="27" t="s">
        <v>96</v>
      </c>
      <c r="I809">
        <v>1</v>
      </c>
    </row>
    <row r="810" spans="1:9">
      <c r="A810" t="s">
        <v>1225</v>
      </c>
      <c r="B810" s="27" t="s">
        <v>3221</v>
      </c>
      <c r="C810" s="27" t="s">
        <v>5767</v>
      </c>
      <c r="D810">
        <f>VLOOKUP(tblTargetMedicos[[#This Row],[codigo_id]],[1]DIM_REPRESENTANTE_MEDICO!$C:$F,4,0)</f>
        <v>8</v>
      </c>
      <c r="E810">
        <f>VLOOKUP(tblTargetMedicos[[#This Row],[codigo_id]],[1]DIM_REPRESENTANTE_MEDICO!$C:$F,3,0)</f>
        <v>10</v>
      </c>
      <c r="F810" s="27" t="s">
        <v>5796</v>
      </c>
      <c r="G810" s="27" t="s">
        <v>5783</v>
      </c>
      <c r="H810" s="27" t="s">
        <v>96</v>
      </c>
      <c r="I810">
        <v>1</v>
      </c>
    </row>
    <row r="811" spans="1:9">
      <c r="A811" t="s">
        <v>1226</v>
      </c>
      <c r="B811" s="27" t="s">
        <v>3221</v>
      </c>
      <c r="C811" s="27" t="s">
        <v>5767</v>
      </c>
      <c r="D811">
        <f>VLOOKUP(tblTargetMedicos[[#This Row],[codigo_id]],[1]DIM_REPRESENTANTE_MEDICO!$C:$F,4,0)</f>
        <v>8</v>
      </c>
      <c r="E811">
        <f>VLOOKUP(tblTargetMedicos[[#This Row],[codigo_id]],[1]DIM_REPRESENTANTE_MEDICO!$C:$F,3,0)</f>
        <v>10</v>
      </c>
      <c r="F811" s="27" t="s">
        <v>5796</v>
      </c>
      <c r="G811" s="27" t="s">
        <v>5783</v>
      </c>
      <c r="H811" s="27" t="s">
        <v>97</v>
      </c>
      <c r="I811">
        <v>1</v>
      </c>
    </row>
    <row r="812" spans="1:9">
      <c r="A812" t="s">
        <v>1227</v>
      </c>
      <c r="B812" s="27" t="s">
        <v>3221</v>
      </c>
      <c r="C812" s="27" t="s">
        <v>5767</v>
      </c>
      <c r="D812">
        <f>VLOOKUP(tblTargetMedicos[[#This Row],[codigo_id]],[1]DIM_REPRESENTANTE_MEDICO!$C:$F,4,0)</f>
        <v>8</v>
      </c>
      <c r="E812">
        <f>VLOOKUP(tblTargetMedicos[[#This Row],[codigo_id]],[1]DIM_REPRESENTANTE_MEDICO!$C:$F,3,0)</f>
        <v>10</v>
      </c>
      <c r="F812" s="27" t="s">
        <v>5796</v>
      </c>
      <c r="G812" s="27" t="s">
        <v>5779</v>
      </c>
      <c r="H812" s="27" t="s">
        <v>96</v>
      </c>
      <c r="I812">
        <v>1</v>
      </c>
    </row>
    <row r="813" spans="1:9">
      <c r="A813" t="s">
        <v>1228</v>
      </c>
      <c r="B813" s="27" t="s">
        <v>3221</v>
      </c>
      <c r="C813" s="27" t="s">
        <v>5767</v>
      </c>
      <c r="D813">
        <f>VLOOKUP(tblTargetMedicos[[#This Row],[codigo_id]],[1]DIM_REPRESENTANTE_MEDICO!$C:$F,4,0)</f>
        <v>8</v>
      </c>
      <c r="E813">
        <f>VLOOKUP(tblTargetMedicos[[#This Row],[codigo_id]],[1]DIM_REPRESENTANTE_MEDICO!$C:$F,3,0)</f>
        <v>10</v>
      </c>
      <c r="F813" s="27" t="s">
        <v>5796</v>
      </c>
      <c r="G813" s="27" t="s">
        <v>5786</v>
      </c>
      <c r="H813" s="27" t="s">
        <v>97</v>
      </c>
      <c r="I813">
        <v>1</v>
      </c>
    </row>
    <row r="814" spans="1:9">
      <c r="A814" t="s">
        <v>1229</v>
      </c>
      <c r="B814" s="27" t="s">
        <v>3222</v>
      </c>
      <c r="C814" s="27" t="s">
        <v>5768</v>
      </c>
      <c r="D814">
        <f>VLOOKUP(tblTargetMedicos[[#This Row],[codigo_id]],[1]DIM_REPRESENTANTE_MEDICO!$C:$F,4,0)</f>
        <v>4</v>
      </c>
      <c r="E814">
        <f>VLOOKUP(tblTargetMedicos[[#This Row],[codigo_id]],[1]DIM_REPRESENTANTE_MEDICO!$C:$F,3,0)</f>
        <v>9</v>
      </c>
      <c r="F814" s="27" t="s">
        <v>5796</v>
      </c>
      <c r="G814" s="27" t="s">
        <v>5789</v>
      </c>
      <c r="H814" s="27" t="s">
        <v>96</v>
      </c>
      <c r="I814">
        <v>1</v>
      </c>
    </row>
    <row r="815" spans="1:9">
      <c r="A815" t="s">
        <v>1230</v>
      </c>
      <c r="B815" s="27" t="s">
        <v>3222</v>
      </c>
      <c r="C815" s="27" t="s">
        <v>5768</v>
      </c>
      <c r="D815">
        <f>VLOOKUP(tblTargetMedicos[[#This Row],[codigo_id]],[1]DIM_REPRESENTANTE_MEDICO!$C:$F,4,0)</f>
        <v>4</v>
      </c>
      <c r="E815">
        <f>VLOOKUP(tblTargetMedicos[[#This Row],[codigo_id]],[1]DIM_REPRESENTANTE_MEDICO!$C:$F,3,0)</f>
        <v>9</v>
      </c>
      <c r="F815" s="27" t="s">
        <v>5796</v>
      </c>
      <c r="G815" s="27" t="s">
        <v>5784</v>
      </c>
      <c r="H815" s="27" t="s">
        <v>97</v>
      </c>
      <c r="I815">
        <v>1</v>
      </c>
    </row>
    <row r="816" spans="1:9">
      <c r="A816" t="s">
        <v>1231</v>
      </c>
      <c r="B816" s="27" t="s">
        <v>3222</v>
      </c>
      <c r="C816" s="27" t="s">
        <v>5768</v>
      </c>
      <c r="D816">
        <f>VLOOKUP(tblTargetMedicos[[#This Row],[codigo_id]],[1]DIM_REPRESENTANTE_MEDICO!$C:$F,4,0)</f>
        <v>4</v>
      </c>
      <c r="E816">
        <f>VLOOKUP(tblTargetMedicos[[#This Row],[codigo_id]],[1]DIM_REPRESENTANTE_MEDICO!$C:$F,3,0)</f>
        <v>9</v>
      </c>
      <c r="F816" s="27" t="s">
        <v>5796</v>
      </c>
      <c r="G816" s="27" t="s">
        <v>5781</v>
      </c>
      <c r="H816" s="27" t="s">
        <v>97</v>
      </c>
      <c r="I816">
        <v>1</v>
      </c>
    </row>
    <row r="817" spans="1:9">
      <c r="A817" t="s">
        <v>1232</v>
      </c>
      <c r="B817" s="27" t="s">
        <v>3222</v>
      </c>
      <c r="C817" s="27" t="s">
        <v>5768</v>
      </c>
      <c r="D817">
        <f>VLOOKUP(tblTargetMedicos[[#This Row],[codigo_id]],[1]DIM_REPRESENTANTE_MEDICO!$C:$F,4,0)</f>
        <v>4</v>
      </c>
      <c r="E817">
        <f>VLOOKUP(tblTargetMedicos[[#This Row],[codigo_id]],[1]DIM_REPRESENTANTE_MEDICO!$C:$F,3,0)</f>
        <v>9</v>
      </c>
      <c r="F817" s="27" t="s">
        <v>5796</v>
      </c>
      <c r="G817" s="27" t="s">
        <v>5782</v>
      </c>
      <c r="H817" s="27" t="s">
        <v>97</v>
      </c>
      <c r="I817">
        <v>1</v>
      </c>
    </row>
    <row r="818" spans="1:9">
      <c r="A818" t="s">
        <v>1233</v>
      </c>
      <c r="B818" s="27" t="s">
        <v>3222</v>
      </c>
      <c r="C818" s="27" t="s">
        <v>5768</v>
      </c>
      <c r="D818">
        <f>VLOOKUP(tblTargetMedicos[[#This Row],[codigo_id]],[1]DIM_REPRESENTANTE_MEDICO!$C:$F,4,0)</f>
        <v>4</v>
      </c>
      <c r="E818">
        <f>VLOOKUP(tblTargetMedicos[[#This Row],[codigo_id]],[1]DIM_REPRESENTANTE_MEDICO!$C:$F,3,0)</f>
        <v>9</v>
      </c>
      <c r="F818" s="27" t="s">
        <v>5796</v>
      </c>
      <c r="G818" s="27" t="s">
        <v>5784</v>
      </c>
      <c r="H818" s="27" t="s">
        <v>96</v>
      </c>
      <c r="I818">
        <v>1</v>
      </c>
    </row>
    <row r="819" spans="1:9">
      <c r="A819" t="s">
        <v>1234</v>
      </c>
      <c r="B819" s="27" t="s">
        <v>3222</v>
      </c>
      <c r="C819" s="27" t="s">
        <v>5768</v>
      </c>
      <c r="D819">
        <f>VLOOKUP(tblTargetMedicos[[#This Row],[codigo_id]],[1]DIM_REPRESENTANTE_MEDICO!$C:$F,4,0)</f>
        <v>4</v>
      </c>
      <c r="E819">
        <f>VLOOKUP(tblTargetMedicos[[#This Row],[codigo_id]],[1]DIM_REPRESENTANTE_MEDICO!$C:$F,3,0)</f>
        <v>9</v>
      </c>
      <c r="F819" s="27" t="s">
        <v>5796</v>
      </c>
      <c r="G819" s="27" t="s">
        <v>5784</v>
      </c>
      <c r="H819" s="27" t="s">
        <v>96</v>
      </c>
      <c r="I819">
        <v>1</v>
      </c>
    </row>
    <row r="820" spans="1:9">
      <c r="A820" t="s">
        <v>1235</v>
      </c>
      <c r="B820" s="27" t="s">
        <v>3222</v>
      </c>
      <c r="C820" s="27" t="s">
        <v>5768</v>
      </c>
      <c r="D820">
        <f>VLOOKUP(tblTargetMedicos[[#This Row],[codigo_id]],[1]DIM_REPRESENTANTE_MEDICO!$C:$F,4,0)</f>
        <v>4</v>
      </c>
      <c r="E820">
        <f>VLOOKUP(tblTargetMedicos[[#This Row],[codigo_id]],[1]DIM_REPRESENTANTE_MEDICO!$C:$F,3,0)</f>
        <v>9</v>
      </c>
      <c r="F820" s="27" t="s">
        <v>5796</v>
      </c>
      <c r="G820" s="27" t="s">
        <v>5779</v>
      </c>
      <c r="H820" s="27" t="s">
        <v>97</v>
      </c>
      <c r="I820">
        <v>1</v>
      </c>
    </row>
    <row r="821" spans="1:9">
      <c r="A821" t="s">
        <v>1236</v>
      </c>
      <c r="B821" s="27" t="s">
        <v>3222</v>
      </c>
      <c r="C821" s="27" t="s">
        <v>5768</v>
      </c>
      <c r="D821">
        <f>VLOOKUP(tblTargetMedicos[[#This Row],[codigo_id]],[1]DIM_REPRESENTANTE_MEDICO!$C:$F,4,0)</f>
        <v>4</v>
      </c>
      <c r="E821">
        <f>VLOOKUP(tblTargetMedicos[[#This Row],[codigo_id]],[1]DIM_REPRESENTANTE_MEDICO!$C:$F,3,0)</f>
        <v>9</v>
      </c>
      <c r="F821" s="27" t="s">
        <v>5796</v>
      </c>
      <c r="G821" s="27" t="s">
        <v>5781</v>
      </c>
      <c r="H821" s="27" t="s">
        <v>97</v>
      </c>
      <c r="I821">
        <v>1</v>
      </c>
    </row>
    <row r="822" spans="1:9">
      <c r="A822" t="s">
        <v>1237</v>
      </c>
      <c r="B822" s="27" t="s">
        <v>3222</v>
      </c>
      <c r="C822" s="27" t="s">
        <v>5768</v>
      </c>
      <c r="D822">
        <f>VLOOKUP(tblTargetMedicos[[#This Row],[codigo_id]],[1]DIM_REPRESENTANTE_MEDICO!$C:$F,4,0)</f>
        <v>4</v>
      </c>
      <c r="E822">
        <f>VLOOKUP(tblTargetMedicos[[#This Row],[codigo_id]],[1]DIM_REPRESENTANTE_MEDICO!$C:$F,3,0)</f>
        <v>9</v>
      </c>
      <c r="F822" s="27" t="s">
        <v>5796</v>
      </c>
      <c r="G822" s="27" t="s">
        <v>5779</v>
      </c>
      <c r="H822" s="27" t="s">
        <v>97</v>
      </c>
      <c r="I822">
        <v>1</v>
      </c>
    </row>
    <row r="823" spans="1:9">
      <c r="A823" t="s">
        <v>1238</v>
      </c>
      <c r="B823" s="27" t="s">
        <v>3222</v>
      </c>
      <c r="C823" s="27" t="s">
        <v>5768</v>
      </c>
      <c r="D823">
        <f>VLOOKUP(tblTargetMedicos[[#This Row],[codigo_id]],[1]DIM_REPRESENTANTE_MEDICO!$C:$F,4,0)</f>
        <v>4</v>
      </c>
      <c r="E823">
        <f>VLOOKUP(tblTargetMedicos[[#This Row],[codigo_id]],[1]DIM_REPRESENTANTE_MEDICO!$C:$F,3,0)</f>
        <v>9</v>
      </c>
      <c r="F823" s="27" t="s">
        <v>5796</v>
      </c>
      <c r="G823" s="27" t="s">
        <v>5785</v>
      </c>
      <c r="H823" s="27" t="s">
        <v>96</v>
      </c>
      <c r="I823">
        <v>1</v>
      </c>
    </row>
    <row r="824" spans="1:9">
      <c r="A824" t="s">
        <v>1239</v>
      </c>
      <c r="B824" s="27" t="s">
        <v>3222</v>
      </c>
      <c r="C824" s="27" t="s">
        <v>5768</v>
      </c>
      <c r="D824">
        <f>VLOOKUP(tblTargetMedicos[[#This Row],[codigo_id]],[1]DIM_REPRESENTANTE_MEDICO!$C:$F,4,0)</f>
        <v>4</v>
      </c>
      <c r="E824">
        <f>VLOOKUP(tblTargetMedicos[[#This Row],[codigo_id]],[1]DIM_REPRESENTANTE_MEDICO!$C:$F,3,0)</f>
        <v>9</v>
      </c>
      <c r="F824" s="27" t="s">
        <v>5796</v>
      </c>
      <c r="G824" s="27" t="s">
        <v>5785</v>
      </c>
      <c r="H824" s="27" t="s">
        <v>96</v>
      </c>
      <c r="I824">
        <v>1</v>
      </c>
    </row>
    <row r="825" spans="1:9">
      <c r="A825" t="s">
        <v>1240</v>
      </c>
      <c r="B825" s="27" t="s">
        <v>3222</v>
      </c>
      <c r="C825" s="27" t="s">
        <v>5768</v>
      </c>
      <c r="D825">
        <f>VLOOKUP(tblTargetMedicos[[#This Row],[codigo_id]],[1]DIM_REPRESENTANTE_MEDICO!$C:$F,4,0)</f>
        <v>4</v>
      </c>
      <c r="E825">
        <f>VLOOKUP(tblTargetMedicos[[#This Row],[codigo_id]],[1]DIM_REPRESENTANTE_MEDICO!$C:$F,3,0)</f>
        <v>9</v>
      </c>
      <c r="F825" s="27" t="s">
        <v>5796</v>
      </c>
      <c r="G825" s="27" t="s">
        <v>5784</v>
      </c>
      <c r="H825" s="27" t="s">
        <v>96</v>
      </c>
      <c r="I825">
        <v>1</v>
      </c>
    </row>
    <row r="826" spans="1:9">
      <c r="A826" t="s">
        <v>1241</v>
      </c>
      <c r="B826" s="27" t="s">
        <v>3222</v>
      </c>
      <c r="C826" s="27" t="s">
        <v>5768</v>
      </c>
      <c r="D826">
        <f>VLOOKUP(tblTargetMedicos[[#This Row],[codigo_id]],[1]DIM_REPRESENTANTE_MEDICO!$C:$F,4,0)</f>
        <v>4</v>
      </c>
      <c r="E826">
        <f>VLOOKUP(tblTargetMedicos[[#This Row],[codigo_id]],[1]DIM_REPRESENTANTE_MEDICO!$C:$F,3,0)</f>
        <v>9</v>
      </c>
      <c r="F826" s="27" t="s">
        <v>5796</v>
      </c>
      <c r="G826" s="27" t="s">
        <v>5784</v>
      </c>
      <c r="H826" s="27" t="s">
        <v>96</v>
      </c>
      <c r="I826">
        <v>1</v>
      </c>
    </row>
    <row r="827" spans="1:9">
      <c r="A827" t="s">
        <v>1242</v>
      </c>
      <c r="B827" s="27" t="s">
        <v>3222</v>
      </c>
      <c r="C827" s="27" t="s">
        <v>5768</v>
      </c>
      <c r="D827">
        <f>VLOOKUP(tblTargetMedicos[[#This Row],[codigo_id]],[1]DIM_REPRESENTANTE_MEDICO!$C:$F,4,0)</f>
        <v>4</v>
      </c>
      <c r="E827">
        <f>VLOOKUP(tblTargetMedicos[[#This Row],[codigo_id]],[1]DIM_REPRESENTANTE_MEDICO!$C:$F,3,0)</f>
        <v>9</v>
      </c>
      <c r="F827" s="27" t="s">
        <v>5796</v>
      </c>
      <c r="G827" s="27" t="s">
        <v>5783</v>
      </c>
      <c r="H827" s="27" t="s">
        <v>96</v>
      </c>
      <c r="I827">
        <v>1</v>
      </c>
    </row>
    <row r="828" spans="1:9">
      <c r="A828" t="s">
        <v>1243</v>
      </c>
      <c r="B828" s="27" t="s">
        <v>3222</v>
      </c>
      <c r="C828" s="27" t="s">
        <v>5768</v>
      </c>
      <c r="D828">
        <f>VLOOKUP(tblTargetMedicos[[#This Row],[codigo_id]],[1]DIM_REPRESENTANTE_MEDICO!$C:$F,4,0)</f>
        <v>4</v>
      </c>
      <c r="E828">
        <f>VLOOKUP(tblTargetMedicos[[#This Row],[codigo_id]],[1]DIM_REPRESENTANTE_MEDICO!$C:$F,3,0)</f>
        <v>9</v>
      </c>
      <c r="F828" s="27" t="s">
        <v>5796</v>
      </c>
      <c r="G828" s="27" t="s">
        <v>5783</v>
      </c>
      <c r="H828" s="27" t="s">
        <v>96</v>
      </c>
      <c r="I828">
        <v>1</v>
      </c>
    </row>
    <row r="829" spans="1:9">
      <c r="A829" t="s">
        <v>1244</v>
      </c>
      <c r="B829" s="27" t="s">
        <v>3222</v>
      </c>
      <c r="C829" s="27" t="s">
        <v>5768</v>
      </c>
      <c r="D829">
        <f>VLOOKUP(tblTargetMedicos[[#This Row],[codigo_id]],[1]DIM_REPRESENTANTE_MEDICO!$C:$F,4,0)</f>
        <v>4</v>
      </c>
      <c r="E829">
        <f>VLOOKUP(tblTargetMedicos[[#This Row],[codigo_id]],[1]DIM_REPRESENTANTE_MEDICO!$C:$F,3,0)</f>
        <v>9</v>
      </c>
      <c r="F829" s="27" t="s">
        <v>5796</v>
      </c>
      <c r="G829" s="27" t="s">
        <v>5784</v>
      </c>
      <c r="H829" s="27" t="s">
        <v>96</v>
      </c>
      <c r="I829">
        <v>1</v>
      </c>
    </row>
    <row r="830" spans="1:9">
      <c r="A830" t="s">
        <v>1245</v>
      </c>
      <c r="B830" s="27" t="s">
        <v>3222</v>
      </c>
      <c r="C830" s="27" t="s">
        <v>5768</v>
      </c>
      <c r="D830">
        <f>VLOOKUP(tblTargetMedicos[[#This Row],[codigo_id]],[1]DIM_REPRESENTANTE_MEDICO!$C:$F,4,0)</f>
        <v>4</v>
      </c>
      <c r="E830">
        <f>VLOOKUP(tblTargetMedicos[[#This Row],[codigo_id]],[1]DIM_REPRESENTANTE_MEDICO!$C:$F,3,0)</f>
        <v>9</v>
      </c>
      <c r="F830" s="27" t="s">
        <v>5796</v>
      </c>
      <c r="G830" s="27" t="s">
        <v>5784</v>
      </c>
      <c r="H830" s="27" t="s">
        <v>96</v>
      </c>
      <c r="I830">
        <v>1</v>
      </c>
    </row>
    <row r="831" spans="1:9">
      <c r="A831" t="s">
        <v>1246</v>
      </c>
      <c r="B831" s="27" t="s">
        <v>3222</v>
      </c>
      <c r="C831" s="27" t="s">
        <v>5768</v>
      </c>
      <c r="D831">
        <f>VLOOKUP(tblTargetMedicos[[#This Row],[codigo_id]],[1]DIM_REPRESENTANTE_MEDICO!$C:$F,4,0)</f>
        <v>4</v>
      </c>
      <c r="E831">
        <f>VLOOKUP(tblTargetMedicos[[#This Row],[codigo_id]],[1]DIM_REPRESENTANTE_MEDICO!$C:$F,3,0)</f>
        <v>9</v>
      </c>
      <c r="F831" s="27" t="s">
        <v>5796</v>
      </c>
      <c r="G831" s="27" t="s">
        <v>5784</v>
      </c>
      <c r="H831" s="27" t="s">
        <v>96</v>
      </c>
      <c r="I831">
        <v>1</v>
      </c>
    </row>
    <row r="832" spans="1:9">
      <c r="A832" t="s">
        <v>1247</v>
      </c>
      <c r="B832" s="27" t="s">
        <v>3222</v>
      </c>
      <c r="C832" s="27" t="s">
        <v>5768</v>
      </c>
      <c r="D832">
        <f>VLOOKUP(tblTargetMedicos[[#This Row],[codigo_id]],[1]DIM_REPRESENTANTE_MEDICO!$C:$F,4,0)</f>
        <v>4</v>
      </c>
      <c r="E832">
        <f>VLOOKUP(tblTargetMedicos[[#This Row],[codigo_id]],[1]DIM_REPRESENTANTE_MEDICO!$C:$F,3,0)</f>
        <v>9</v>
      </c>
      <c r="F832" s="27" t="s">
        <v>5796</v>
      </c>
      <c r="G832" s="27" t="s">
        <v>5782</v>
      </c>
      <c r="H832" s="27" t="s">
        <v>97</v>
      </c>
      <c r="I832">
        <v>1</v>
      </c>
    </row>
    <row r="833" spans="1:9">
      <c r="A833" t="s">
        <v>1248</v>
      </c>
      <c r="B833" s="27" t="s">
        <v>3222</v>
      </c>
      <c r="C833" s="27" t="s">
        <v>5768</v>
      </c>
      <c r="D833">
        <f>VLOOKUP(tblTargetMedicos[[#This Row],[codigo_id]],[1]DIM_REPRESENTANTE_MEDICO!$C:$F,4,0)</f>
        <v>4</v>
      </c>
      <c r="E833">
        <f>VLOOKUP(tblTargetMedicos[[#This Row],[codigo_id]],[1]DIM_REPRESENTANTE_MEDICO!$C:$F,3,0)</f>
        <v>9</v>
      </c>
      <c r="F833" s="27" t="s">
        <v>5796</v>
      </c>
      <c r="G833" s="27" t="s">
        <v>5782</v>
      </c>
      <c r="H833" s="27" t="s">
        <v>97</v>
      </c>
      <c r="I833">
        <v>1</v>
      </c>
    </row>
    <row r="834" spans="1:9">
      <c r="A834" t="s">
        <v>1249</v>
      </c>
      <c r="B834" s="27" t="s">
        <v>3222</v>
      </c>
      <c r="C834" s="27" t="s">
        <v>5768</v>
      </c>
      <c r="D834">
        <f>VLOOKUP(tblTargetMedicos[[#This Row],[codigo_id]],[1]DIM_REPRESENTANTE_MEDICO!$C:$F,4,0)</f>
        <v>4</v>
      </c>
      <c r="E834">
        <f>VLOOKUP(tblTargetMedicos[[#This Row],[codigo_id]],[1]DIM_REPRESENTANTE_MEDICO!$C:$F,3,0)</f>
        <v>9</v>
      </c>
      <c r="F834" s="27" t="s">
        <v>5796</v>
      </c>
      <c r="G834" s="27" t="s">
        <v>5784</v>
      </c>
      <c r="H834" s="27" t="s">
        <v>96</v>
      </c>
      <c r="I834">
        <v>1</v>
      </c>
    </row>
    <row r="835" spans="1:9">
      <c r="A835" t="s">
        <v>1250</v>
      </c>
      <c r="B835" s="27" t="s">
        <v>3222</v>
      </c>
      <c r="C835" s="27" t="s">
        <v>5768</v>
      </c>
      <c r="D835">
        <f>VLOOKUP(tblTargetMedicos[[#This Row],[codigo_id]],[1]DIM_REPRESENTANTE_MEDICO!$C:$F,4,0)</f>
        <v>4</v>
      </c>
      <c r="E835">
        <f>VLOOKUP(tblTargetMedicos[[#This Row],[codigo_id]],[1]DIM_REPRESENTANTE_MEDICO!$C:$F,3,0)</f>
        <v>9</v>
      </c>
      <c r="F835" s="27" t="s">
        <v>5796</v>
      </c>
      <c r="G835" s="27" t="s">
        <v>5784</v>
      </c>
      <c r="H835" s="27" t="s">
        <v>97</v>
      </c>
      <c r="I835">
        <v>1</v>
      </c>
    </row>
    <row r="836" spans="1:9">
      <c r="A836" t="s">
        <v>1251</v>
      </c>
      <c r="B836" s="27" t="s">
        <v>3222</v>
      </c>
      <c r="C836" s="27" t="s">
        <v>5768</v>
      </c>
      <c r="D836">
        <f>VLOOKUP(tblTargetMedicos[[#This Row],[codigo_id]],[1]DIM_REPRESENTANTE_MEDICO!$C:$F,4,0)</f>
        <v>4</v>
      </c>
      <c r="E836">
        <f>VLOOKUP(tblTargetMedicos[[#This Row],[codigo_id]],[1]DIM_REPRESENTANTE_MEDICO!$C:$F,3,0)</f>
        <v>9</v>
      </c>
      <c r="F836" s="27" t="s">
        <v>5796</v>
      </c>
      <c r="G836" s="27" t="s">
        <v>5782</v>
      </c>
      <c r="H836" s="27" t="s">
        <v>97</v>
      </c>
      <c r="I836">
        <v>1</v>
      </c>
    </row>
    <row r="837" spans="1:9">
      <c r="A837" t="s">
        <v>1252</v>
      </c>
      <c r="B837" s="27" t="s">
        <v>3222</v>
      </c>
      <c r="C837" s="27" t="s">
        <v>5768</v>
      </c>
      <c r="D837">
        <f>VLOOKUP(tblTargetMedicos[[#This Row],[codigo_id]],[1]DIM_REPRESENTANTE_MEDICO!$C:$F,4,0)</f>
        <v>4</v>
      </c>
      <c r="E837">
        <f>VLOOKUP(tblTargetMedicos[[#This Row],[codigo_id]],[1]DIM_REPRESENTANTE_MEDICO!$C:$F,3,0)</f>
        <v>9</v>
      </c>
      <c r="F837" s="27" t="s">
        <v>5796</v>
      </c>
      <c r="G837" s="27" t="s">
        <v>5779</v>
      </c>
      <c r="H837" s="27" t="s">
        <v>97</v>
      </c>
      <c r="I837">
        <v>1</v>
      </c>
    </row>
    <row r="838" spans="1:9">
      <c r="A838" t="s">
        <v>1253</v>
      </c>
      <c r="B838" s="27" t="s">
        <v>3222</v>
      </c>
      <c r="C838" s="27" t="s">
        <v>5768</v>
      </c>
      <c r="D838">
        <f>VLOOKUP(tblTargetMedicos[[#This Row],[codigo_id]],[1]DIM_REPRESENTANTE_MEDICO!$C:$F,4,0)</f>
        <v>4</v>
      </c>
      <c r="E838">
        <f>VLOOKUP(tblTargetMedicos[[#This Row],[codigo_id]],[1]DIM_REPRESENTANTE_MEDICO!$C:$F,3,0)</f>
        <v>9</v>
      </c>
      <c r="F838" s="27" t="s">
        <v>5796</v>
      </c>
      <c r="G838" s="27" t="s">
        <v>5784</v>
      </c>
      <c r="H838" s="27" t="s">
        <v>96</v>
      </c>
      <c r="I838">
        <v>1</v>
      </c>
    </row>
    <row r="839" spans="1:9">
      <c r="A839" t="s">
        <v>1254</v>
      </c>
      <c r="B839" s="27" t="s">
        <v>3222</v>
      </c>
      <c r="C839" s="27" t="s">
        <v>5768</v>
      </c>
      <c r="D839">
        <f>VLOOKUP(tblTargetMedicos[[#This Row],[codigo_id]],[1]DIM_REPRESENTANTE_MEDICO!$C:$F,4,0)</f>
        <v>4</v>
      </c>
      <c r="E839">
        <f>VLOOKUP(tblTargetMedicos[[#This Row],[codigo_id]],[1]DIM_REPRESENTANTE_MEDICO!$C:$F,3,0)</f>
        <v>9</v>
      </c>
      <c r="F839" s="27" t="s">
        <v>5796</v>
      </c>
      <c r="G839" s="27" t="s">
        <v>5784</v>
      </c>
      <c r="H839" s="27" t="s">
        <v>97</v>
      </c>
      <c r="I839">
        <v>1</v>
      </c>
    </row>
    <row r="840" spans="1:9">
      <c r="A840" t="s">
        <v>1255</v>
      </c>
      <c r="B840" s="27" t="s">
        <v>3222</v>
      </c>
      <c r="C840" s="27" t="s">
        <v>5768</v>
      </c>
      <c r="D840">
        <f>VLOOKUP(tblTargetMedicos[[#This Row],[codigo_id]],[1]DIM_REPRESENTANTE_MEDICO!$C:$F,4,0)</f>
        <v>4</v>
      </c>
      <c r="E840">
        <f>VLOOKUP(tblTargetMedicos[[#This Row],[codigo_id]],[1]DIM_REPRESENTANTE_MEDICO!$C:$F,3,0)</f>
        <v>9</v>
      </c>
      <c r="F840" s="27" t="s">
        <v>5796</v>
      </c>
      <c r="G840" s="27" t="s">
        <v>5786</v>
      </c>
      <c r="H840" s="27" t="s">
        <v>96</v>
      </c>
      <c r="I840">
        <v>1</v>
      </c>
    </row>
    <row r="841" spans="1:9">
      <c r="A841" t="s">
        <v>1256</v>
      </c>
      <c r="B841" s="27" t="s">
        <v>3222</v>
      </c>
      <c r="C841" s="27" t="s">
        <v>5768</v>
      </c>
      <c r="D841">
        <f>VLOOKUP(tblTargetMedicos[[#This Row],[codigo_id]],[1]DIM_REPRESENTANTE_MEDICO!$C:$F,4,0)</f>
        <v>4</v>
      </c>
      <c r="E841">
        <f>VLOOKUP(tblTargetMedicos[[#This Row],[codigo_id]],[1]DIM_REPRESENTANTE_MEDICO!$C:$F,3,0)</f>
        <v>9</v>
      </c>
      <c r="F841" s="27" t="s">
        <v>5796</v>
      </c>
      <c r="G841" s="27" t="s">
        <v>5784</v>
      </c>
      <c r="H841" s="27" t="s">
        <v>96</v>
      </c>
      <c r="I841">
        <v>1</v>
      </c>
    </row>
    <row r="842" spans="1:9">
      <c r="A842" t="s">
        <v>1257</v>
      </c>
      <c r="B842" s="27" t="s">
        <v>3222</v>
      </c>
      <c r="C842" s="27" t="s">
        <v>5768</v>
      </c>
      <c r="D842">
        <f>VLOOKUP(tblTargetMedicos[[#This Row],[codigo_id]],[1]DIM_REPRESENTANTE_MEDICO!$C:$F,4,0)</f>
        <v>4</v>
      </c>
      <c r="E842">
        <f>VLOOKUP(tblTargetMedicos[[#This Row],[codigo_id]],[1]DIM_REPRESENTANTE_MEDICO!$C:$F,3,0)</f>
        <v>9</v>
      </c>
      <c r="F842" s="27" t="s">
        <v>5796</v>
      </c>
      <c r="G842" s="27" t="s">
        <v>5783</v>
      </c>
      <c r="H842" s="27" t="s">
        <v>96</v>
      </c>
      <c r="I842">
        <v>1</v>
      </c>
    </row>
    <row r="843" spans="1:9">
      <c r="A843" t="s">
        <v>1258</v>
      </c>
      <c r="B843" s="27" t="s">
        <v>3222</v>
      </c>
      <c r="C843" s="27" t="s">
        <v>5768</v>
      </c>
      <c r="D843">
        <f>VLOOKUP(tblTargetMedicos[[#This Row],[codigo_id]],[1]DIM_REPRESENTANTE_MEDICO!$C:$F,4,0)</f>
        <v>4</v>
      </c>
      <c r="E843">
        <f>VLOOKUP(tblTargetMedicos[[#This Row],[codigo_id]],[1]DIM_REPRESENTANTE_MEDICO!$C:$F,3,0)</f>
        <v>9</v>
      </c>
      <c r="F843" s="27" t="s">
        <v>5796</v>
      </c>
      <c r="G843" s="27" t="s">
        <v>5784</v>
      </c>
      <c r="H843" s="27" t="s">
        <v>96</v>
      </c>
      <c r="I843">
        <v>1</v>
      </c>
    </row>
    <row r="844" spans="1:9">
      <c r="A844" t="s">
        <v>1259</v>
      </c>
      <c r="B844" s="27" t="s">
        <v>3222</v>
      </c>
      <c r="C844" s="27" t="s">
        <v>5768</v>
      </c>
      <c r="D844">
        <f>VLOOKUP(tblTargetMedicos[[#This Row],[codigo_id]],[1]DIM_REPRESENTANTE_MEDICO!$C:$F,4,0)</f>
        <v>4</v>
      </c>
      <c r="E844">
        <f>VLOOKUP(tblTargetMedicos[[#This Row],[codigo_id]],[1]DIM_REPRESENTANTE_MEDICO!$C:$F,3,0)</f>
        <v>9</v>
      </c>
      <c r="F844" s="27" t="s">
        <v>5796</v>
      </c>
      <c r="G844" s="27" t="s">
        <v>5779</v>
      </c>
      <c r="H844" s="27" t="s">
        <v>96</v>
      </c>
      <c r="I844">
        <v>1</v>
      </c>
    </row>
    <row r="845" spans="1:9">
      <c r="A845" t="s">
        <v>1260</v>
      </c>
      <c r="B845" s="27" t="s">
        <v>3222</v>
      </c>
      <c r="C845" s="27" t="s">
        <v>5768</v>
      </c>
      <c r="D845">
        <f>VLOOKUP(tblTargetMedicos[[#This Row],[codigo_id]],[1]DIM_REPRESENTANTE_MEDICO!$C:$F,4,0)</f>
        <v>4</v>
      </c>
      <c r="E845">
        <f>VLOOKUP(tblTargetMedicos[[#This Row],[codigo_id]],[1]DIM_REPRESENTANTE_MEDICO!$C:$F,3,0)</f>
        <v>9</v>
      </c>
      <c r="F845" s="27" t="s">
        <v>5796</v>
      </c>
      <c r="G845" s="27" t="s">
        <v>5783</v>
      </c>
      <c r="H845" s="27" t="s">
        <v>97</v>
      </c>
      <c r="I845">
        <v>1</v>
      </c>
    </row>
    <row r="846" spans="1:9">
      <c r="A846" t="s">
        <v>1261</v>
      </c>
      <c r="B846" s="27" t="s">
        <v>3222</v>
      </c>
      <c r="C846" s="27" t="s">
        <v>5768</v>
      </c>
      <c r="D846">
        <f>VLOOKUP(tblTargetMedicos[[#This Row],[codigo_id]],[1]DIM_REPRESENTANTE_MEDICO!$C:$F,4,0)</f>
        <v>4</v>
      </c>
      <c r="E846">
        <f>VLOOKUP(tblTargetMedicos[[#This Row],[codigo_id]],[1]DIM_REPRESENTANTE_MEDICO!$C:$F,3,0)</f>
        <v>9</v>
      </c>
      <c r="F846" s="27" t="s">
        <v>5796</v>
      </c>
      <c r="G846" s="27" t="s">
        <v>5779</v>
      </c>
      <c r="H846" s="27" t="s">
        <v>96</v>
      </c>
      <c r="I846">
        <v>1</v>
      </c>
    </row>
    <row r="847" spans="1:9">
      <c r="A847" t="s">
        <v>1262</v>
      </c>
      <c r="B847" s="27" t="s">
        <v>3222</v>
      </c>
      <c r="C847" s="27" t="s">
        <v>5768</v>
      </c>
      <c r="D847">
        <f>VLOOKUP(tblTargetMedicos[[#This Row],[codigo_id]],[1]DIM_REPRESENTANTE_MEDICO!$C:$F,4,0)</f>
        <v>4</v>
      </c>
      <c r="E847">
        <f>VLOOKUP(tblTargetMedicos[[#This Row],[codigo_id]],[1]DIM_REPRESENTANTE_MEDICO!$C:$F,3,0)</f>
        <v>9</v>
      </c>
      <c r="F847" s="27" t="s">
        <v>5796</v>
      </c>
      <c r="G847" s="27" t="s">
        <v>5782</v>
      </c>
      <c r="H847" s="27" t="s">
        <v>96</v>
      </c>
      <c r="I847">
        <v>1</v>
      </c>
    </row>
    <row r="848" spans="1:9">
      <c r="A848" t="s">
        <v>1263</v>
      </c>
      <c r="B848" s="27" t="s">
        <v>3222</v>
      </c>
      <c r="C848" s="27" t="s">
        <v>5768</v>
      </c>
      <c r="D848">
        <f>VLOOKUP(tblTargetMedicos[[#This Row],[codigo_id]],[1]DIM_REPRESENTANTE_MEDICO!$C:$F,4,0)</f>
        <v>4</v>
      </c>
      <c r="E848">
        <f>VLOOKUP(tblTargetMedicos[[#This Row],[codigo_id]],[1]DIM_REPRESENTANTE_MEDICO!$C:$F,3,0)</f>
        <v>9</v>
      </c>
      <c r="F848" s="27" t="s">
        <v>5796</v>
      </c>
      <c r="G848" s="27" t="s">
        <v>5786</v>
      </c>
      <c r="H848" s="27" t="s">
        <v>96</v>
      </c>
      <c r="I848">
        <v>1</v>
      </c>
    </row>
    <row r="849" spans="1:9">
      <c r="A849" t="s">
        <v>1264</v>
      </c>
      <c r="B849" s="27" t="s">
        <v>3222</v>
      </c>
      <c r="C849" s="27" t="s">
        <v>5768</v>
      </c>
      <c r="D849">
        <f>VLOOKUP(tblTargetMedicos[[#This Row],[codigo_id]],[1]DIM_REPRESENTANTE_MEDICO!$C:$F,4,0)</f>
        <v>4</v>
      </c>
      <c r="E849">
        <f>VLOOKUP(tblTargetMedicos[[#This Row],[codigo_id]],[1]DIM_REPRESENTANTE_MEDICO!$C:$F,3,0)</f>
        <v>9</v>
      </c>
      <c r="F849" s="27" t="s">
        <v>5796</v>
      </c>
      <c r="G849" s="27" t="s">
        <v>5784</v>
      </c>
      <c r="H849" s="27" t="s">
        <v>97</v>
      </c>
      <c r="I849">
        <v>1</v>
      </c>
    </row>
    <row r="850" spans="1:9">
      <c r="A850" t="s">
        <v>1265</v>
      </c>
      <c r="B850" s="27" t="s">
        <v>3222</v>
      </c>
      <c r="C850" s="27" t="s">
        <v>5768</v>
      </c>
      <c r="D850">
        <f>VLOOKUP(tblTargetMedicos[[#This Row],[codigo_id]],[1]DIM_REPRESENTANTE_MEDICO!$C:$F,4,0)</f>
        <v>4</v>
      </c>
      <c r="E850">
        <f>VLOOKUP(tblTargetMedicos[[#This Row],[codigo_id]],[1]DIM_REPRESENTANTE_MEDICO!$C:$F,3,0)</f>
        <v>9</v>
      </c>
      <c r="F850" s="27" t="s">
        <v>5796</v>
      </c>
      <c r="G850" s="27" t="s">
        <v>5785</v>
      </c>
      <c r="H850" s="27" t="s">
        <v>97</v>
      </c>
      <c r="I850">
        <v>1</v>
      </c>
    </row>
    <row r="851" spans="1:9">
      <c r="A851" t="s">
        <v>1266</v>
      </c>
      <c r="B851" s="27" t="s">
        <v>3222</v>
      </c>
      <c r="C851" s="27" t="s">
        <v>5768</v>
      </c>
      <c r="D851">
        <f>VLOOKUP(tblTargetMedicos[[#This Row],[codigo_id]],[1]DIM_REPRESENTANTE_MEDICO!$C:$F,4,0)</f>
        <v>4</v>
      </c>
      <c r="E851">
        <f>VLOOKUP(tblTargetMedicos[[#This Row],[codigo_id]],[1]DIM_REPRESENTANTE_MEDICO!$C:$F,3,0)</f>
        <v>9</v>
      </c>
      <c r="F851" s="27" t="s">
        <v>5796</v>
      </c>
      <c r="G851" s="27" t="s">
        <v>5785</v>
      </c>
      <c r="H851" s="27" t="s">
        <v>96</v>
      </c>
      <c r="I851">
        <v>1</v>
      </c>
    </row>
    <row r="852" spans="1:9">
      <c r="A852" t="s">
        <v>1267</v>
      </c>
      <c r="B852" s="27" t="s">
        <v>3222</v>
      </c>
      <c r="C852" s="27" t="s">
        <v>5768</v>
      </c>
      <c r="D852">
        <f>VLOOKUP(tblTargetMedicos[[#This Row],[codigo_id]],[1]DIM_REPRESENTANTE_MEDICO!$C:$F,4,0)</f>
        <v>4</v>
      </c>
      <c r="E852">
        <f>VLOOKUP(tblTargetMedicos[[#This Row],[codigo_id]],[1]DIM_REPRESENTANTE_MEDICO!$C:$F,3,0)</f>
        <v>9</v>
      </c>
      <c r="F852" s="27" t="s">
        <v>5796</v>
      </c>
      <c r="G852" s="27" t="s">
        <v>5784</v>
      </c>
      <c r="H852" s="27" t="s">
        <v>97</v>
      </c>
      <c r="I852">
        <v>1</v>
      </c>
    </row>
    <row r="853" spans="1:9">
      <c r="A853" t="s">
        <v>1268</v>
      </c>
      <c r="B853" s="27" t="s">
        <v>3222</v>
      </c>
      <c r="C853" s="27" t="s">
        <v>5768</v>
      </c>
      <c r="D853">
        <f>VLOOKUP(tblTargetMedicos[[#This Row],[codigo_id]],[1]DIM_REPRESENTANTE_MEDICO!$C:$F,4,0)</f>
        <v>4</v>
      </c>
      <c r="E853">
        <f>VLOOKUP(tblTargetMedicos[[#This Row],[codigo_id]],[1]DIM_REPRESENTANTE_MEDICO!$C:$F,3,0)</f>
        <v>9</v>
      </c>
      <c r="F853" s="27" t="s">
        <v>5796</v>
      </c>
      <c r="G853" s="27" t="s">
        <v>5783</v>
      </c>
      <c r="H853" s="27" t="s">
        <v>97</v>
      </c>
      <c r="I853">
        <v>1</v>
      </c>
    </row>
    <row r="854" spans="1:9">
      <c r="A854" t="s">
        <v>1269</v>
      </c>
      <c r="B854" s="27" t="s">
        <v>3222</v>
      </c>
      <c r="C854" s="27" t="s">
        <v>5768</v>
      </c>
      <c r="D854">
        <f>VLOOKUP(tblTargetMedicos[[#This Row],[codigo_id]],[1]DIM_REPRESENTANTE_MEDICO!$C:$F,4,0)</f>
        <v>4</v>
      </c>
      <c r="E854">
        <f>VLOOKUP(tblTargetMedicos[[#This Row],[codigo_id]],[1]DIM_REPRESENTANTE_MEDICO!$C:$F,3,0)</f>
        <v>9</v>
      </c>
      <c r="F854" s="27" t="s">
        <v>5796</v>
      </c>
      <c r="G854" s="27" t="s">
        <v>5783</v>
      </c>
      <c r="H854" s="27" t="s">
        <v>96</v>
      </c>
      <c r="I854">
        <v>1</v>
      </c>
    </row>
    <row r="855" spans="1:9">
      <c r="A855" t="s">
        <v>1270</v>
      </c>
      <c r="B855" s="27" t="s">
        <v>3222</v>
      </c>
      <c r="C855" s="27" t="s">
        <v>5768</v>
      </c>
      <c r="D855">
        <f>VLOOKUP(tblTargetMedicos[[#This Row],[codigo_id]],[1]DIM_REPRESENTANTE_MEDICO!$C:$F,4,0)</f>
        <v>4</v>
      </c>
      <c r="E855">
        <f>VLOOKUP(tblTargetMedicos[[#This Row],[codigo_id]],[1]DIM_REPRESENTANTE_MEDICO!$C:$F,3,0)</f>
        <v>9</v>
      </c>
      <c r="F855" s="27" t="s">
        <v>5796</v>
      </c>
      <c r="G855" s="27" t="s">
        <v>5779</v>
      </c>
      <c r="H855" s="27" t="s">
        <v>96</v>
      </c>
      <c r="I855">
        <v>1</v>
      </c>
    </row>
    <row r="856" spans="1:9">
      <c r="A856" t="s">
        <v>1271</v>
      </c>
      <c r="B856" s="27" t="s">
        <v>3222</v>
      </c>
      <c r="C856" s="27" t="s">
        <v>5768</v>
      </c>
      <c r="D856">
        <f>VLOOKUP(tblTargetMedicos[[#This Row],[codigo_id]],[1]DIM_REPRESENTANTE_MEDICO!$C:$F,4,0)</f>
        <v>4</v>
      </c>
      <c r="E856">
        <f>VLOOKUP(tblTargetMedicos[[#This Row],[codigo_id]],[1]DIM_REPRESENTANTE_MEDICO!$C:$F,3,0)</f>
        <v>9</v>
      </c>
      <c r="F856" s="27" t="s">
        <v>5796</v>
      </c>
      <c r="G856" s="27" t="s">
        <v>5783</v>
      </c>
      <c r="H856" s="27" t="s">
        <v>96</v>
      </c>
      <c r="I856">
        <v>1</v>
      </c>
    </row>
    <row r="857" spans="1:9">
      <c r="A857" t="s">
        <v>1272</v>
      </c>
      <c r="B857" s="27" t="s">
        <v>3222</v>
      </c>
      <c r="C857" s="27" t="s">
        <v>5768</v>
      </c>
      <c r="D857">
        <f>VLOOKUP(tblTargetMedicos[[#This Row],[codigo_id]],[1]DIM_REPRESENTANTE_MEDICO!$C:$F,4,0)</f>
        <v>4</v>
      </c>
      <c r="E857">
        <f>VLOOKUP(tblTargetMedicos[[#This Row],[codigo_id]],[1]DIM_REPRESENTANTE_MEDICO!$C:$F,3,0)</f>
        <v>9</v>
      </c>
      <c r="F857" s="27" t="s">
        <v>5796</v>
      </c>
      <c r="G857" s="27" t="s">
        <v>5788</v>
      </c>
      <c r="H857" s="27" t="s">
        <v>96</v>
      </c>
      <c r="I857">
        <v>1</v>
      </c>
    </row>
    <row r="858" spans="1:9">
      <c r="A858" t="s">
        <v>1273</v>
      </c>
      <c r="B858" s="27" t="s">
        <v>3222</v>
      </c>
      <c r="C858" s="27" t="s">
        <v>5768</v>
      </c>
      <c r="D858">
        <f>VLOOKUP(tblTargetMedicos[[#This Row],[codigo_id]],[1]DIM_REPRESENTANTE_MEDICO!$C:$F,4,0)</f>
        <v>4</v>
      </c>
      <c r="E858">
        <f>VLOOKUP(tblTargetMedicos[[#This Row],[codigo_id]],[1]DIM_REPRESENTANTE_MEDICO!$C:$F,3,0)</f>
        <v>9</v>
      </c>
      <c r="F858" s="27" t="s">
        <v>5796</v>
      </c>
      <c r="G858" s="27" t="s">
        <v>5784</v>
      </c>
      <c r="H858" s="27" t="s">
        <v>97</v>
      </c>
      <c r="I858">
        <v>1</v>
      </c>
    </row>
    <row r="859" spans="1:9">
      <c r="A859" t="s">
        <v>1274</v>
      </c>
      <c r="B859" s="27" t="s">
        <v>3222</v>
      </c>
      <c r="C859" s="27" t="s">
        <v>5768</v>
      </c>
      <c r="D859">
        <f>VLOOKUP(tblTargetMedicos[[#This Row],[codigo_id]],[1]DIM_REPRESENTANTE_MEDICO!$C:$F,4,0)</f>
        <v>4</v>
      </c>
      <c r="E859">
        <f>VLOOKUP(tblTargetMedicos[[#This Row],[codigo_id]],[1]DIM_REPRESENTANTE_MEDICO!$C:$F,3,0)</f>
        <v>9</v>
      </c>
      <c r="F859" s="27" t="s">
        <v>5796</v>
      </c>
      <c r="G859" s="27" t="s">
        <v>5784</v>
      </c>
      <c r="H859" s="27" t="s">
        <v>96</v>
      </c>
      <c r="I859">
        <v>1</v>
      </c>
    </row>
    <row r="860" spans="1:9">
      <c r="A860" t="s">
        <v>1275</v>
      </c>
      <c r="B860" s="27" t="s">
        <v>3222</v>
      </c>
      <c r="C860" s="27" t="s">
        <v>5768</v>
      </c>
      <c r="D860">
        <f>VLOOKUP(tblTargetMedicos[[#This Row],[codigo_id]],[1]DIM_REPRESENTANTE_MEDICO!$C:$F,4,0)</f>
        <v>4</v>
      </c>
      <c r="E860">
        <f>VLOOKUP(tblTargetMedicos[[#This Row],[codigo_id]],[1]DIM_REPRESENTANTE_MEDICO!$C:$F,3,0)</f>
        <v>9</v>
      </c>
      <c r="F860" s="27" t="s">
        <v>5796</v>
      </c>
      <c r="G860" s="27" t="s">
        <v>5781</v>
      </c>
      <c r="H860" s="27" t="s">
        <v>97</v>
      </c>
      <c r="I860">
        <v>1</v>
      </c>
    </row>
    <row r="861" spans="1:9">
      <c r="A861" t="s">
        <v>1276</v>
      </c>
      <c r="B861" s="27" t="s">
        <v>3222</v>
      </c>
      <c r="C861" s="27" t="s">
        <v>5768</v>
      </c>
      <c r="D861">
        <f>VLOOKUP(tblTargetMedicos[[#This Row],[codigo_id]],[1]DIM_REPRESENTANTE_MEDICO!$C:$F,4,0)</f>
        <v>4</v>
      </c>
      <c r="E861">
        <f>VLOOKUP(tblTargetMedicos[[#This Row],[codigo_id]],[1]DIM_REPRESENTANTE_MEDICO!$C:$F,3,0)</f>
        <v>9</v>
      </c>
      <c r="F861" s="27" t="s">
        <v>5796</v>
      </c>
      <c r="G861" s="27" t="s">
        <v>5782</v>
      </c>
      <c r="H861" s="27" t="s">
        <v>96</v>
      </c>
      <c r="I861">
        <v>1</v>
      </c>
    </row>
    <row r="862" spans="1:9">
      <c r="A862" t="s">
        <v>1277</v>
      </c>
      <c r="B862" s="27" t="s">
        <v>3222</v>
      </c>
      <c r="C862" s="27" t="s">
        <v>5768</v>
      </c>
      <c r="D862">
        <f>VLOOKUP(tblTargetMedicos[[#This Row],[codigo_id]],[1]DIM_REPRESENTANTE_MEDICO!$C:$F,4,0)</f>
        <v>4</v>
      </c>
      <c r="E862">
        <f>VLOOKUP(tblTargetMedicos[[#This Row],[codigo_id]],[1]DIM_REPRESENTANTE_MEDICO!$C:$F,3,0)</f>
        <v>9</v>
      </c>
      <c r="F862" s="27" t="s">
        <v>5796</v>
      </c>
      <c r="G862" s="27" t="s">
        <v>5781</v>
      </c>
      <c r="H862" s="27" t="s">
        <v>97</v>
      </c>
      <c r="I862">
        <v>1</v>
      </c>
    </row>
    <row r="863" spans="1:9">
      <c r="A863" t="s">
        <v>1278</v>
      </c>
      <c r="B863" s="27" t="s">
        <v>3222</v>
      </c>
      <c r="C863" s="27" t="s">
        <v>5768</v>
      </c>
      <c r="D863">
        <f>VLOOKUP(tblTargetMedicos[[#This Row],[codigo_id]],[1]DIM_REPRESENTANTE_MEDICO!$C:$F,4,0)</f>
        <v>4</v>
      </c>
      <c r="E863">
        <f>VLOOKUP(tblTargetMedicos[[#This Row],[codigo_id]],[1]DIM_REPRESENTANTE_MEDICO!$C:$F,3,0)</f>
        <v>9</v>
      </c>
      <c r="F863" s="27" t="s">
        <v>5796</v>
      </c>
      <c r="G863" s="27" t="s">
        <v>5783</v>
      </c>
      <c r="H863" s="27" t="s">
        <v>96</v>
      </c>
      <c r="I863">
        <v>1</v>
      </c>
    </row>
    <row r="864" spans="1:9">
      <c r="A864" t="s">
        <v>1279</v>
      </c>
      <c r="B864" s="27" t="s">
        <v>3222</v>
      </c>
      <c r="C864" s="27" t="s">
        <v>5768</v>
      </c>
      <c r="D864">
        <f>VLOOKUP(tblTargetMedicos[[#This Row],[codigo_id]],[1]DIM_REPRESENTANTE_MEDICO!$C:$F,4,0)</f>
        <v>4</v>
      </c>
      <c r="E864">
        <f>VLOOKUP(tblTargetMedicos[[#This Row],[codigo_id]],[1]DIM_REPRESENTANTE_MEDICO!$C:$F,3,0)</f>
        <v>9</v>
      </c>
      <c r="F864" s="27" t="s">
        <v>5796</v>
      </c>
      <c r="G864" s="27" t="s">
        <v>5786</v>
      </c>
      <c r="H864" s="27" t="s">
        <v>97</v>
      </c>
      <c r="I864">
        <v>1</v>
      </c>
    </row>
    <row r="865" spans="1:9">
      <c r="A865" t="s">
        <v>1280</v>
      </c>
      <c r="B865" s="27" t="s">
        <v>3222</v>
      </c>
      <c r="C865" s="27" t="s">
        <v>5768</v>
      </c>
      <c r="D865">
        <f>VLOOKUP(tblTargetMedicos[[#This Row],[codigo_id]],[1]DIM_REPRESENTANTE_MEDICO!$C:$F,4,0)</f>
        <v>4</v>
      </c>
      <c r="E865">
        <f>VLOOKUP(tblTargetMedicos[[#This Row],[codigo_id]],[1]DIM_REPRESENTANTE_MEDICO!$C:$F,3,0)</f>
        <v>9</v>
      </c>
      <c r="F865" s="27" t="s">
        <v>5796</v>
      </c>
      <c r="G865" s="27" t="s">
        <v>5786</v>
      </c>
      <c r="H865" s="27" t="s">
        <v>97</v>
      </c>
      <c r="I865">
        <v>1</v>
      </c>
    </row>
    <row r="866" spans="1:9">
      <c r="A866" t="s">
        <v>1281</v>
      </c>
      <c r="B866" s="27" t="s">
        <v>3222</v>
      </c>
      <c r="C866" s="27" t="s">
        <v>5768</v>
      </c>
      <c r="D866">
        <f>VLOOKUP(tblTargetMedicos[[#This Row],[codigo_id]],[1]DIM_REPRESENTANTE_MEDICO!$C:$F,4,0)</f>
        <v>4</v>
      </c>
      <c r="E866">
        <f>VLOOKUP(tblTargetMedicos[[#This Row],[codigo_id]],[1]DIM_REPRESENTANTE_MEDICO!$C:$F,3,0)</f>
        <v>9</v>
      </c>
      <c r="F866" s="27" t="s">
        <v>5796</v>
      </c>
      <c r="G866" s="27" t="s">
        <v>5779</v>
      </c>
      <c r="H866" s="27" t="s">
        <v>97</v>
      </c>
      <c r="I866">
        <v>1</v>
      </c>
    </row>
    <row r="867" spans="1:9">
      <c r="A867" t="s">
        <v>1282</v>
      </c>
      <c r="B867" s="27" t="s">
        <v>3222</v>
      </c>
      <c r="C867" s="27" t="s">
        <v>5768</v>
      </c>
      <c r="D867">
        <f>VLOOKUP(tblTargetMedicos[[#This Row],[codigo_id]],[1]DIM_REPRESENTANTE_MEDICO!$C:$F,4,0)</f>
        <v>4</v>
      </c>
      <c r="E867">
        <f>VLOOKUP(tblTargetMedicos[[#This Row],[codigo_id]],[1]DIM_REPRESENTANTE_MEDICO!$C:$F,3,0)</f>
        <v>9</v>
      </c>
      <c r="F867" s="27" t="s">
        <v>5796</v>
      </c>
      <c r="G867" s="27" t="s">
        <v>5786</v>
      </c>
      <c r="H867" s="27" t="s">
        <v>97</v>
      </c>
      <c r="I867">
        <v>1</v>
      </c>
    </row>
    <row r="868" spans="1:9">
      <c r="A868" t="s">
        <v>1283</v>
      </c>
      <c r="B868" s="27" t="s">
        <v>3222</v>
      </c>
      <c r="C868" s="27" t="s">
        <v>5768</v>
      </c>
      <c r="D868">
        <f>VLOOKUP(tblTargetMedicos[[#This Row],[codigo_id]],[1]DIM_REPRESENTANTE_MEDICO!$C:$F,4,0)</f>
        <v>4</v>
      </c>
      <c r="E868">
        <f>VLOOKUP(tblTargetMedicos[[#This Row],[codigo_id]],[1]DIM_REPRESENTANTE_MEDICO!$C:$F,3,0)</f>
        <v>9</v>
      </c>
      <c r="F868" s="27" t="s">
        <v>5796</v>
      </c>
      <c r="G868" s="27" t="s">
        <v>5783</v>
      </c>
      <c r="H868" s="27" t="s">
        <v>97</v>
      </c>
      <c r="I868">
        <v>1</v>
      </c>
    </row>
    <row r="869" spans="1:9">
      <c r="A869" t="s">
        <v>1284</v>
      </c>
      <c r="B869" s="27" t="s">
        <v>3222</v>
      </c>
      <c r="C869" s="27" t="s">
        <v>5768</v>
      </c>
      <c r="D869">
        <f>VLOOKUP(tblTargetMedicos[[#This Row],[codigo_id]],[1]DIM_REPRESENTANTE_MEDICO!$C:$F,4,0)</f>
        <v>4</v>
      </c>
      <c r="E869">
        <f>VLOOKUP(tblTargetMedicos[[#This Row],[codigo_id]],[1]DIM_REPRESENTANTE_MEDICO!$C:$F,3,0)</f>
        <v>9</v>
      </c>
      <c r="F869" s="27" t="s">
        <v>5796</v>
      </c>
      <c r="G869" s="27" t="s">
        <v>5779</v>
      </c>
      <c r="H869" s="27" t="s">
        <v>96</v>
      </c>
      <c r="I869">
        <v>1</v>
      </c>
    </row>
    <row r="870" spans="1:9">
      <c r="A870" t="s">
        <v>1285</v>
      </c>
      <c r="B870" s="27" t="s">
        <v>3222</v>
      </c>
      <c r="C870" s="27" t="s">
        <v>5768</v>
      </c>
      <c r="D870">
        <f>VLOOKUP(tblTargetMedicos[[#This Row],[codigo_id]],[1]DIM_REPRESENTANTE_MEDICO!$C:$F,4,0)</f>
        <v>4</v>
      </c>
      <c r="E870">
        <f>VLOOKUP(tblTargetMedicos[[#This Row],[codigo_id]],[1]DIM_REPRESENTANTE_MEDICO!$C:$F,3,0)</f>
        <v>9</v>
      </c>
      <c r="F870" s="27" t="s">
        <v>5796</v>
      </c>
      <c r="G870" s="27" t="s">
        <v>5784</v>
      </c>
      <c r="H870" s="27" t="s">
        <v>96</v>
      </c>
      <c r="I870">
        <v>1</v>
      </c>
    </row>
    <row r="871" spans="1:9">
      <c r="A871" t="s">
        <v>1286</v>
      </c>
      <c r="B871" s="27" t="s">
        <v>3222</v>
      </c>
      <c r="C871" s="27" t="s">
        <v>5768</v>
      </c>
      <c r="D871">
        <f>VLOOKUP(tblTargetMedicos[[#This Row],[codigo_id]],[1]DIM_REPRESENTANTE_MEDICO!$C:$F,4,0)</f>
        <v>4</v>
      </c>
      <c r="E871">
        <f>VLOOKUP(tblTargetMedicos[[#This Row],[codigo_id]],[1]DIM_REPRESENTANTE_MEDICO!$C:$F,3,0)</f>
        <v>9</v>
      </c>
      <c r="F871" s="27" t="s">
        <v>5796</v>
      </c>
      <c r="G871" s="27" t="s">
        <v>5784</v>
      </c>
      <c r="H871" s="27" t="s">
        <v>97</v>
      </c>
      <c r="I871">
        <v>1</v>
      </c>
    </row>
    <row r="872" spans="1:9">
      <c r="A872" t="s">
        <v>1287</v>
      </c>
      <c r="B872" s="27" t="s">
        <v>3222</v>
      </c>
      <c r="C872" s="27" t="s">
        <v>5768</v>
      </c>
      <c r="D872">
        <f>VLOOKUP(tblTargetMedicos[[#This Row],[codigo_id]],[1]DIM_REPRESENTANTE_MEDICO!$C:$F,4,0)</f>
        <v>4</v>
      </c>
      <c r="E872">
        <f>VLOOKUP(tblTargetMedicos[[#This Row],[codigo_id]],[1]DIM_REPRESENTANTE_MEDICO!$C:$F,3,0)</f>
        <v>9</v>
      </c>
      <c r="F872" s="27" t="s">
        <v>5796</v>
      </c>
      <c r="G872" s="27" t="s">
        <v>5784</v>
      </c>
      <c r="H872" s="27" t="s">
        <v>96</v>
      </c>
      <c r="I872">
        <v>1</v>
      </c>
    </row>
    <row r="873" spans="1:9">
      <c r="A873" t="s">
        <v>1288</v>
      </c>
      <c r="B873" s="27" t="s">
        <v>3222</v>
      </c>
      <c r="C873" s="27" t="s">
        <v>5768</v>
      </c>
      <c r="D873">
        <f>VLOOKUP(tblTargetMedicos[[#This Row],[codigo_id]],[1]DIM_REPRESENTANTE_MEDICO!$C:$F,4,0)</f>
        <v>4</v>
      </c>
      <c r="E873">
        <f>VLOOKUP(tblTargetMedicos[[#This Row],[codigo_id]],[1]DIM_REPRESENTANTE_MEDICO!$C:$F,3,0)</f>
        <v>9</v>
      </c>
      <c r="F873" s="27" t="s">
        <v>5796</v>
      </c>
      <c r="G873" s="27" t="s">
        <v>5786</v>
      </c>
      <c r="H873" s="27" t="s">
        <v>97</v>
      </c>
      <c r="I873">
        <v>1</v>
      </c>
    </row>
    <row r="874" spans="1:9">
      <c r="A874" t="s">
        <v>1289</v>
      </c>
      <c r="B874" s="27" t="s">
        <v>3222</v>
      </c>
      <c r="C874" s="27" t="s">
        <v>5768</v>
      </c>
      <c r="D874">
        <f>VLOOKUP(tblTargetMedicos[[#This Row],[codigo_id]],[1]DIM_REPRESENTANTE_MEDICO!$C:$F,4,0)</f>
        <v>4</v>
      </c>
      <c r="E874">
        <f>VLOOKUP(tblTargetMedicos[[#This Row],[codigo_id]],[1]DIM_REPRESENTANTE_MEDICO!$C:$F,3,0)</f>
        <v>9</v>
      </c>
      <c r="F874" s="27" t="s">
        <v>5796</v>
      </c>
      <c r="G874" s="27" t="s">
        <v>5785</v>
      </c>
      <c r="H874" s="27" t="s">
        <v>97</v>
      </c>
      <c r="I874">
        <v>1</v>
      </c>
    </row>
    <row r="875" spans="1:9">
      <c r="A875" t="s">
        <v>1290</v>
      </c>
      <c r="B875" s="27" t="s">
        <v>3222</v>
      </c>
      <c r="C875" s="27" t="s">
        <v>5768</v>
      </c>
      <c r="D875">
        <f>VLOOKUP(tblTargetMedicos[[#This Row],[codigo_id]],[1]DIM_REPRESENTANTE_MEDICO!$C:$F,4,0)</f>
        <v>4</v>
      </c>
      <c r="E875">
        <f>VLOOKUP(tblTargetMedicos[[#This Row],[codigo_id]],[1]DIM_REPRESENTANTE_MEDICO!$C:$F,3,0)</f>
        <v>9</v>
      </c>
      <c r="F875" s="27" t="s">
        <v>5796</v>
      </c>
      <c r="G875" s="27" t="s">
        <v>5782</v>
      </c>
      <c r="H875" s="27" t="s">
        <v>96</v>
      </c>
      <c r="I875">
        <v>1</v>
      </c>
    </row>
    <row r="876" spans="1:9">
      <c r="A876" t="s">
        <v>1291</v>
      </c>
      <c r="B876" s="27" t="s">
        <v>3222</v>
      </c>
      <c r="C876" s="27" t="s">
        <v>5768</v>
      </c>
      <c r="D876">
        <f>VLOOKUP(tblTargetMedicos[[#This Row],[codigo_id]],[1]DIM_REPRESENTANTE_MEDICO!$C:$F,4,0)</f>
        <v>4</v>
      </c>
      <c r="E876">
        <f>VLOOKUP(tblTargetMedicos[[#This Row],[codigo_id]],[1]DIM_REPRESENTANTE_MEDICO!$C:$F,3,0)</f>
        <v>9</v>
      </c>
      <c r="F876" s="27" t="s">
        <v>5796</v>
      </c>
      <c r="G876" s="27" t="s">
        <v>5783</v>
      </c>
      <c r="H876" s="27" t="s">
        <v>97</v>
      </c>
      <c r="I876">
        <v>1</v>
      </c>
    </row>
    <row r="877" spans="1:9">
      <c r="A877" t="s">
        <v>1292</v>
      </c>
      <c r="B877" s="27" t="s">
        <v>3222</v>
      </c>
      <c r="C877" s="27" t="s">
        <v>5768</v>
      </c>
      <c r="D877">
        <f>VLOOKUP(tblTargetMedicos[[#This Row],[codigo_id]],[1]DIM_REPRESENTANTE_MEDICO!$C:$F,4,0)</f>
        <v>4</v>
      </c>
      <c r="E877">
        <f>VLOOKUP(tblTargetMedicos[[#This Row],[codigo_id]],[1]DIM_REPRESENTANTE_MEDICO!$C:$F,3,0)</f>
        <v>9</v>
      </c>
      <c r="F877" s="27" t="s">
        <v>5796</v>
      </c>
      <c r="G877" s="27" t="s">
        <v>5783</v>
      </c>
      <c r="H877" s="27" t="s">
        <v>96</v>
      </c>
      <c r="I877">
        <v>1</v>
      </c>
    </row>
    <row r="878" spans="1:9">
      <c r="A878" t="s">
        <v>1293</v>
      </c>
      <c r="B878" s="27" t="s">
        <v>3222</v>
      </c>
      <c r="C878" s="27" t="s">
        <v>5768</v>
      </c>
      <c r="D878">
        <f>VLOOKUP(tblTargetMedicos[[#This Row],[codigo_id]],[1]DIM_REPRESENTANTE_MEDICO!$C:$F,4,0)</f>
        <v>4</v>
      </c>
      <c r="E878">
        <f>VLOOKUP(tblTargetMedicos[[#This Row],[codigo_id]],[1]DIM_REPRESENTANTE_MEDICO!$C:$F,3,0)</f>
        <v>9</v>
      </c>
      <c r="F878" s="27" t="s">
        <v>5796</v>
      </c>
      <c r="G878" s="27" t="s">
        <v>5779</v>
      </c>
      <c r="H878" s="27" t="s">
        <v>97</v>
      </c>
      <c r="I878">
        <v>1</v>
      </c>
    </row>
    <row r="879" spans="1:9">
      <c r="A879" t="s">
        <v>1294</v>
      </c>
      <c r="B879" s="27" t="s">
        <v>3222</v>
      </c>
      <c r="C879" s="27" t="s">
        <v>5768</v>
      </c>
      <c r="D879">
        <f>VLOOKUP(tblTargetMedicos[[#This Row],[codigo_id]],[1]DIM_REPRESENTANTE_MEDICO!$C:$F,4,0)</f>
        <v>4</v>
      </c>
      <c r="E879">
        <f>VLOOKUP(tblTargetMedicos[[#This Row],[codigo_id]],[1]DIM_REPRESENTANTE_MEDICO!$C:$F,3,0)</f>
        <v>9</v>
      </c>
      <c r="F879" s="27" t="s">
        <v>5796</v>
      </c>
      <c r="G879" s="27" t="s">
        <v>5784</v>
      </c>
      <c r="H879" s="27" t="s">
        <v>96</v>
      </c>
      <c r="I879">
        <v>1</v>
      </c>
    </row>
    <row r="880" spans="1:9">
      <c r="A880" t="s">
        <v>1295</v>
      </c>
      <c r="B880" s="27" t="s">
        <v>3222</v>
      </c>
      <c r="C880" s="27" t="s">
        <v>5768</v>
      </c>
      <c r="D880">
        <f>VLOOKUP(tblTargetMedicos[[#This Row],[codigo_id]],[1]DIM_REPRESENTANTE_MEDICO!$C:$F,4,0)</f>
        <v>4</v>
      </c>
      <c r="E880">
        <f>VLOOKUP(tblTargetMedicos[[#This Row],[codigo_id]],[1]DIM_REPRESENTANTE_MEDICO!$C:$F,3,0)</f>
        <v>9</v>
      </c>
      <c r="F880" s="27" t="s">
        <v>5796</v>
      </c>
      <c r="G880" s="27" t="s">
        <v>5786</v>
      </c>
      <c r="H880" s="27" t="s">
        <v>96</v>
      </c>
      <c r="I880">
        <v>1</v>
      </c>
    </row>
    <row r="881" spans="1:9">
      <c r="A881" t="s">
        <v>1296</v>
      </c>
      <c r="B881" s="27" t="s">
        <v>3222</v>
      </c>
      <c r="C881" s="27" t="s">
        <v>5768</v>
      </c>
      <c r="D881">
        <f>VLOOKUP(tblTargetMedicos[[#This Row],[codigo_id]],[1]DIM_REPRESENTANTE_MEDICO!$C:$F,4,0)</f>
        <v>4</v>
      </c>
      <c r="E881">
        <f>VLOOKUP(tblTargetMedicos[[#This Row],[codigo_id]],[1]DIM_REPRESENTANTE_MEDICO!$C:$F,3,0)</f>
        <v>9</v>
      </c>
      <c r="F881" s="27" t="s">
        <v>5796</v>
      </c>
      <c r="G881" s="27" t="s">
        <v>5782</v>
      </c>
      <c r="H881" s="27" t="s">
        <v>97</v>
      </c>
      <c r="I881">
        <v>1</v>
      </c>
    </row>
    <row r="882" spans="1:9">
      <c r="A882" t="s">
        <v>1297</v>
      </c>
      <c r="B882" s="27" t="s">
        <v>3222</v>
      </c>
      <c r="C882" s="27" t="s">
        <v>5768</v>
      </c>
      <c r="D882">
        <f>VLOOKUP(tblTargetMedicos[[#This Row],[codigo_id]],[1]DIM_REPRESENTANTE_MEDICO!$C:$F,4,0)</f>
        <v>4</v>
      </c>
      <c r="E882">
        <f>VLOOKUP(tblTargetMedicos[[#This Row],[codigo_id]],[1]DIM_REPRESENTANTE_MEDICO!$C:$F,3,0)</f>
        <v>9</v>
      </c>
      <c r="F882" s="27" t="s">
        <v>5796</v>
      </c>
      <c r="G882" s="27" t="s">
        <v>5781</v>
      </c>
      <c r="H882" s="27" t="s">
        <v>96</v>
      </c>
      <c r="I882">
        <v>1</v>
      </c>
    </row>
    <row r="883" spans="1:9">
      <c r="A883" t="s">
        <v>1298</v>
      </c>
      <c r="B883" s="27" t="s">
        <v>3222</v>
      </c>
      <c r="C883" s="27" t="s">
        <v>5768</v>
      </c>
      <c r="D883">
        <f>VLOOKUP(tblTargetMedicos[[#This Row],[codigo_id]],[1]DIM_REPRESENTANTE_MEDICO!$C:$F,4,0)</f>
        <v>4</v>
      </c>
      <c r="E883">
        <f>VLOOKUP(tblTargetMedicos[[#This Row],[codigo_id]],[1]DIM_REPRESENTANTE_MEDICO!$C:$F,3,0)</f>
        <v>9</v>
      </c>
      <c r="F883" s="27" t="s">
        <v>5796</v>
      </c>
      <c r="G883" s="27" t="s">
        <v>5788</v>
      </c>
      <c r="H883" s="27" t="s">
        <v>97</v>
      </c>
      <c r="I883">
        <v>1</v>
      </c>
    </row>
    <row r="884" spans="1:9">
      <c r="A884" t="s">
        <v>1299</v>
      </c>
      <c r="B884" s="27" t="s">
        <v>3222</v>
      </c>
      <c r="C884" s="27" t="s">
        <v>5768</v>
      </c>
      <c r="D884">
        <f>VLOOKUP(tblTargetMedicos[[#This Row],[codigo_id]],[1]DIM_REPRESENTANTE_MEDICO!$C:$F,4,0)</f>
        <v>4</v>
      </c>
      <c r="E884">
        <f>VLOOKUP(tblTargetMedicos[[#This Row],[codigo_id]],[1]DIM_REPRESENTANTE_MEDICO!$C:$F,3,0)</f>
        <v>9</v>
      </c>
      <c r="F884" s="27" t="s">
        <v>5796</v>
      </c>
      <c r="G884" s="27" t="s">
        <v>5780</v>
      </c>
      <c r="H884" s="27" t="s">
        <v>97</v>
      </c>
      <c r="I884">
        <v>1</v>
      </c>
    </row>
    <row r="885" spans="1:9">
      <c r="A885" t="s">
        <v>1300</v>
      </c>
      <c r="B885" s="27" t="s">
        <v>3222</v>
      </c>
      <c r="C885" s="27" t="s">
        <v>5768</v>
      </c>
      <c r="D885">
        <f>VLOOKUP(tblTargetMedicos[[#This Row],[codigo_id]],[1]DIM_REPRESENTANTE_MEDICO!$C:$F,4,0)</f>
        <v>4</v>
      </c>
      <c r="E885">
        <f>VLOOKUP(tblTargetMedicos[[#This Row],[codigo_id]],[1]DIM_REPRESENTANTE_MEDICO!$C:$F,3,0)</f>
        <v>9</v>
      </c>
      <c r="F885" s="27" t="s">
        <v>5796</v>
      </c>
      <c r="G885" s="27" t="s">
        <v>5781</v>
      </c>
      <c r="H885" s="27" t="s">
        <v>96</v>
      </c>
      <c r="I885">
        <v>1</v>
      </c>
    </row>
    <row r="886" spans="1:9">
      <c r="A886" t="s">
        <v>1301</v>
      </c>
      <c r="B886" s="27" t="s">
        <v>3222</v>
      </c>
      <c r="C886" s="27" t="s">
        <v>5768</v>
      </c>
      <c r="D886">
        <f>VLOOKUP(tblTargetMedicos[[#This Row],[codigo_id]],[1]DIM_REPRESENTANTE_MEDICO!$C:$F,4,0)</f>
        <v>4</v>
      </c>
      <c r="E886">
        <f>VLOOKUP(tblTargetMedicos[[#This Row],[codigo_id]],[1]DIM_REPRESENTANTE_MEDICO!$C:$F,3,0)</f>
        <v>9</v>
      </c>
      <c r="F886" s="27" t="s">
        <v>5796</v>
      </c>
      <c r="G886" s="27" t="s">
        <v>5784</v>
      </c>
      <c r="H886" s="27" t="s">
        <v>96</v>
      </c>
      <c r="I886">
        <v>1</v>
      </c>
    </row>
    <row r="887" spans="1:9">
      <c r="A887" t="s">
        <v>1302</v>
      </c>
      <c r="B887" s="27" t="s">
        <v>3222</v>
      </c>
      <c r="C887" s="27" t="s">
        <v>5768</v>
      </c>
      <c r="D887">
        <f>VLOOKUP(tblTargetMedicos[[#This Row],[codigo_id]],[1]DIM_REPRESENTANTE_MEDICO!$C:$F,4,0)</f>
        <v>4</v>
      </c>
      <c r="E887">
        <f>VLOOKUP(tblTargetMedicos[[#This Row],[codigo_id]],[1]DIM_REPRESENTANTE_MEDICO!$C:$F,3,0)</f>
        <v>9</v>
      </c>
      <c r="F887" s="27" t="s">
        <v>5796</v>
      </c>
      <c r="G887" s="27" t="s">
        <v>5782</v>
      </c>
      <c r="H887" s="27" t="s">
        <v>97</v>
      </c>
      <c r="I887">
        <v>1</v>
      </c>
    </row>
    <row r="888" spans="1:9">
      <c r="A888" t="s">
        <v>1303</v>
      </c>
      <c r="B888" s="27" t="s">
        <v>3222</v>
      </c>
      <c r="C888" s="27" t="s">
        <v>5768</v>
      </c>
      <c r="D888">
        <f>VLOOKUP(tblTargetMedicos[[#This Row],[codigo_id]],[1]DIM_REPRESENTANTE_MEDICO!$C:$F,4,0)</f>
        <v>4</v>
      </c>
      <c r="E888">
        <f>VLOOKUP(tblTargetMedicos[[#This Row],[codigo_id]],[1]DIM_REPRESENTANTE_MEDICO!$C:$F,3,0)</f>
        <v>9</v>
      </c>
      <c r="F888" s="27" t="s">
        <v>5796</v>
      </c>
      <c r="G888" s="27" t="s">
        <v>5784</v>
      </c>
      <c r="H888" s="27" t="s">
        <v>96</v>
      </c>
      <c r="I888">
        <v>1</v>
      </c>
    </row>
    <row r="889" spans="1:9">
      <c r="A889" t="s">
        <v>1304</v>
      </c>
      <c r="B889" s="27" t="s">
        <v>3222</v>
      </c>
      <c r="C889" s="27" t="s">
        <v>5768</v>
      </c>
      <c r="D889">
        <f>VLOOKUP(tblTargetMedicos[[#This Row],[codigo_id]],[1]DIM_REPRESENTANTE_MEDICO!$C:$F,4,0)</f>
        <v>4</v>
      </c>
      <c r="E889">
        <f>VLOOKUP(tblTargetMedicos[[#This Row],[codigo_id]],[1]DIM_REPRESENTANTE_MEDICO!$C:$F,3,0)</f>
        <v>9</v>
      </c>
      <c r="F889" s="27" t="s">
        <v>5796</v>
      </c>
      <c r="G889" s="27" t="s">
        <v>5783</v>
      </c>
      <c r="H889" s="27" t="s">
        <v>96</v>
      </c>
      <c r="I889">
        <v>1</v>
      </c>
    </row>
    <row r="890" spans="1:9">
      <c r="A890" t="s">
        <v>1305</v>
      </c>
      <c r="B890" s="27" t="s">
        <v>3222</v>
      </c>
      <c r="C890" s="27" t="s">
        <v>5768</v>
      </c>
      <c r="D890">
        <f>VLOOKUP(tblTargetMedicos[[#This Row],[codigo_id]],[1]DIM_REPRESENTANTE_MEDICO!$C:$F,4,0)</f>
        <v>4</v>
      </c>
      <c r="E890">
        <f>VLOOKUP(tblTargetMedicos[[#This Row],[codigo_id]],[1]DIM_REPRESENTANTE_MEDICO!$C:$F,3,0)</f>
        <v>9</v>
      </c>
      <c r="F890" s="27" t="s">
        <v>5796</v>
      </c>
      <c r="G890" s="27" t="s">
        <v>5785</v>
      </c>
      <c r="H890" s="27" t="s">
        <v>96</v>
      </c>
      <c r="I890">
        <v>1</v>
      </c>
    </row>
    <row r="891" spans="1:9">
      <c r="A891" t="s">
        <v>1306</v>
      </c>
      <c r="B891" s="27" t="s">
        <v>3222</v>
      </c>
      <c r="C891" s="27" t="s">
        <v>5768</v>
      </c>
      <c r="D891">
        <f>VLOOKUP(tblTargetMedicos[[#This Row],[codigo_id]],[1]DIM_REPRESENTANTE_MEDICO!$C:$F,4,0)</f>
        <v>4</v>
      </c>
      <c r="E891">
        <f>VLOOKUP(tblTargetMedicos[[#This Row],[codigo_id]],[1]DIM_REPRESENTANTE_MEDICO!$C:$F,3,0)</f>
        <v>9</v>
      </c>
      <c r="F891" s="27" t="s">
        <v>5796</v>
      </c>
      <c r="G891" s="27" t="s">
        <v>5783</v>
      </c>
      <c r="H891" s="27" t="s">
        <v>96</v>
      </c>
      <c r="I891">
        <v>1</v>
      </c>
    </row>
    <row r="892" spans="1:9">
      <c r="A892" t="s">
        <v>1307</v>
      </c>
      <c r="B892" s="27" t="s">
        <v>3222</v>
      </c>
      <c r="C892" s="27" t="s">
        <v>5768</v>
      </c>
      <c r="D892">
        <f>VLOOKUP(tblTargetMedicos[[#This Row],[codigo_id]],[1]DIM_REPRESENTANTE_MEDICO!$C:$F,4,0)</f>
        <v>4</v>
      </c>
      <c r="E892">
        <f>VLOOKUP(tblTargetMedicos[[#This Row],[codigo_id]],[1]DIM_REPRESENTANTE_MEDICO!$C:$F,3,0)</f>
        <v>9</v>
      </c>
      <c r="F892" s="27" t="s">
        <v>5796</v>
      </c>
      <c r="G892" s="27" t="s">
        <v>5779</v>
      </c>
      <c r="H892" s="27" t="s">
        <v>97</v>
      </c>
      <c r="I892">
        <v>1</v>
      </c>
    </row>
    <row r="893" spans="1:9">
      <c r="A893" t="s">
        <v>1308</v>
      </c>
      <c r="B893" s="27" t="s">
        <v>3222</v>
      </c>
      <c r="C893" s="27" t="s">
        <v>5768</v>
      </c>
      <c r="D893">
        <f>VLOOKUP(tblTargetMedicos[[#This Row],[codigo_id]],[1]DIM_REPRESENTANTE_MEDICO!$C:$F,4,0)</f>
        <v>4</v>
      </c>
      <c r="E893">
        <f>VLOOKUP(tblTargetMedicos[[#This Row],[codigo_id]],[1]DIM_REPRESENTANTE_MEDICO!$C:$F,3,0)</f>
        <v>9</v>
      </c>
      <c r="F893" s="27" t="s">
        <v>5796</v>
      </c>
      <c r="G893" s="27" t="s">
        <v>5779</v>
      </c>
      <c r="H893" s="27" t="s">
        <v>97</v>
      </c>
      <c r="I893">
        <v>1</v>
      </c>
    </row>
    <row r="894" spans="1:9">
      <c r="A894" t="s">
        <v>1309</v>
      </c>
      <c r="B894" s="27" t="s">
        <v>3222</v>
      </c>
      <c r="C894" s="27" t="s">
        <v>5768</v>
      </c>
      <c r="D894">
        <f>VLOOKUP(tblTargetMedicos[[#This Row],[codigo_id]],[1]DIM_REPRESENTANTE_MEDICO!$C:$F,4,0)</f>
        <v>4</v>
      </c>
      <c r="E894">
        <f>VLOOKUP(tblTargetMedicos[[#This Row],[codigo_id]],[1]DIM_REPRESENTANTE_MEDICO!$C:$F,3,0)</f>
        <v>9</v>
      </c>
      <c r="F894" s="27" t="s">
        <v>5796</v>
      </c>
      <c r="G894" s="27" t="s">
        <v>5781</v>
      </c>
      <c r="H894" s="27" t="s">
        <v>97</v>
      </c>
      <c r="I894">
        <v>1</v>
      </c>
    </row>
    <row r="895" spans="1:9">
      <c r="A895" t="s">
        <v>1310</v>
      </c>
      <c r="B895" s="27" t="s">
        <v>3222</v>
      </c>
      <c r="C895" s="27" t="s">
        <v>5768</v>
      </c>
      <c r="D895">
        <f>VLOOKUP(tblTargetMedicos[[#This Row],[codigo_id]],[1]DIM_REPRESENTANTE_MEDICO!$C:$F,4,0)</f>
        <v>4</v>
      </c>
      <c r="E895">
        <f>VLOOKUP(tblTargetMedicos[[#This Row],[codigo_id]],[1]DIM_REPRESENTANTE_MEDICO!$C:$F,3,0)</f>
        <v>9</v>
      </c>
      <c r="F895" s="27" t="s">
        <v>5796</v>
      </c>
      <c r="G895" s="27" t="s">
        <v>5783</v>
      </c>
      <c r="H895" s="27" t="s">
        <v>97</v>
      </c>
      <c r="I895">
        <v>1</v>
      </c>
    </row>
    <row r="896" spans="1:9">
      <c r="A896" t="s">
        <v>1311</v>
      </c>
      <c r="B896" s="27" t="s">
        <v>3222</v>
      </c>
      <c r="C896" s="27" t="s">
        <v>5768</v>
      </c>
      <c r="D896">
        <f>VLOOKUP(tblTargetMedicos[[#This Row],[codigo_id]],[1]DIM_REPRESENTANTE_MEDICO!$C:$F,4,0)</f>
        <v>4</v>
      </c>
      <c r="E896">
        <f>VLOOKUP(tblTargetMedicos[[#This Row],[codigo_id]],[1]DIM_REPRESENTANTE_MEDICO!$C:$F,3,0)</f>
        <v>9</v>
      </c>
      <c r="F896" s="27" t="s">
        <v>5796</v>
      </c>
      <c r="G896" s="27" t="s">
        <v>5783</v>
      </c>
      <c r="H896" s="27" t="s">
        <v>96</v>
      </c>
      <c r="I896">
        <v>1</v>
      </c>
    </row>
    <row r="897" spans="1:9">
      <c r="A897" t="s">
        <v>1312</v>
      </c>
      <c r="B897" s="27" t="s">
        <v>3222</v>
      </c>
      <c r="C897" s="27" t="s">
        <v>5768</v>
      </c>
      <c r="D897">
        <f>VLOOKUP(tblTargetMedicos[[#This Row],[codigo_id]],[1]DIM_REPRESENTANTE_MEDICO!$C:$F,4,0)</f>
        <v>4</v>
      </c>
      <c r="E897">
        <f>VLOOKUP(tblTargetMedicos[[#This Row],[codigo_id]],[1]DIM_REPRESENTANTE_MEDICO!$C:$F,3,0)</f>
        <v>9</v>
      </c>
      <c r="F897" s="27" t="s">
        <v>5796</v>
      </c>
      <c r="G897" s="27" t="s">
        <v>5783</v>
      </c>
      <c r="H897" s="27" t="s">
        <v>96</v>
      </c>
      <c r="I897">
        <v>1</v>
      </c>
    </row>
    <row r="898" spans="1:9">
      <c r="A898" t="s">
        <v>1313</v>
      </c>
      <c r="B898" s="27" t="s">
        <v>3222</v>
      </c>
      <c r="C898" s="27" t="s">
        <v>5768</v>
      </c>
      <c r="D898">
        <f>VLOOKUP(tblTargetMedicos[[#This Row],[codigo_id]],[1]DIM_REPRESENTANTE_MEDICO!$C:$F,4,0)</f>
        <v>4</v>
      </c>
      <c r="E898">
        <f>VLOOKUP(tblTargetMedicos[[#This Row],[codigo_id]],[1]DIM_REPRESENTANTE_MEDICO!$C:$F,3,0)</f>
        <v>9</v>
      </c>
      <c r="F898" s="27" t="s">
        <v>5796</v>
      </c>
      <c r="G898" s="27" t="s">
        <v>5783</v>
      </c>
      <c r="H898" s="27" t="s">
        <v>97</v>
      </c>
      <c r="I898">
        <v>1</v>
      </c>
    </row>
    <row r="899" spans="1:9">
      <c r="A899" t="s">
        <v>1314</v>
      </c>
      <c r="B899" s="27" t="s">
        <v>3222</v>
      </c>
      <c r="C899" s="27" t="s">
        <v>5768</v>
      </c>
      <c r="D899">
        <f>VLOOKUP(tblTargetMedicos[[#This Row],[codigo_id]],[1]DIM_REPRESENTANTE_MEDICO!$C:$F,4,0)</f>
        <v>4</v>
      </c>
      <c r="E899">
        <f>VLOOKUP(tblTargetMedicos[[#This Row],[codigo_id]],[1]DIM_REPRESENTANTE_MEDICO!$C:$F,3,0)</f>
        <v>9</v>
      </c>
      <c r="F899" s="27" t="s">
        <v>5796</v>
      </c>
      <c r="G899" s="27" t="s">
        <v>5784</v>
      </c>
      <c r="H899" s="27" t="s">
        <v>96</v>
      </c>
      <c r="I899">
        <v>1</v>
      </c>
    </row>
    <row r="900" spans="1:9">
      <c r="A900" t="s">
        <v>1315</v>
      </c>
      <c r="B900" s="27" t="s">
        <v>3222</v>
      </c>
      <c r="C900" s="27" t="s">
        <v>5768</v>
      </c>
      <c r="D900">
        <f>VLOOKUP(tblTargetMedicos[[#This Row],[codigo_id]],[1]DIM_REPRESENTANTE_MEDICO!$C:$F,4,0)</f>
        <v>4</v>
      </c>
      <c r="E900">
        <f>VLOOKUP(tblTargetMedicos[[#This Row],[codigo_id]],[1]DIM_REPRESENTANTE_MEDICO!$C:$F,3,0)</f>
        <v>9</v>
      </c>
      <c r="F900" s="27" t="s">
        <v>5796</v>
      </c>
      <c r="G900" s="27" t="s">
        <v>5783</v>
      </c>
      <c r="H900" s="27" t="s">
        <v>96</v>
      </c>
      <c r="I900">
        <v>1</v>
      </c>
    </row>
    <row r="901" spans="1:9">
      <c r="A901" t="s">
        <v>1316</v>
      </c>
      <c r="B901" s="27" t="s">
        <v>3222</v>
      </c>
      <c r="C901" s="27" t="s">
        <v>5768</v>
      </c>
      <c r="D901">
        <f>VLOOKUP(tblTargetMedicos[[#This Row],[codigo_id]],[1]DIM_REPRESENTANTE_MEDICO!$C:$F,4,0)</f>
        <v>4</v>
      </c>
      <c r="E901">
        <f>VLOOKUP(tblTargetMedicos[[#This Row],[codigo_id]],[1]DIM_REPRESENTANTE_MEDICO!$C:$F,3,0)</f>
        <v>9</v>
      </c>
      <c r="F901" s="27" t="s">
        <v>5796</v>
      </c>
      <c r="G901" s="27" t="s">
        <v>5784</v>
      </c>
      <c r="H901" s="27" t="s">
        <v>97</v>
      </c>
      <c r="I901">
        <v>1</v>
      </c>
    </row>
    <row r="902" spans="1:9">
      <c r="A902" t="s">
        <v>1317</v>
      </c>
      <c r="B902" s="27" t="s">
        <v>3222</v>
      </c>
      <c r="C902" s="27" t="s">
        <v>5768</v>
      </c>
      <c r="D902">
        <f>VLOOKUP(tblTargetMedicos[[#This Row],[codigo_id]],[1]DIM_REPRESENTANTE_MEDICO!$C:$F,4,0)</f>
        <v>4</v>
      </c>
      <c r="E902">
        <f>VLOOKUP(tblTargetMedicos[[#This Row],[codigo_id]],[1]DIM_REPRESENTANTE_MEDICO!$C:$F,3,0)</f>
        <v>9</v>
      </c>
      <c r="F902" s="27" t="s">
        <v>5796</v>
      </c>
      <c r="G902" s="27" t="s">
        <v>5786</v>
      </c>
      <c r="H902" s="27" t="s">
        <v>96</v>
      </c>
      <c r="I902">
        <v>1</v>
      </c>
    </row>
    <row r="903" spans="1:9">
      <c r="A903" t="s">
        <v>1318</v>
      </c>
      <c r="B903" s="27" t="s">
        <v>3222</v>
      </c>
      <c r="C903" s="27" t="s">
        <v>5768</v>
      </c>
      <c r="D903">
        <f>VLOOKUP(tblTargetMedicos[[#This Row],[codigo_id]],[1]DIM_REPRESENTANTE_MEDICO!$C:$F,4,0)</f>
        <v>4</v>
      </c>
      <c r="E903">
        <f>VLOOKUP(tblTargetMedicos[[#This Row],[codigo_id]],[1]DIM_REPRESENTANTE_MEDICO!$C:$F,3,0)</f>
        <v>9</v>
      </c>
      <c r="F903" s="27" t="s">
        <v>5796</v>
      </c>
      <c r="G903" s="27" t="s">
        <v>5784</v>
      </c>
      <c r="H903" s="27" t="s">
        <v>97</v>
      </c>
      <c r="I903">
        <v>1</v>
      </c>
    </row>
    <row r="904" spans="1:9">
      <c r="A904" t="s">
        <v>1319</v>
      </c>
      <c r="B904" s="27" t="s">
        <v>3222</v>
      </c>
      <c r="C904" s="27" t="s">
        <v>5768</v>
      </c>
      <c r="D904">
        <f>VLOOKUP(tblTargetMedicos[[#This Row],[codigo_id]],[1]DIM_REPRESENTANTE_MEDICO!$C:$F,4,0)</f>
        <v>4</v>
      </c>
      <c r="E904">
        <f>VLOOKUP(tblTargetMedicos[[#This Row],[codigo_id]],[1]DIM_REPRESENTANTE_MEDICO!$C:$F,3,0)</f>
        <v>9</v>
      </c>
      <c r="F904" s="27" t="s">
        <v>5796</v>
      </c>
      <c r="G904" s="27" t="s">
        <v>5783</v>
      </c>
      <c r="H904" s="27" t="s">
        <v>5793</v>
      </c>
      <c r="I904">
        <v>1</v>
      </c>
    </row>
    <row r="905" spans="1:9">
      <c r="A905" t="s">
        <v>1320</v>
      </c>
      <c r="B905" s="27" t="s">
        <v>3222</v>
      </c>
      <c r="C905" s="27" t="s">
        <v>5768</v>
      </c>
      <c r="D905">
        <f>VLOOKUP(tblTargetMedicos[[#This Row],[codigo_id]],[1]DIM_REPRESENTANTE_MEDICO!$C:$F,4,0)</f>
        <v>4</v>
      </c>
      <c r="E905">
        <f>VLOOKUP(tblTargetMedicos[[#This Row],[codigo_id]],[1]DIM_REPRESENTANTE_MEDICO!$C:$F,3,0)</f>
        <v>9</v>
      </c>
      <c r="F905" s="27" t="s">
        <v>5796</v>
      </c>
      <c r="G905" s="27" t="s">
        <v>5784</v>
      </c>
      <c r="H905" s="27" t="s">
        <v>96</v>
      </c>
      <c r="I905">
        <v>1</v>
      </c>
    </row>
    <row r="906" spans="1:9">
      <c r="A906" t="s">
        <v>1321</v>
      </c>
      <c r="B906" s="27" t="s">
        <v>3222</v>
      </c>
      <c r="C906" s="27" t="s">
        <v>5768</v>
      </c>
      <c r="D906">
        <f>VLOOKUP(tblTargetMedicos[[#This Row],[codigo_id]],[1]DIM_REPRESENTANTE_MEDICO!$C:$F,4,0)</f>
        <v>4</v>
      </c>
      <c r="E906">
        <f>VLOOKUP(tblTargetMedicos[[#This Row],[codigo_id]],[1]DIM_REPRESENTANTE_MEDICO!$C:$F,3,0)</f>
        <v>9</v>
      </c>
      <c r="F906" s="27" t="s">
        <v>5796</v>
      </c>
      <c r="G906" s="27" t="s">
        <v>5785</v>
      </c>
      <c r="H906" s="27" t="s">
        <v>96</v>
      </c>
      <c r="I906">
        <v>1</v>
      </c>
    </row>
    <row r="907" spans="1:9">
      <c r="A907" t="s">
        <v>1322</v>
      </c>
      <c r="B907" s="27" t="s">
        <v>3222</v>
      </c>
      <c r="C907" s="27" t="s">
        <v>5768</v>
      </c>
      <c r="D907">
        <f>VLOOKUP(tblTargetMedicos[[#This Row],[codigo_id]],[1]DIM_REPRESENTANTE_MEDICO!$C:$F,4,0)</f>
        <v>4</v>
      </c>
      <c r="E907">
        <f>VLOOKUP(tblTargetMedicos[[#This Row],[codigo_id]],[1]DIM_REPRESENTANTE_MEDICO!$C:$F,3,0)</f>
        <v>9</v>
      </c>
      <c r="F907" s="27" t="s">
        <v>5796</v>
      </c>
      <c r="G907" s="27" t="s">
        <v>5783</v>
      </c>
      <c r="H907" s="27" t="s">
        <v>97</v>
      </c>
      <c r="I907">
        <v>1</v>
      </c>
    </row>
    <row r="908" spans="1:9">
      <c r="A908" t="s">
        <v>1323</v>
      </c>
      <c r="B908" s="27" t="s">
        <v>3222</v>
      </c>
      <c r="C908" s="27" t="s">
        <v>5768</v>
      </c>
      <c r="D908">
        <f>VLOOKUP(tblTargetMedicos[[#This Row],[codigo_id]],[1]DIM_REPRESENTANTE_MEDICO!$C:$F,4,0)</f>
        <v>4</v>
      </c>
      <c r="E908">
        <f>VLOOKUP(tblTargetMedicos[[#This Row],[codigo_id]],[1]DIM_REPRESENTANTE_MEDICO!$C:$F,3,0)</f>
        <v>9</v>
      </c>
      <c r="F908" s="27" t="s">
        <v>5796</v>
      </c>
      <c r="G908" s="27" t="s">
        <v>5782</v>
      </c>
      <c r="H908" s="27" t="s">
        <v>96</v>
      </c>
      <c r="I908">
        <v>1</v>
      </c>
    </row>
    <row r="909" spans="1:9">
      <c r="A909" t="s">
        <v>1324</v>
      </c>
      <c r="B909" s="27" t="s">
        <v>3222</v>
      </c>
      <c r="C909" s="27" t="s">
        <v>5768</v>
      </c>
      <c r="D909">
        <f>VLOOKUP(tblTargetMedicos[[#This Row],[codigo_id]],[1]DIM_REPRESENTANTE_MEDICO!$C:$F,4,0)</f>
        <v>4</v>
      </c>
      <c r="E909">
        <f>VLOOKUP(tblTargetMedicos[[#This Row],[codigo_id]],[1]DIM_REPRESENTANTE_MEDICO!$C:$F,3,0)</f>
        <v>9</v>
      </c>
      <c r="F909" s="27" t="s">
        <v>5796</v>
      </c>
      <c r="G909" s="27" t="s">
        <v>5786</v>
      </c>
      <c r="H909" s="27" t="s">
        <v>96</v>
      </c>
      <c r="I909">
        <v>1</v>
      </c>
    </row>
    <row r="910" spans="1:9">
      <c r="A910" t="s">
        <v>1325</v>
      </c>
      <c r="B910" s="27" t="s">
        <v>3222</v>
      </c>
      <c r="C910" s="27" t="s">
        <v>5768</v>
      </c>
      <c r="D910">
        <f>VLOOKUP(tblTargetMedicos[[#This Row],[codigo_id]],[1]DIM_REPRESENTANTE_MEDICO!$C:$F,4,0)</f>
        <v>4</v>
      </c>
      <c r="E910">
        <f>VLOOKUP(tblTargetMedicos[[#This Row],[codigo_id]],[1]DIM_REPRESENTANTE_MEDICO!$C:$F,3,0)</f>
        <v>9</v>
      </c>
      <c r="F910" s="27" t="s">
        <v>5796</v>
      </c>
      <c r="G910" s="27" t="s">
        <v>5784</v>
      </c>
      <c r="H910" s="27" t="s">
        <v>96</v>
      </c>
      <c r="I910">
        <v>1</v>
      </c>
    </row>
    <row r="911" spans="1:9">
      <c r="A911" t="s">
        <v>1326</v>
      </c>
      <c r="B911" s="27" t="s">
        <v>3222</v>
      </c>
      <c r="C911" s="27" t="s">
        <v>5768</v>
      </c>
      <c r="D911">
        <f>VLOOKUP(tblTargetMedicos[[#This Row],[codigo_id]],[1]DIM_REPRESENTANTE_MEDICO!$C:$F,4,0)</f>
        <v>4</v>
      </c>
      <c r="E911">
        <f>VLOOKUP(tblTargetMedicos[[#This Row],[codigo_id]],[1]DIM_REPRESENTANTE_MEDICO!$C:$F,3,0)</f>
        <v>9</v>
      </c>
      <c r="F911" s="27" t="s">
        <v>5796</v>
      </c>
      <c r="G911" s="27" t="s">
        <v>5784</v>
      </c>
      <c r="H911" s="27" t="s">
        <v>96</v>
      </c>
      <c r="I911">
        <v>1</v>
      </c>
    </row>
    <row r="912" spans="1:9">
      <c r="A912" t="s">
        <v>1327</v>
      </c>
      <c r="B912" s="27" t="s">
        <v>3222</v>
      </c>
      <c r="C912" s="27" t="s">
        <v>5768</v>
      </c>
      <c r="D912">
        <f>VLOOKUP(tblTargetMedicos[[#This Row],[codigo_id]],[1]DIM_REPRESENTANTE_MEDICO!$C:$F,4,0)</f>
        <v>4</v>
      </c>
      <c r="E912">
        <f>VLOOKUP(tblTargetMedicos[[#This Row],[codigo_id]],[1]DIM_REPRESENTANTE_MEDICO!$C:$F,3,0)</f>
        <v>9</v>
      </c>
      <c r="F912" s="27" t="s">
        <v>5796</v>
      </c>
      <c r="G912" s="27" t="s">
        <v>5782</v>
      </c>
      <c r="H912" s="27" t="s">
        <v>97</v>
      </c>
      <c r="I912">
        <v>1</v>
      </c>
    </row>
    <row r="913" spans="1:9">
      <c r="A913" t="s">
        <v>1328</v>
      </c>
      <c r="B913" s="27" t="s">
        <v>3222</v>
      </c>
      <c r="C913" s="27" t="s">
        <v>5768</v>
      </c>
      <c r="D913">
        <f>VLOOKUP(tblTargetMedicos[[#This Row],[codigo_id]],[1]DIM_REPRESENTANTE_MEDICO!$C:$F,4,0)</f>
        <v>4</v>
      </c>
      <c r="E913">
        <f>VLOOKUP(tblTargetMedicos[[#This Row],[codigo_id]],[1]DIM_REPRESENTANTE_MEDICO!$C:$F,3,0)</f>
        <v>9</v>
      </c>
      <c r="F913" s="27" t="s">
        <v>5796</v>
      </c>
      <c r="G913" s="27" t="s">
        <v>5779</v>
      </c>
      <c r="H913" s="27" t="s">
        <v>96</v>
      </c>
      <c r="I913">
        <v>1</v>
      </c>
    </row>
    <row r="914" spans="1:9">
      <c r="A914" t="s">
        <v>1329</v>
      </c>
      <c r="B914" s="27" t="s">
        <v>3222</v>
      </c>
      <c r="C914" s="27" t="s">
        <v>5768</v>
      </c>
      <c r="D914">
        <f>VLOOKUP(tblTargetMedicos[[#This Row],[codigo_id]],[1]DIM_REPRESENTANTE_MEDICO!$C:$F,4,0)</f>
        <v>4</v>
      </c>
      <c r="E914">
        <f>VLOOKUP(tblTargetMedicos[[#This Row],[codigo_id]],[1]DIM_REPRESENTANTE_MEDICO!$C:$F,3,0)</f>
        <v>9</v>
      </c>
      <c r="F914" s="27" t="s">
        <v>5796</v>
      </c>
      <c r="G914" s="27" t="s">
        <v>5784</v>
      </c>
      <c r="H914" s="27" t="s">
        <v>96</v>
      </c>
      <c r="I914">
        <v>1</v>
      </c>
    </row>
    <row r="915" spans="1:9">
      <c r="A915" t="s">
        <v>1330</v>
      </c>
      <c r="B915" s="27" t="s">
        <v>3222</v>
      </c>
      <c r="C915" s="27" t="s">
        <v>5768</v>
      </c>
      <c r="D915">
        <f>VLOOKUP(tblTargetMedicos[[#This Row],[codigo_id]],[1]DIM_REPRESENTANTE_MEDICO!$C:$F,4,0)</f>
        <v>4</v>
      </c>
      <c r="E915">
        <f>VLOOKUP(tblTargetMedicos[[#This Row],[codigo_id]],[1]DIM_REPRESENTANTE_MEDICO!$C:$F,3,0)</f>
        <v>9</v>
      </c>
      <c r="F915" s="27" t="s">
        <v>5796</v>
      </c>
      <c r="G915" s="27" t="s">
        <v>5781</v>
      </c>
      <c r="H915" s="27" t="s">
        <v>97</v>
      </c>
      <c r="I915">
        <v>1</v>
      </c>
    </row>
    <row r="916" spans="1:9">
      <c r="A916" t="s">
        <v>1331</v>
      </c>
      <c r="B916" s="27" t="s">
        <v>3222</v>
      </c>
      <c r="C916" s="27" t="s">
        <v>5768</v>
      </c>
      <c r="D916">
        <f>VLOOKUP(tblTargetMedicos[[#This Row],[codigo_id]],[1]DIM_REPRESENTANTE_MEDICO!$C:$F,4,0)</f>
        <v>4</v>
      </c>
      <c r="E916">
        <f>VLOOKUP(tblTargetMedicos[[#This Row],[codigo_id]],[1]DIM_REPRESENTANTE_MEDICO!$C:$F,3,0)</f>
        <v>9</v>
      </c>
      <c r="F916" s="27" t="s">
        <v>5796</v>
      </c>
      <c r="G916" s="27" t="s">
        <v>5781</v>
      </c>
      <c r="H916" s="27" t="s">
        <v>97</v>
      </c>
      <c r="I916">
        <v>1</v>
      </c>
    </row>
    <row r="917" spans="1:9">
      <c r="A917" t="s">
        <v>1332</v>
      </c>
      <c r="B917" s="27" t="s">
        <v>3222</v>
      </c>
      <c r="C917" s="27" t="s">
        <v>5768</v>
      </c>
      <c r="D917">
        <f>VLOOKUP(tblTargetMedicos[[#This Row],[codigo_id]],[1]DIM_REPRESENTANTE_MEDICO!$C:$F,4,0)</f>
        <v>4</v>
      </c>
      <c r="E917">
        <f>VLOOKUP(tblTargetMedicos[[#This Row],[codigo_id]],[1]DIM_REPRESENTANTE_MEDICO!$C:$F,3,0)</f>
        <v>9</v>
      </c>
      <c r="F917" s="27" t="s">
        <v>5796</v>
      </c>
      <c r="G917" s="27" t="s">
        <v>5783</v>
      </c>
      <c r="H917" s="27" t="s">
        <v>97</v>
      </c>
      <c r="I917">
        <v>1</v>
      </c>
    </row>
    <row r="918" spans="1:9">
      <c r="A918" t="s">
        <v>1333</v>
      </c>
      <c r="B918" s="27" t="s">
        <v>3222</v>
      </c>
      <c r="C918" s="27" t="s">
        <v>5768</v>
      </c>
      <c r="D918">
        <f>VLOOKUP(tblTargetMedicos[[#This Row],[codigo_id]],[1]DIM_REPRESENTANTE_MEDICO!$C:$F,4,0)</f>
        <v>4</v>
      </c>
      <c r="E918">
        <f>VLOOKUP(tblTargetMedicos[[#This Row],[codigo_id]],[1]DIM_REPRESENTANTE_MEDICO!$C:$F,3,0)</f>
        <v>9</v>
      </c>
      <c r="F918" s="27" t="s">
        <v>5796</v>
      </c>
      <c r="G918" s="27" t="s">
        <v>5779</v>
      </c>
      <c r="H918" s="27" t="s">
        <v>96</v>
      </c>
      <c r="I918">
        <v>1</v>
      </c>
    </row>
    <row r="919" spans="1:9">
      <c r="A919" t="s">
        <v>1334</v>
      </c>
      <c r="B919" s="27" t="s">
        <v>3222</v>
      </c>
      <c r="C919" s="27" t="s">
        <v>5768</v>
      </c>
      <c r="D919">
        <f>VLOOKUP(tblTargetMedicos[[#This Row],[codigo_id]],[1]DIM_REPRESENTANTE_MEDICO!$C:$F,4,0)</f>
        <v>4</v>
      </c>
      <c r="E919">
        <f>VLOOKUP(tblTargetMedicos[[#This Row],[codigo_id]],[1]DIM_REPRESENTANTE_MEDICO!$C:$F,3,0)</f>
        <v>9</v>
      </c>
      <c r="F919" s="27" t="s">
        <v>5796</v>
      </c>
      <c r="G919" s="27" t="s">
        <v>5785</v>
      </c>
      <c r="H919" s="27" t="s">
        <v>96</v>
      </c>
      <c r="I919">
        <v>1</v>
      </c>
    </row>
    <row r="920" spans="1:9">
      <c r="A920" t="s">
        <v>1335</v>
      </c>
      <c r="B920" s="27" t="s">
        <v>3222</v>
      </c>
      <c r="C920" s="27" t="s">
        <v>5768</v>
      </c>
      <c r="D920">
        <f>VLOOKUP(tblTargetMedicos[[#This Row],[codigo_id]],[1]DIM_REPRESENTANTE_MEDICO!$C:$F,4,0)</f>
        <v>4</v>
      </c>
      <c r="E920">
        <f>VLOOKUP(tblTargetMedicos[[#This Row],[codigo_id]],[1]DIM_REPRESENTANTE_MEDICO!$C:$F,3,0)</f>
        <v>9</v>
      </c>
      <c r="F920" s="27" t="s">
        <v>5796</v>
      </c>
      <c r="G920" s="27" t="s">
        <v>5785</v>
      </c>
      <c r="H920" s="27" t="s">
        <v>96</v>
      </c>
      <c r="I920">
        <v>1</v>
      </c>
    </row>
    <row r="921" spans="1:9">
      <c r="A921" t="s">
        <v>1336</v>
      </c>
      <c r="B921" s="27" t="s">
        <v>3222</v>
      </c>
      <c r="C921" s="27" t="s">
        <v>5768</v>
      </c>
      <c r="D921">
        <f>VLOOKUP(tblTargetMedicos[[#This Row],[codigo_id]],[1]DIM_REPRESENTANTE_MEDICO!$C:$F,4,0)</f>
        <v>4</v>
      </c>
      <c r="E921">
        <f>VLOOKUP(tblTargetMedicos[[#This Row],[codigo_id]],[1]DIM_REPRESENTANTE_MEDICO!$C:$F,3,0)</f>
        <v>9</v>
      </c>
      <c r="F921" s="27" t="s">
        <v>5796</v>
      </c>
      <c r="G921" s="27" t="s">
        <v>5783</v>
      </c>
      <c r="H921" s="27" t="s">
        <v>96</v>
      </c>
      <c r="I921">
        <v>1</v>
      </c>
    </row>
    <row r="922" spans="1:9">
      <c r="A922" t="s">
        <v>1337</v>
      </c>
      <c r="B922" s="27" t="s">
        <v>3222</v>
      </c>
      <c r="C922" s="27" t="s">
        <v>5768</v>
      </c>
      <c r="D922">
        <f>VLOOKUP(tblTargetMedicos[[#This Row],[codigo_id]],[1]DIM_REPRESENTANTE_MEDICO!$C:$F,4,0)</f>
        <v>4</v>
      </c>
      <c r="E922">
        <f>VLOOKUP(tblTargetMedicos[[#This Row],[codigo_id]],[1]DIM_REPRESENTANTE_MEDICO!$C:$F,3,0)</f>
        <v>9</v>
      </c>
      <c r="F922" s="27" t="s">
        <v>5796</v>
      </c>
      <c r="G922" s="27" t="s">
        <v>5784</v>
      </c>
      <c r="H922" s="27" t="s">
        <v>96</v>
      </c>
      <c r="I922">
        <v>1</v>
      </c>
    </row>
    <row r="923" spans="1:9">
      <c r="A923" t="s">
        <v>1338</v>
      </c>
      <c r="B923" s="27" t="s">
        <v>3222</v>
      </c>
      <c r="C923" s="27" t="s">
        <v>5768</v>
      </c>
      <c r="D923">
        <f>VLOOKUP(tblTargetMedicos[[#This Row],[codigo_id]],[1]DIM_REPRESENTANTE_MEDICO!$C:$F,4,0)</f>
        <v>4</v>
      </c>
      <c r="E923">
        <f>VLOOKUP(tblTargetMedicos[[#This Row],[codigo_id]],[1]DIM_REPRESENTANTE_MEDICO!$C:$F,3,0)</f>
        <v>9</v>
      </c>
      <c r="F923" s="27" t="s">
        <v>5796</v>
      </c>
      <c r="G923" s="27" t="s">
        <v>5779</v>
      </c>
      <c r="H923" s="27" t="s">
        <v>96</v>
      </c>
      <c r="I923">
        <v>1</v>
      </c>
    </row>
    <row r="924" spans="1:9">
      <c r="A924" t="s">
        <v>1339</v>
      </c>
      <c r="B924" s="27" t="s">
        <v>3222</v>
      </c>
      <c r="C924" s="27" t="s">
        <v>5768</v>
      </c>
      <c r="D924">
        <f>VLOOKUP(tblTargetMedicos[[#This Row],[codigo_id]],[1]DIM_REPRESENTANTE_MEDICO!$C:$F,4,0)</f>
        <v>4</v>
      </c>
      <c r="E924">
        <f>VLOOKUP(tblTargetMedicos[[#This Row],[codigo_id]],[1]DIM_REPRESENTANTE_MEDICO!$C:$F,3,0)</f>
        <v>9</v>
      </c>
      <c r="F924" s="27" t="s">
        <v>5796</v>
      </c>
      <c r="G924" s="27" t="s">
        <v>5784</v>
      </c>
      <c r="H924" s="27" t="s">
        <v>96</v>
      </c>
      <c r="I924">
        <v>1</v>
      </c>
    </row>
    <row r="925" spans="1:9">
      <c r="A925" t="s">
        <v>1340</v>
      </c>
      <c r="B925" s="27" t="s">
        <v>3222</v>
      </c>
      <c r="C925" s="27" t="s">
        <v>5768</v>
      </c>
      <c r="D925">
        <f>VLOOKUP(tblTargetMedicos[[#This Row],[codigo_id]],[1]DIM_REPRESENTANTE_MEDICO!$C:$F,4,0)</f>
        <v>4</v>
      </c>
      <c r="E925">
        <f>VLOOKUP(tblTargetMedicos[[#This Row],[codigo_id]],[1]DIM_REPRESENTANTE_MEDICO!$C:$F,3,0)</f>
        <v>9</v>
      </c>
      <c r="F925" s="27" t="s">
        <v>5796</v>
      </c>
      <c r="G925" s="27" t="s">
        <v>5783</v>
      </c>
      <c r="H925" s="27" t="s">
        <v>97</v>
      </c>
      <c r="I925">
        <v>1</v>
      </c>
    </row>
    <row r="926" spans="1:9">
      <c r="A926" t="s">
        <v>1341</v>
      </c>
      <c r="B926" s="27" t="s">
        <v>3222</v>
      </c>
      <c r="C926" s="27" t="s">
        <v>5768</v>
      </c>
      <c r="D926">
        <f>VLOOKUP(tblTargetMedicos[[#This Row],[codigo_id]],[1]DIM_REPRESENTANTE_MEDICO!$C:$F,4,0)</f>
        <v>4</v>
      </c>
      <c r="E926">
        <f>VLOOKUP(tblTargetMedicos[[#This Row],[codigo_id]],[1]DIM_REPRESENTANTE_MEDICO!$C:$F,3,0)</f>
        <v>9</v>
      </c>
      <c r="F926" s="27" t="s">
        <v>5796</v>
      </c>
      <c r="G926" s="27" t="s">
        <v>5783</v>
      </c>
      <c r="H926" s="27" t="s">
        <v>97</v>
      </c>
      <c r="I926">
        <v>1</v>
      </c>
    </row>
    <row r="927" spans="1:9">
      <c r="A927" t="s">
        <v>1342</v>
      </c>
      <c r="B927" s="27" t="s">
        <v>3222</v>
      </c>
      <c r="C927" s="27" t="s">
        <v>5768</v>
      </c>
      <c r="D927">
        <f>VLOOKUP(tblTargetMedicos[[#This Row],[codigo_id]],[1]DIM_REPRESENTANTE_MEDICO!$C:$F,4,0)</f>
        <v>4</v>
      </c>
      <c r="E927">
        <f>VLOOKUP(tblTargetMedicos[[#This Row],[codigo_id]],[1]DIM_REPRESENTANTE_MEDICO!$C:$F,3,0)</f>
        <v>9</v>
      </c>
      <c r="F927" s="27" t="s">
        <v>5796</v>
      </c>
      <c r="G927" s="27" t="s">
        <v>5783</v>
      </c>
      <c r="H927" s="27" t="s">
        <v>96</v>
      </c>
      <c r="I927">
        <v>1</v>
      </c>
    </row>
    <row r="928" spans="1:9">
      <c r="A928" t="s">
        <v>1343</v>
      </c>
      <c r="B928" s="27" t="s">
        <v>3222</v>
      </c>
      <c r="C928" s="27" t="s">
        <v>5768</v>
      </c>
      <c r="D928">
        <f>VLOOKUP(tblTargetMedicos[[#This Row],[codigo_id]],[1]DIM_REPRESENTANTE_MEDICO!$C:$F,4,0)</f>
        <v>4</v>
      </c>
      <c r="E928">
        <f>VLOOKUP(tblTargetMedicos[[#This Row],[codigo_id]],[1]DIM_REPRESENTANTE_MEDICO!$C:$F,3,0)</f>
        <v>9</v>
      </c>
      <c r="F928" s="27" t="s">
        <v>5796</v>
      </c>
      <c r="G928" s="27" t="s">
        <v>5783</v>
      </c>
      <c r="H928" s="27" t="s">
        <v>96</v>
      </c>
      <c r="I928">
        <v>1</v>
      </c>
    </row>
    <row r="929" spans="1:9">
      <c r="A929" t="s">
        <v>1344</v>
      </c>
      <c r="B929" s="27" t="s">
        <v>3222</v>
      </c>
      <c r="C929" s="27" t="s">
        <v>5768</v>
      </c>
      <c r="D929">
        <f>VLOOKUP(tblTargetMedicos[[#This Row],[codigo_id]],[1]DIM_REPRESENTANTE_MEDICO!$C:$F,4,0)</f>
        <v>4</v>
      </c>
      <c r="E929">
        <f>VLOOKUP(tblTargetMedicos[[#This Row],[codigo_id]],[1]DIM_REPRESENTANTE_MEDICO!$C:$F,3,0)</f>
        <v>9</v>
      </c>
      <c r="F929" s="27" t="s">
        <v>5796</v>
      </c>
      <c r="G929" s="27" t="s">
        <v>5784</v>
      </c>
      <c r="H929" s="27" t="s">
        <v>96</v>
      </c>
      <c r="I929">
        <v>1</v>
      </c>
    </row>
    <row r="930" spans="1:9">
      <c r="A930" t="s">
        <v>1345</v>
      </c>
      <c r="B930" s="27" t="s">
        <v>3222</v>
      </c>
      <c r="C930" s="27" t="s">
        <v>5768</v>
      </c>
      <c r="D930">
        <f>VLOOKUP(tblTargetMedicos[[#This Row],[codigo_id]],[1]DIM_REPRESENTANTE_MEDICO!$C:$F,4,0)</f>
        <v>4</v>
      </c>
      <c r="E930">
        <f>VLOOKUP(tblTargetMedicos[[#This Row],[codigo_id]],[1]DIM_REPRESENTANTE_MEDICO!$C:$F,3,0)</f>
        <v>9</v>
      </c>
      <c r="F930" s="27" t="s">
        <v>5796</v>
      </c>
      <c r="G930" s="27" t="s">
        <v>5784</v>
      </c>
      <c r="H930" s="27" t="s">
        <v>96</v>
      </c>
      <c r="I930">
        <v>1</v>
      </c>
    </row>
    <row r="931" spans="1:9">
      <c r="A931" t="s">
        <v>1346</v>
      </c>
      <c r="B931" s="27" t="s">
        <v>3222</v>
      </c>
      <c r="C931" s="27" t="s">
        <v>5768</v>
      </c>
      <c r="D931">
        <f>VLOOKUP(tblTargetMedicos[[#This Row],[codigo_id]],[1]DIM_REPRESENTANTE_MEDICO!$C:$F,4,0)</f>
        <v>4</v>
      </c>
      <c r="E931">
        <f>VLOOKUP(tblTargetMedicos[[#This Row],[codigo_id]],[1]DIM_REPRESENTANTE_MEDICO!$C:$F,3,0)</f>
        <v>9</v>
      </c>
      <c r="F931" s="27" t="s">
        <v>5796</v>
      </c>
      <c r="G931" s="27" t="s">
        <v>5779</v>
      </c>
      <c r="H931" s="27" t="s">
        <v>96</v>
      </c>
      <c r="I931">
        <v>1</v>
      </c>
    </row>
    <row r="932" spans="1:9">
      <c r="A932" t="s">
        <v>1347</v>
      </c>
      <c r="B932" s="27" t="s">
        <v>3222</v>
      </c>
      <c r="C932" s="27" t="s">
        <v>5768</v>
      </c>
      <c r="D932">
        <f>VLOOKUP(tblTargetMedicos[[#This Row],[codigo_id]],[1]DIM_REPRESENTANTE_MEDICO!$C:$F,4,0)</f>
        <v>4</v>
      </c>
      <c r="E932">
        <f>VLOOKUP(tblTargetMedicos[[#This Row],[codigo_id]],[1]DIM_REPRESENTANTE_MEDICO!$C:$F,3,0)</f>
        <v>9</v>
      </c>
      <c r="F932" s="27" t="s">
        <v>5796</v>
      </c>
      <c r="G932" s="27" t="s">
        <v>5784</v>
      </c>
      <c r="H932" s="27" t="s">
        <v>96</v>
      </c>
      <c r="I932">
        <v>1</v>
      </c>
    </row>
    <row r="933" spans="1:9">
      <c r="A933" t="s">
        <v>1348</v>
      </c>
      <c r="B933" s="27" t="s">
        <v>3222</v>
      </c>
      <c r="C933" s="27" t="s">
        <v>5768</v>
      </c>
      <c r="D933">
        <f>VLOOKUP(tblTargetMedicos[[#This Row],[codigo_id]],[1]DIM_REPRESENTANTE_MEDICO!$C:$F,4,0)</f>
        <v>4</v>
      </c>
      <c r="E933">
        <f>VLOOKUP(tblTargetMedicos[[#This Row],[codigo_id]],[1]DIM_REPRESENTANTE_MEDICO!$C:$F,3,0)</f>
        <v>9</v>
      </c>
      <c r="F933" s="27" t="s">
        <v>5796</v>
      </c>
      <c r="G933" s="27" t="s">
        <v>5782</v>
      </c>
      <c r="H933" s="27" t="s">
        <v>97</v>
      </c>
      <c r="I933">
        <v>1</v>
      </c>
    </row>
    <row r="934" spans="1:9">
      <c r="A934" t="s">
        <v>1349</v>
      </c>
      <c r="B934" s="27" t="s">
        <v>3222</v>
      </c>
      <c r="C934" s="27" t="s">
        <v>5768</v>
      </c>
      <c r="D934">
        <f>VLOOKUP(tblTargetMedicos[[#This Row],[codigo_id]],[1]DIM_REPRESENTANTE_MEDICO!$C:$F,4,0)</f>
        <v>4</v>
      </c>
      <c r="E934">
        <f>VLOOKUP(tblTargetMedicos[[#This Row],[codigo_id]],[1]DIM_REPRESENTANTE_MEDICO!$C:$F,3,0)</f>
        <v>9</v>
      </c>
      <c r="F934" s="27" t="s">
        <v>5796</v>
      </c>
      <c r="G934" s="27" t="s">
        <v>5782</v>
      </c>
      <c r="H934" s="27" t="s">
        <v>96</v>
      </c>
      <c r="I934">
        <v>1</v>
      </c>
    </row>
    <row r="935" spans="1:9">
      <c r="A935" t="s">
        <v>1350</v>
      </c>
      <c r="B935" s="27" t="s">
        <v>3222</v>
      </c>
      <c r="C935" s="27" t="s">
        <v>5768</v>
      </c>
      <c r="D935">
        <f>VLOOKUP(tblTargetMedicos[[#This Row],[codigo_id]],[1]DIM_REPRESENTANTE_MEDICO!$C:$F,4,0)</f>
        <v>4</v>
      </c>
      <c r="E935">
        <f>VLOOKUP(tblTargetMedicos[[#This Row],[codigo_id]],[1]DIM_REPRESENTANTE_MEDICO!$C:$F,3,0)</f>
        <v>9</v>
      </c>
      <c r="F935" s="27" t="s">
        <v>5796</v>
      </c>
      <c r="G935" s="27" t="s">
        <v>5784</v>
      </c>
      <c r="H935" s="27" t="s">
        <v>96</v>
      </c>
      <c r="I935">
        <v>1</v>
      </c>
    </row>
    <row r="936" spans="1:9">
      <c r="A936" t="s">
        <v>1351</v>
      </c>
      <c r="B936" s="27" t="s">
        <v>3222</v>
      </c>
      <c r="C936" s="27" t="s">
        <v>5768</v>
      </c>
      <c r="D936">
        <f>VLOOKUP(tblTargetMedicos[[#This Row],[codigo_id]],[1]DIM_REPRESENTANTE_MEDICO!$C:$F,4,0)</f>
        <v>4</v>
      </c>
      <c r="E936">
        <f>VLOOKUP(tblTargetMedicos[[#This Row],[codigo_id]],[1]DIM_REPRESENTANTE_MEDICO!$C:$F,3,0)</f>
        <v>9</v>
      </c>
      <c r="F936" s="27" t="s">
        <v>5796</v>
      </c>
      <c r="G936" s="27" t="s">
        <v>5784</v>
      </c>
      <c r="H936" s="27" t="s">
        <v>96</v>
      </c>
      <c r="I936">
        <v>1</v>
      </c>
    </row>
    <row r="937" spans="1:9">
      <c r="A937" t="s">
        <v>1352</v>
      </c>
      <c r="B937" s="27" t="s">
        <v>3222</v>
      </c>
      <c r="C937" s="27" t="s">
        <v>5768</v>
      </c>
      <c r="D937">
        <f>VLOOKUP(tblTargetMedicos[[#This Row],[codigo_id]],[1]DIM_REPRESENTANTE_MEDICO!$C:$F,4,0)</f>
        <v>4</v>
      </c>
      <c r="E937">
        <f>VLOOKUP(tblTargetMedicos[[#This Row],[codigo_id]],[1]DIM_REPRESENTANTE_MEDICO!$C:$F,3,0)</f>
        <v>9</v>
      </c>
      <c r="F937" s="27" t="s">
        <v>5796</v>
      </c>
      <c r="G937" s="27" t="s">
        <v>5785</v>
      </c>
      <c r="H937" s="27" t="s">
        <v>96</v>
      </c>
      <c r="I937">
        <v>1</v>
      </c>
    </row>
    <row r="938" spans="1:9">
      <c r="A938" t="s">
        <v>1353</v>
      </c>
      <c r="B938" s="27" t="s">
        <v>3222</v>
      </c>
      <c r="C938" s="27" t="s">
        <v>5768</v>
      </c>
      <c r="D938">
        <f>VLOOKUP(tblTargetMedicos[[#This Row],[codigo_id]],[1]DIM_REPRESENTANTE_MEDICO!$C:$F,4,0)</f>
        <v>4</v>
      </c>
      <c r="E938">
        <f>VLOOKUP(tblTargetMedicos[[#This Row],[codigo_id]],[1]DIM_REPRESENTANTE_MEDICO!$C:$F,3,0)</f>
        <v>9</v>
      </c>
      <c r="F938" s="27" t="s">
        <v>5796</v>
      </c>
      <c r="G938" s="27" t="s">
        <v>5784</v>
      </c>
      <c r="H938" s="27" t="s">
        <v>97</v>
      </c>
      <c r="I938">
        <v>1</v>
      </c>
    </row>
    <row r="939" spans="1:9">
      <c r="A939" t="s">
        <v>1354</v>
      </c>
      <c r="B939" s="27" t="s">
        <v>3222</v>
      </c>
      <c r="C939" s="27" t="s">
        <v>5768</v>
      </c>
      <c r="D939">
        <f>VLOOKUP(tblTargetMedicos[[#This Row],[codigo_id]],[1]DIM_REPRESENTANTE_MEDICO!$C:$F,4,0)</f>
        <v>4</v>
      </c>
      <c r="E939">
        <f>VLOOKUP(tblTargetMedicos[[#This Row],[codigo_id]],[1]DIM_REPRESENTANTE_MEDICO!$C:$F,3,0)</f>
        <v>9</v>
      </c>
      <c r="F939" s="27" t="s">
        <v>5796</v>
      </c>
      <c r="G939" s="27" t="s">
        <v>5781</v>
      </c>
      <c r="H939" s="27" t="s">
        <v>96</v>
      </c>
      <c r="I939">
        <v>1</v>
      </c>
    </row>
    <row r="940" spans="1:9">
      <c r="A940" t="s">
        <v>1355</v>
      </c>
      <c r="B940" s="27" t="s">
        <v>3222</v>
      </c>
      <c r="C940" s="27" t="s">
        <v>5768</v>
      </c>
      <c r="D940">
        <f>VLOOKUP(tblTargetMedicos[[#This Row],[codigo_id]],[1]DIM_REPRESENTANTE_MEDICO!$C:$F,4,0)</f>
        <v>4</v>
      </c>
      <c r="E940">
        <f>VLOOKUP(tblTargetMedicos[[#This Row],[codigo_id]],[1]DIM_REPRESENTANTE_MEDICO!$C:$F,3,0)</f>
        <v>9</v>
      </c>
      <c r="F940" s="27" t="s">
        <v>5796</v>
      </c>
      <c r="G940" s="27" t="s">
        <v>5784</v>
      </c>
      <c r="H940" s="27" t="s">
        <v>97</v>
      </c>
      <c r="I940">
        <v>1</v>
      </c>
    </row>
    <row r="941" spans="1:9">
      <c r="A941" t="s">
        <v>1356</v>
      </c>
      <c r="B941" s="27" t="s">
        <v>3222</v>
      </c>
      <c r="C941" s="27" t="s">
        <v>5768</v>
      </c>
      <c r="D941">
        <f>VLOOKUP(tblTargetMedicos[[#This Row],[codigo_id]],[1]DIM_REPRESENTANTE_MEDICO!$C:$F,4,0)</f>
        <v>4</v>
      </c>
      <c r="E941">
        <f>VLOOKUP(tblTargetMedicos[[#This Row],[codigo_id]],[1]DIM_REPRESENTANTE_MEDICO!$C:$F,3,0)</f>
        <v>9</v>
      </c>
      <c r="F941" s="27" t="s">
        <v>5796</v>
      </c>
      <c r="G941" s="27" t="s">
        <v>5784</v>
      </c>
      <c r="H941" s="27" t="s">
        <v>97</v>
      </c>
      <c r="I941">
        <v>1</v>
      </c>
    </row>
    <row r="942" spans="1:9">
      <c r="A942" t="s">
        <v>1357</v>
      </c>
      <c r="B942" s="27" t="s">
        <v>3222</v>
      </c>
      <c r="C942" s="27" t="s">
        <v>5768</v>
      </c>
      <c r="D942">
        <f>VLOOKUP(tblTargetMedicos[[#This Row],[codigo_id]],[1]DIM_REPRESENTANTE_MEDICO!$C:$F,4,0)</f>
        <v>4</v>
      </c>
      <c r="E942">
        <f>VLOOKUP(tblTargetMedicos[[#This Row],[codigo_id]],[1]DIM_REPRESENTANTE_MEDICO!$C:$F,3,0)</f>
        <v>9</v>
      </c>
      <c r="F942" s="27" t="s">
        <v>5796</v>
      </c>
      <c r="G942" s="27" t="s">
        <v>5784</v>
      </c>
      <c r="H942" s="27" t="s">
        <v>96</v>
      </c>
      <c r="I942">
        <v>1</v>
      </c>
    </row>
    <row r="943" spans="1:9">
      <c r="A943" t="s">
        <v>1358</v>
      </c>
      <c r="B943" s="27" t="s">
        <v>3222</v>
      </c>
      <c r="C943" s="27" t="s">
        <v>5768</v>
      </c>
      <c r="D943">
        <f>VLOOKUP(tblTargetMedicos[[#This Row],[codigo_id]],[1]DIM_REPRESENTANTE_MEDICO!$C:$F,4,0)</f>
        <v>4</v>
      </c>
      <c r="E943">
        <f>VLOOKUP(tblTargetMedicos[[#This Row],[codigo_id]],[1]DIM_REPRESENTANTE_MEDICO!$C:$F,3,0)</f>
        <v>9</v>
      </c>
      <c r="F943" s="27" t="s">
        <v>5796</v>
      </c>
      <c r="G943" s="27" t="s">
        <v>5783</v>
      </c>
      <c r="H943" s="27" t="s">
        <v>96</v>
      </c>
      <c r="I943">
        <v>1</v>
      </c>
    </row>
    <row r="944" spans="1:9">
      <c r="A944" t="s">
        <v>1359</v>
      </c>
      <c r="B944" s="27" t="s">
        <v>3222</v>
      </c>
      <c r="C944" s="27" t="s">
        <v>5768</v>
      </c>
      <c r="D944">
        <f>VLOOKUP(tblTargetMedicos[[#This Row],[codigo_id]],[1]DIM_REPRESENTANTE_MEDICO!$C:$F,4,0)</f>
        <v>4</v>
      </c>
      <c r="E944">
        <f>VLOOKUP(tblTargetMedicos[[#This Row],[codigo_id]],[1]DIM_REPRESENTANTE_MEDICO!$C:$F,3,0)</f>
        <v>9</v>
      </c>
      <c r="F944" s="27" t="s">
        <v>5796</v>
      </c>
      <c r="G944" s="27" t="s">
        <v>5785</v>
      </c>
      <c r="H944" s="27" t="s">
        <v>96</v>
      </c>
      <c r="I944">
        <v>1</v>
      </c>
    </row>
    <row r="945" spans="1:9">
      <c r="A945" t="s">
        <v>1360</v>
      </c>
      <c r="B945" s="27" t="s">
        <v>3222</v>
      </c>
      <c r="C945" s="27" t="s">
        <v>5768</v>
      </c>
      <c r="D945">
        <f>VLOOKUP(tblTargetMedicos[[#This Row],[codigo_id]],[1]DIM_REPRESENTANTE_MEDICO!$C:$F,4,0)</f>
        <v>4</v>
      </c>
      <c r="E945">
        <f>VLOOKUP(tblTargetMedicos[[#This Row],[codigo_id]],[1]DIM_REPRESENTANTE_MEDICO!$C:$F,3,0)</f>
        <v>9</v>
      </c>
      <c r="F945" s="27" t="s">
        <v>5796</v>
      </c>
      <c r="G945" s="27" t="s">
        <v>5779</v>
      </c>
      <c r="H945" s="27" t="s">
        <v>96</v>
      </c>
      <c r="I945">
        <v>1</v>
      </c>
    </row>
    <row r="946" spans="1:9">
      <c r="A946" t="s">
        <v>1361</v>
      </c>
      <c r="B946" s="27" t="s">
        <v>3222</v>
      </c>
      <c r="C946" s="27" t="s">
        <v>5768</v>
      </c>
      <c r="D946">
        <f>VLOOKUP(tblTargetMedicos[[#This Row],[codigo_id]],[1]DIM_REPRESENTANTE_MEDICO!$C:$F,4,0)</f>
        <v>4</v>
      </c>
      <c r="E946">
        <f>VLOOKUP(tblTargetMedicos[[#This Row],[codigo_id]],[1]DIM_REPRESENTANTE_MEDICO!$C:$F,3,0)</f>
        <v>9</v>
      </c>
      <c r="F946" s="27" t="s">
        <v>5796</v>
      </c>
      <c r="G946" s="27" t="s">
        <v>5790</v>
      </c>
      <c r="H946" s="27" t="s">
        <v>96</v>
      </c>
      <c r="I946">
        <v>1</v>
      </c>
    </row>
    <row r="947" spans="1:9">
      <c r="A947" t="s">
        <v>1362</v>
      </c>
      <c r="B947" s="27" t="s">
        <v>3222</v>
      </c>
      <c r="C947" s="27" t="s">
        <v>5768</v>
      </c>
      <c r="D947">
        <f>VLOOKUP(tblTargetMedicos[[#This Row],[codigo_id]],[1]DIM_REPRESENTANTE_MEDICO!$C:$F,4,0)</f>
        <v>4</v>
      </c>
      <c r="E947">
        <f>VLOOKUP(tblTargetMedicos[[#This Row],[codigo_id]],[1]DIM_REPRESENTANTE_MEDICO!$C:$F,3,0)</f>
        <v>9</v>
      </c>
      <c r="F947" s="27" t="s">
        <v>5796</v>
      </c>
      <c r="G947" s="27" t="s">
        <v>5790</v>
      </c>
      <c r="H947" s="27" t="s">
        <v>96</v>
      </c>
      <c r="I947">
        <v>1</v>
      </c>
    </row>
    <row r="948" spans="1:9">
      <c r="A948" t="s">
        <v>1363</v>
      </c>
      <c r="B948" s="27" t="s">
        <v>3222</v>
      </c>
      <c r="C948" s="27" t="s">
        <v>5768</v>
      </c>
      <c r="D948">
        <f>VLOOKUP(tblTargetMedicos[[#This Row],[codigo_id]],[1]DIM_REPRESENTANTE_MEDICO!$C:$F,4,0)</f>
        <v>4</v>
      </c>
      <c r="E948">
        <f>VLOOKUP(tblTargetMedicos[[#This Row],[codigo_id]],[1]DIM_REPRESENTANTE_MEDICO!$C:$F,3,0)</f>
        <v>9</v>
      </c>
      <c r="F948" s="27" t="s">
        <v>5796</v>
      </c>
      <c r="G948" s="27" t="s">
        <v>5784</v>
      </c>
      <c r="H948" s="27" t="s">
        <v>97</v>
      </c>
      <c r="I948">
        <v>1</v>
      </c>
    </row>
    <row r="949" spans="1:9">
      <c r="A949" t="s">
        <v>1364</v>
      </c>
      <c r="B949" s="27" t="s">
        <v>3222</v>
      </c>
      <c r="C949" s="27" t="s">
        <v>5768</v>
      </c>
      <c r="D949">
        <f>VLOOKUP(tblTargetMedicos[[#This Row],[codigo_id]],[1]DIM_REPRESENTANTE_MEDICO!$C:$F,4,0)</f>
        <v>4</v>
      </c>
      <c r="E949">
        <f>VLOOKUP(tblTargetMedicos[[#This Row],[codigo_id]],[1]DIM_REPRESENTANTE_MEDICO!$C:$F,3,0)</f>
        <v>9</v>
      </c>
      <c r="F949" s="27" t="s">
        <v>5796</v>
      </c>
      <c r="G949" s="27" t="s">
        <v>5784</v>
      </c>
      <c r="H949" s="27" t="s">
        <v>97</v>
      </c>
      <c r="I949">
        <v>1</v>
      </c>
    </row>
    <row r="950" spans="1:9">
      <c r="A950" t="s">
        <v>1365</v>
      </c>
      <c r="B950" s="27" t="s">
        <v>3222</v>
      </c>
      <c r="C950" s="27" t="s">
        <v>5768</v>
      </c>
      <c r="D950">
        <f>VLOOKUP(tblTargetMedicos[[#This Row],[codigo_id]],[1]DIM_REPRESENTANTE_MEDICO!$C:$F,4,0)</f>
        <v>4</v>
      </c>
      <c r="E950">
        <f>VLOOKUP(tblTargetMedicos[[#This Row],[codigo_id]],[1]DIM_REPRESENTANTE_MEDICO!$C:$F,3,0)</f>
        <v>9</v>
      </c>
      <c r="F950" s="27" t="s">
        <v>5796</v>
      </c>
      <c r="G950" s="27" t="s">
        <v>5782</v>
      </c>
      <c r="H950" s="27" t="s">
        <v>97</v>
      </c>
      <c r="I950">
        <v>1</v>
      </c>
    </row>
    <row r="951" spans="1:9">
      <c r="A951" t="s">
        <v>1366</v>
      </c>
      <c r="B951" s="27" t="s">
        <v>3222</v>
      </c>
      <c r="C951" s="27" t="s">
        <v>5768</v>
      </c>
      <c r="D951">
        <f>VLOOKUP(tblTargetMedicos[[#This Row],[codigo_id]],[1]DIM_REPRESENTANTE_MEDICO!$C:$F,4,0)</f>
        <v>4</v>
      </c>
      <c r="E951">
        <f>VLOOKUP(tblTargetMedicos[[#This Row],[codigo_id]],[1]DIM_REPRESENTANTE_MEDICO!$C:$F,3,0)</f>
        <v>9</v>
      </c>
      <c r="F951" s="27" t="s">
        <v>5796</v>
      </c>
      <c r="G951" s="27" t="s">
        <v>5781</v>
      </c>
      <c r="H951" s="27" t="s">
        <v>97</v>
      </c>
      <c r="I951">
        <v>1</v>
      </c>
    </row>
    <row r="952" spans="1:9">
      <c r="A952" t="s">
        <v>1367</v>
      </c>
      <c r="B952" s="27" t="s">
        <v>3222</v>
      </c>
      <c r="C952" s="27" t="s">
        <v>5768</v>
      </c>
      <c r="D952">
        <f>VLOOKUP(tblTargetMedicos[[#This Row],[codigo_id]],[1]DIM_REPRESENTANTE_MEDICO!$C:$F,4,0)</f>
        <v>4</v>
      </c>
      <c r="E952">
        <f>VLOOKUP(tblTargetMedicos[[#This Row],[codigo_id]],[1]DIM_REPRESENTANTE_MEDICO!$C:$F,3,0)</f>
        <v>9</v>
      </c>
      <c r="F952" s="27" t="s">
        <v>5796</v>
      </c>
      <c r="G952" s="27" t="s">
        <v>5784</v>
      </c>
      <c r="H952" s="27" t="s">
        <v>97</v>
      </c>
      <c r="I952">
        <v>1</v>
      </c>
    </row>
    <row r="953" spans="1:9">
      <c r="A953" t="s">
        <v>1368</v>
      </c>
      <c r="B953" s="27" t="s">
        <v>3222</v>
      </c>
      <c r="C953" s="27" t="s">
        <v>5768</v>
      </c>
      <c r="D953">
        <f>VLOOKUP(tblTargetMedicos[[#This Row],[codigo_id]],[1]DIM_REPRESENTANTE_MEDICO!$C:$F,4,0)</f>
        <v>4</v>
      </c>
      <c r="E953">
        <f>VLOOKUP(tblTargetMedicos[[#This Row],[codigo_id]],[1]DIM_REPRESENTANTE_MEDICO!$C:$F,3,0)</f>
        <v>9</v>
      </c>
      <c r="F953" s="27" t="s">
        <v>5796</v>
      </c>
      <c r="G953" s="27" t="s">
        <v>5786</v>
      </c>
      <c r="H953" s="27" t="s">
        <v>96</v>
      </c>
      <c r="I953">
        <v>1</v>
      </c>
    </row>
    <row r="954" spans="1:9">
      <c r="A954" t="s">
        <v>1369</v>
      </c>
      <c r="B954" s="27" t="s">
        <v>3222</v>
      </c>
      <c r="C954" s="27" t="s">
        <v>5768</v>
      </c>
      <c r="D954">
        <f>VLOOKUP(tblTargetMedicos[[#This Row],[codigo_id]],[1]DIM_REPRESENTANTE_MEDICO!$C:$F,4,0)</f>
        <v>4</v>
      </c>
      <c r="E954">
        <f>VLOOKUP(tblTargetMedicos[[#This Row],[codigo_id]],[1]DIM_REPRESENTANTE_MEDICO!$C:$F,3,0)</f>
        <v>9</v>
      </c>
      <c r="F954" s="27" t="s">
        <v>5796</v>
      </c>
      <c r="G954" s="27" t="s">
        <v>5784</v>
      </c>
      <c r="H954" s="27" t="s">
        <v>97</v>
      </c>
      <c r="I954">
        <v>1</v>
      </c>
    </row>
    <row r="955" spans="1:9">
      <c r="A955" t="s">
        <v>1370</v>
      </c>
      <c r="B955" s="27" t="s">
        <v>3222</v>
      </c>
      <c r="C955" s="27" t="s">
        <v>5768</v>
      </c>
      <c r="D955">
        <f>VLOOKUP(tblTargetMedicos[[#This Row],[codigo_id]],[1]DIM_REPRESENTANTE_MEDICO!$C:$F,4,0)</f>
        <v>4</v>
      </c>
      <c r="E955">
        <f>VLOOKUP(tblTargetMedicos[[#This Row],[codigo_id]],[1]DIM_REPRESENTANTE_MEDICO!$C:$F,3,0)</f>
        <v>9</v>
      </c>
      <c r="F955" s="27" t="s">
        <v>5796</v>
      </c>
      <c r="G955" s="27" t="s">
        <v>5784</v>
      </c>
      <c r="H955" s="27" t="s">
        <v>96</v>
      </c>
      <c r="I955">
        <v>1</v>
      </c>
    </row>
    <row r="956" spans="1:9">
      <c r="A956" t="s">
        <v>1371</v>
      </c>
      <c r="B956" s="27" t="s">
        <v>3222</v>
      </c>
      <c r="C956" s="27" t="s">
        <v>5768</v>
      </c>
      <c r="D956">
        <f>VLOOKUP(tblTargetMedicos[[#This Row],[codigo_id]],[1]DIM_REPRESENTANTE_MEDICO!$C:$F,4,0)</f>
        <v>4</v>
      </c>
      <c r="E956">
        <f>VLOOKUP(tblTargetMedicos[[#This Row],[codigo_id]],[1]DIM_REPRESENTANTE_MEDICO!$C:$F,3,0)</f>
        <v>9</v>
      </c>
      <c r="F956" s="27" t="s">
        <v>5796</v>
      </c>
      <c r="G956" s="27" t="s">
        <v>5784</v>
      </c>
      <c r="H956" s="27" t="s">
        <v>96</v>
      </c>
      <c r="I956">
        <v>1</v>
      </c>
    </row>
    <row r="957" spans="1:9">
      <c r="A957" t="s">
        <v>1372</v>
      </c>
      <c r="B957" s="27" t="s">
        <v>3222</v>
      </c>
      <c r="C957" s="27" t="s">
        <v>5768</v>
      </c>
      <c r="D957">
        <f>VLOOKUP(tblTargetMedicos[[#This Row],[codigo_id]],[1]DIM_REPRESENTANTE_MEDICO!$C:$F,4,0)</f>
        <v>4</v>
      </c>
      <c r="E957">
        <f>VLOOKUP(tblTargetMedicos[[#This Row],[codigo_id]],[1]DIM_REPRESENTANTE_MEDICO!$C:$F,3,0)</f>
        <v>9</v>
      </c>
      <c r="F957" s="27" t="s">
        <v>5796</v>
      </c>
      <c r="G957" s="27" t="s">
        <v>5790</v>
      </c>
      <c r="H957" s="27" t="s">
        <v>96</v>
      </c>
      <c r="I957">
        <v>1</v>
      </c>
    </row>
    <row r="958" spans="1:9">
      <c r="A958" t="s">
        <v>1373</v>
      </c>
      <c r="B958" s="27" t="s">
        <v>3222</v>
      </c>
      <c r="C958" s="27" t="s">
        <v>5768</v>
      </c>
      <c r="D958">
        <f>VLOOKUP(tblTargetMedicos[[#This Row],[codigo_id]],[1]DIM_REPRESENTANTE_MEDICO!$C:$F,4,0)</f>
        <v>4</v>
      </c>
      <c r="E958">
        <f>VLOOKUP(tblTargetMedicos[[#This Row],[codigo_id]],[1]DIM_REPRESENTANTE_MEDICO!$C:$F,3,0)</f>
        <v>9</v>
      </c>
      <c r="F958" s="27" t="s">
        <v>5796</v>
      </c>
      <c r="G958" s="27" t="s">
        <v>5779</v>
      </c>
      <c r="H958" s="27" t="s">
        <v>96</v>
      </c>
      <c r="I958">
        <v>1</v>
      </c>
    </row>
    <row r="959" spans="1:9">
      <c r="A959" t="s">
        <v>1374</v>
      </c>
      <c r="B959" s="27" t="s">
        <v>3222</v>
      </c>
      <c r="C959" s="27" t="s">
        <v>5768</v>
      </c>
      <c r="D959">
        <f>VLOOKUP(tblTargetMedicos[[#This Row],[codigo_id]],[1]DIM_REPRESENTANTE_MEDICO!$C:$F,4,0)</f>
        <v>4</v>
      </c>
      <c r="E959">
        <f>VLOOKUP(tblTargetMedicos[[#This Row],[codigo_id]],[1]DIM_REPRESENTANTE_MEDICO!$C:$F,3,0)</f>
        <v>9</v>
      </c>
      <c r="F959" s="27" t="s">
        <v>5796</v>
      </c>
      <c r="G959" s="27" t="s">
        <v>5779</v>
      </c>
      <c r="H959" s="27" t="s">
        <v>97</v>
      </c>
      <c r="I959">
        <v>1</v>
      </c>
    </row>
    <row r="960" spans="1:9">
      <c r="A960" t="s">
        <v>1375</v>
      </c>
      <c r="B960" s="27" t="s">
        <v>3222</v>
      </c>
      <c r="C960" s="27" t="s">
        <v>5768</v>
      </c>
      <c r="D960">
        <f>VLOOKUP(tblTargetMedicos[[#This Row],[codigo_id]],[1]DIM_REPRESENTANTE_MEDICO!$C:$F,4,0)</f>
        <v>4</v>
      </c>
      <c r="E960">
        <f>VLOOKUP(tblTargetMedicos[[#This Row],[codigo_id]],[1]DIM_REPRESENTANTE_MEDICO!$C:$F,3,0)</f>
        <v>9</v>
      </c>
      <c r="F960" s="27" t="s">
        <v>5796</v>
      </c>
      <c r="G960" s="27" t="s">
        <v>5783</v>
      </c>
      <c r="H960" s="27" t="s">
        <v>97</v>
      </c>
      <c r="I960">
        <v>1</v>
      </c>
    </row>
    <row r="961" spans="1:9">
      <c r="A961" t="s">
        <v>1376</v>
      </c>
      <c r="B961" s="27" t="s">
        <v>3222</v>
      </c>
      <c r="C961" s="27" t="s">
        <v>5768</v>
      </c>
      <c r="D961">
        <f>VLOOKUP(tblTargetMedicos[[#This Row],[codigo_id]],[1]DIM_REPRESENTANTE_MEDICO!$C:$F,4,0)</f>
        <v>4</v>
      </c>
      <c r="E961">
        <f>VLOOKUP(tblTargetMedicos[[#This Row],[codigo_id]],[1]DIM_REPRESENTANTE_MEDICO!$C:$F,3,0)</f>
        <v>9</v>
      </c>
      <c r="F961" s="27" t="s">
        <v>5796</v>
      </c>
      <c r="G961" s="27" t="s">
        <v>5784</v>
      </c>
      <c r="H961" s="27" t="s">
        <v>97</v>
      </c>
      <c r="I961">
        <v>1</v>
      </c>
    </row>
    <row r="962" spans="1:9">
      <c r="A962" t="s">
        <v>1377</v>
      </c>
      <c r="B962" s="27" t="s">
        <v>3222</v>
      </c>
      <c r="C962" s="27" t="s">
        <v>5768</v>
      </c>
      <c r="D962">
        <f>VLOOKUP(tblTargetMedicos[[#This Row],[codigo_id]],[1]DIM_REPRESENTANTE_MEDICO!$C:$F,4,0)</f>
        <v>4</v>
      </c>
      <c r="E962">
        <f>VLOOKUP(tblTargetMedicos[[#This Row],[codigo_id]],[1]DIM_REPRESENTANTE_MEDICO!$C:$F,3,0)</f>
        <v>9</v>
      </c>
      <c r="F962" s="27" t="s">
        <v>5796</v>
      </c>
      <c r="G962" s="27" t="s">
        <v>5788</v>
      </c>
      <c r="H962" s="27" t="s">
        <v>96</v>
      </c>
      <c r="I962">
        <v>1</v>
      </c>
    </row>
    <row r="963" spans="1:9">
      <c r="A963" t="s">
        <v>1378</v>
      </c>
      <c r="B963" s="27" t="s">
        <v>3222</v>
      </c>
      <c r="C963" s="27" t="s">
        <v>5768</v>
      </c>
      <c r="D963">
        <f>VLOOKUP(tblTargetMedicos[[#This Row],[codigo_id]],[1]DIM_REPRESENTANTE_MEDICO!$C:$F,4,0)</f>
        <v>4</v>
      </c>
      <c r="E963">
        <f>VLOOKUP(tblTargetMedicos[[#This Row],[codigo_id]],[1]DIM_REPRESENTANTE_MEDICO!$C:$F,3,0)</f>
        <v>9</v>
      </c>
      <c r="F963" s="27" t="s">
        <v>5796</v>
      </c>
      <c r="G963" s="27" t="s">
        <v>5784</v>
      </c>
      <c r="H963" s="27" t="s">
        <v>96</v>
      </c>
      <c r="I963">
        <v>1</v>
      </c>
    </row>
    <row r="964" spans="1:9">
      <c r="A964" t="s">
        <v>1379</v>
      </c>
      <c r="B964" s="27" t="s">
        <v>3222</v>
      </c>
      <c r="C964" s="27" t="s">
        <v>5768</v>
      </c>
      <c r="D964">
        <f>VLOOKUP(tblTargetMedicos[[#This Row],[codigo_id]],[1]DIM_REPRESENTANTE_MEDICO!$C:$F,4,0)</f>
        <v>4</v>
      </c>
      <c r="E964">
        <f>VLOOKUP(tblTargetMedicos[[#This Row],[codigo_id]],[1]DIM_REPRESENTANTE_MEDICO!$C:$F,3,0)</f>
        <v>9</v>
      </c>
      <c r="F964" s="27" t="s">
        <v>5796</v>
      </c>
      <c r="G964" s="27" t="s">
        <v>5786</v>
      </c>
      <c r="H964" s="27" t="s">
        <v>96</v>
      </c>
      <c r="I964">
        <v>1</v>
      </c>
    </row>
    <row r="965" spans="1:9">
      <c r="A965" t="s">
        <v>1380</v>
      </c>
      <c r="B965" s="27" t="s">
        <v>3222</v>
      </c>
      <c r="C965" s="27" t="s">
        <v>5768</v>
      </c>
      <c r="D965">
        <f>VLOOKUP(tblTargetMedicos[[#This Row],[codigo_id]],[1]DIM_REPRESENTANTE_MEDICO!$C:$F,4,0)</f>
        <v>4</v>
      </c>
      <c r="E965">
        <f>VLOOKUP(tblTargetMedicos[[#This Row],[codigo_id]],[1]DIM_REPRESENTANTE_MEDICO!$C:$F,3,0)</f>
        <v>9</v>
      </c>
      <c r="F965" s="27" t="s">
        <v>5796</v>
      </c>
      <c r="G965" s="27" t="s">
        <v>5786</v>
      </c>
      <c r="H965" s="27" t="s">
        <v>96</v>
      </c>
      <c r="I965">
        <v>1</v>
      </c>
    </row>
    <row r="966" spans="1:9">
      <c r="A966" t="s">
        <v>1381</v>
      </c>
      <c r="B966" s="27" t="s">
        <v>3222</v>
      </c>
      <c r="C966" s="27" t="s">
        <v>5768</v>
      </c>
      <c r="D966">
        <f>VLOOKUP(tblTargetMedicos[[#This Row],[codigo_id]],[1]DIM_REPRESENTANTE_MEDICO!$C:$F,4,0)</f>
        <v>4</v>
      </c>
      <c r="E966">
        <f>VLOOKUP(tblTargetMedicos[[#This Row],[codigo_id]],[1]DIM_REPRESENTANTE_MEDICO!$C:$F,3,0)</f>
        <v>9</v>
      </c>
      <c r="F966" s="27" t="s">
        <v>5796</v>
      </c>
      <c r="G966" s="27" t="s">
        <v>5783</v>
      </c>
      <c r="H966" s="27" t="s">
        <v>96</v>
      </c>
      <c r="I966">
        <v>1</v>
      </c>
    </row>
    <row r="967" spans="1:9">
      <c r="A967" t="s">
        <v>1382</v>
      </c>
      <c r="B967" s="27" t="s">
        <v>3222</v>
      </c>
      <c r="C967" s="27" t="s">
        <v>5768</v>
      </c>
      <c r="D967">
        <f>VLOOKUP(tblTargetMedicos[[#This Row],[codigo_id]],[1]DIM_REPRESENTANTE_MEDICO!$C:$F,4,0)</f>
        <v>4</v>
      </c>
      <c r="E967">
        <f>VLOOKUP(tblTargetMedicos[[#This Row],[codigo_id]],[1]DIM_REPRESENTANTE_MEDICO!$C:$F,3,0)</f>
        <v>9</v>
      </c>
      <c r="F967" s="27" t="s">
        <v>5796</v>
      </c>
      <c r="G967" s="27" t="s">
        <v>5783</v>
      </c>
      <c r="H967" s="27" t="s">
        <v>96</v>
      </c>
      <c r="I967">
        <v>1</v>
      </c>
    </row>
    <row r="968" spans="1:9">
      <c r="A968" t="s">
        <v>1383</v>
      </c>
      <c r="B968" s="27" t="s">
        <v>3222</v>
      </c>
      <c r="C968" s="27" t="s">
        <v>5768</v>
      </c>
      <c r="D968">
        <f>VLOOKUP(tblTargetMedicos[[#This Row],[codigo_id]],[1]DIM_REPRESENTANTE_MEDICO!$C:$F,4,0)</f>
        <v>4</v>
      </c>
      <c r="E968">
        <f>VLOOKUP(tblTargetMedicos[[#This Row],[codigo_id]],[1]DIM_REPRESENTANTE_MEDICO!$C:$F,3,0)</f>
        <v>9</v>
      </c>
      <c r="F968" s="27" t="s">
        <v>5796</v>
      </c>
      <c r="G968" s="27" t="s">
        <v>5782</v>
      </c>
      <c r="H968" s="27" t="s">
        <v>97</v>
      </c>
      <c r="I968">
        <v>1</v>
      </c>
    </row>
    <row r="969" spans="1:9">
      <c r="A969" t="s">
        <v>1384</v>
      </c>
      <c r="B969" s="27" t="s">
        <v>3222</v>
      </c>
      <c r="C969" s="27" t="s">
        <v>5768</v>
      </c>
      <c r="D969">
        <f>VLOOKUP(tblTargetMedicos[[#This Row],[codigo_id]],[1]DIM_REPRESENTANTE_MEDICO!$C:$F,4,0)</f>
        <v>4</v>
      </c>
      <c r="E969">
        <f>VLOOKUP(tblTargetMedicos[[#This Row],[codigo_id]],[1]DIM_REPRESENTANTE_MEDICO!$C:$F,3,0)</f>
        <v>9</v>
      </c>
      <c r="F969" s="27" t="s">
        <v>5796</v>
      </c>
      <c r="G969" s="27" t="s">
        <v>5784</v>
      </c>
      <c r="H969" s="27" t="s">
        <v>96</v>
      </c>
      <c r="I969">
        <v>1</v>
      </c>
    </row>
    <row r="970" spans="1:9">
      <c r="A970" t="s">
        <v>1385</v>
      </c>
      <c r="B970" s="27" t="s">
        <v>3222</v>
      </c>
      <c r="C970" s="27" t="s">
        <v>5768</v>
      </c>
      <c r="D970">
        <f>VLOOKUP(tblTargetMedicos[[#This Row],[codigo_id]],[1]DIM_REPRESENTANTE_MEDICO!$C:$F,4,0)</f>
        <v>4</v>
      </c>
      <c r="E970">
        <f>VLOOKUP(tblTargetMedicos[[#This Row],[codigo_id]],[1]DIM_REPRESENTANTE_MEDICO!$C:$F,3,0)</f>
        <v>9</v>
      </c>
      <c r="F970" s="27" t="s">
        <v>5796</v>
      </c>
      <c r="G970" s="27" t="s">
        <v>5785</v>
      </c>
      <c r="H970" s="27" t="s">
        <v>97</v>
      </c>
      <c r="I970">
        <v>1</v>
      </c>
    </row>
    <row r="971" spans="1:9">
      <c r="A971" t="s">
        <v>1386</v>
      </c>
      <c r="B971" s="27" t="s">
        <v>3222</v>
      </c>
      <c r="C971" s="27" t="s">
        <v>5768</v>
      </c>
      <c r="D971">
        <f>VLOOKUP(tblTargetMedicos[[#This Row],[codigo_id]],[1]DIM_REPRESENTANTE_MEDICO!$C:$F,4,0)</f>
        <v>4</v>
      </c>
      <c r="E971">
        <f>VLOOKUP(tblTargetMedicos[[#This Row],[codigo_id]],[1]DIM_REPRESENTANTE_MEDICO!$C:$F,3,0)</f>
        <v>9</v>
      </c>
      <c r="F971" s="27" t="s">
        <v>5796</v>
      </c>
      <c r="G971" s="27" t="s">
        <v>5781</v>
      </c>
      <c r="H971" s="27" t="s">
        <v>97</v>
      </c>
      <c r="I971">
        <v>1</v>
      </c>
    </row>
    <row r="972" spans="1:9">
      <c r="A972" t="s">
        <v>1387</v>
      </c>
      <c r="B972" s="27" t="s">
        <v>3222</v>
      </c>
      <c r="C972" s="27" t="s">
        <v>5768</v>
      </c>
      <c r="D972">
        <f>VLOOKUP(tblTargetMedicos[[#This Row],[codigo_id]],[1]DIM_REPRESENTANTE_MEDICO!$C:$F,4,0)</f>
        <v>4</v>
      </c>
      <c r="E972">
        <f>VLOOKUP(tblTargetMedicos[[#This Row],[codigo_id]],[1]DIM_REPRESENTANTE_MEDICO!$C:$F,3,0)</f>
        <v>9</v>
      </c>
      <c r="F972" s="27" t="s">
        <v>5796</v>
      </c>
      <c r="G972" s="27" t="s">
        <v>5783</v>
      </c>
      <c r="H972" s="27" t="s">
        <v>96</v>
      </c>
      <c r="I972">
        <v>1</v>
      </c>
    </row>
    <row r="973" spans="1:9">
      <c r="A973" t="s">
        <v>1388</v>
      </c>
      <c r="B973" s="27" t="s">
        <v>3222</v>
      </c>
      <c r="C973" s="27" t="s">
        <v>5768</v>
      </c>
      <c r="D973">
        <f>VLOOKUP(tblTargetMedicos[[#This Row],[codigo_id]],[1]DIM_REPRESENTANTE_MEDICO!$C:$F,4,0)</f>
        <v>4</v>
      </c>
      <c r="E973">
        <f>VLOOKUP(tblTargetMedicos[[#This Row],[codigo_id]],[1]DIM_REPRESENTANTE_MEDICO!$C:$F,3,0)</f>
        <v>9</v>
      </c>
      <c r="F973" s="27" t="s">
        <v>5796</v>
      </c>
      <c r="G973" s="27" t="s">
        <v>5779</v>
      </c>
      <c r="H973" s="27" t="s">
        <v>96</v>
      </c>
      <c r="I973">
        <v>1</v>
      </c>
    </row>
    <row r="974" spans="1:9">
      <c r="A974" t="s">
        <v>1389</v>
      </c>
      <c r="B974" s="27" t="s">
        <v>3222</v>
      </c>
      <c r="C974" s="27" t="s">
        <v>5768</v>
      </c>
      <c r="D974">
        <f>VLOOKUP(tblTargetMedicos[[#This Row],[codigo_id]],[1]DIM_REPRESENTANTE_MEDICO!$C:$F,4,0)</f>
        <v>4</v>
      </c>
      <c r="E974">
        <f>VLOOKUP(tblTargetMedicos[[#This Row],[codigo_id]],[1]DIM_REPRESENTANTE_MEDICO!$C:$F,3,0)</f>
        <v>9</v>
      </c>
      <c r="F974" s="27" t="s">
        <v>5796</v>
      </c>
      <c r="G974" s="27" t="s">
        <v>5785</v>
      </c>
      <c r="H974" s="27" t="s">
        <v>96</v>
      </c>
      <c r="I974">
        <v>1</v>
      </c>
    </row>
    <row r="975" spans="1:9">
      <c r="A975" t="s">
        <v>1390</v>
      </c>
      <c r="B975" s="27" t="s">
        <v>3222</v>
      </c>
      <c r="C975" s="27" t="s">
        <v>5768</v>
      </c>
      <c r="D975">
        <f>VLOOKUP(tblTargetMedicos[[#This Row],[codigo_id]],[1]DIM_REPRESENTANTE_MEDICO!$C:$F,4,0)</f>
        <v>4</v>
      </c>
      <c r="E975">
        <f>VLOOKUP(tblTargetMedicos[[#This Row],[codigo_id]],[1]DIM_REPRESENTANTE_MEDICO!$C:$F,3,0)</f>
        <v>9</v>
      </c>
      <c r="F975" s="27" t="s">
        <v>5796</v>
      </c>
      <c r="G975" s="27" t="s">
        <v>5779</v>
      </c>
      <c r="H975" s="27" t="s">
        <v>97</v>
      </c>
      <c r="I975">
        <v>1</v>
      </c>
    </row>
    <row r="976" spans="1:9">
      <c r="A976" t="s">
        <v>1391</v>
      </c>
      <c r="B976" s="27" t="s">
        <v>3222</v>
      </c>
      <c r="C976" s="27" t="s">
        <v>5768</v>
      </c>
      <c r="D976">
        <f>VLOOKUP(tblTargetMedicos[[#This Row],[codigo_id]],[1]DIM_REPRESENTANTE_MEDICO!$C:$F,4,0)</f>
        <v>4</v>
      </c>
      <c r="E976">
        <f>VLOOKUP(tblTargetMedicos[[#This Row],[codigo_id]],[1]DIM_REPRESENTANTE_MEDICO!$C:$F,3,0)</f>
        <v>9</v>
      </c>
      <c r="F976" s="27" t="s">
        <v>5796</v>
      </c>
      <c r="G976" s="27" t="s">
        <v>5782</v>
      </c>
      <c r="H976" s="27" t="s">
        <v>97</v>
      </c>
      <c r="I976">
        <v>1</v>
      </c>
    </row>
    <row r="977" spans="1:9">
      <c r="A977" t="s">
        <v>1392</v>
      </c>
      <c r="B977" s="27" t="s">
        <v>3222</v>
      </c>
      <c r="C977" s="27" t="s">
        <v>5768</v>
      </c>
      <c r="D977">
        <f>VLOOKUP(tblTargetMedicos[[#This Row],[codigo_id]],[1]DIM_REPRESENTANTE_MEDICO!$C:$F,4,0)</f>
        <v>4</v>
      </c>
      <c r="E977">
        <f>VLOOKUP(tblTargetMedicos[[#This Row],[codigo_id]],[1]DIM_REPRESENTANTE_MEDICO!$C:$F,3,0)</f>
        <v>9</v>
      </c>
      <c r="F977" s="27" t="s">
        <v>5796</v>
      </c>
      <c r="G977" s="27" t="s">
        <v>5784</v>
      </c>
      <c r="H977" s="27" t="s">
        <v>96</v>
      </c>
      <c r="I977">
        <v>1</v>
      </c>
    </row>
    <row r="978" spans="1:9">
      <c r="A978" t="s">
        <v>1393</v>
      </c>
      <c r="B978" s="27" t="s">
        <v>3222</v>
      </c>
      <c r="C978" s="27" t="s">
        <v>5768</v>
      </c>
      <c r="D978">
        <f>VLOOKUP(tblTargetMedicos[[#This Row],[codigo_id]],[1]DIM_REPRESENTANTE_MEDICO!$C:$F,4,0)</f>
        <v>4</v>
      </c>
      <c r="E978">
        <f>VLOOKUP(tblTargetMedicos[[#This Row],[codigo_id]],[1]DIM_REPRESENTANTE_MEDICO!$C:$F,3,0)</f>
        <v>9</v>
      </c>
      <c r="F978" s="27" t="s">
        <v>5796</v>
      </c>
      <c r="G978" s="27" t="s">
        <v>5783</v>
      </c>
      <c r="H978" s="27" t="s">
        <v>97</v>
      </c>
      <c r="I978">
        <v>1</v>
      </c>
    </row>
    <row r="979" spans="1:9">
      <c r="A979" t="s">
        <v>1394</v>
      </c>
      <c r="B979" s="27" t="s">
        <v>3222</v>
      </c>
      <c r="C979" s="27" t="s">
        <v>5768</v>
      </c>
      <c r="D979">
        <f>VLOOKUP(tblTargetMedicos[[#This Row],[codigo_id]],[1]DIM_REPRESENTANTE_MEDICO!$C:$F,4,0)</f>
        <v>4</v>
      </c>
      <c r="E979">
        <f>VLOOKUP(tblTargetMedicos[[#This Row],[codigo_id]],[1]DIM_REPRESENTANTE_MEDICO!$C:$F,3,0)</f>
        <v>9</v>
      </c>
      <c r="F979" s="27" t="s">
        <v>5796</v>
      </c>
      <c r="G979" s="27" t="s">
        <v>5786</v>
      </c>
      <c r="H979" s="27" t="s">
        <v>96</v>
      </c>
      <c r="I979">
        <v>1</v>
      </c>
    </row>
    <row r="980" spans="1:9">
      <c r="A980" t="s">
        <v>1395</v>
      </c>
      <c r="B980" s="27" t="s">
        <v>3222</v>
      </c>
      <c r="C980" s="27" t="s">
        <v>5768</v>
      </c>
      <c r="D980">
        <f>VLOOKUP(tblTargetMedicos[[#This Row],[codigo_id]],[1]DIM_REPRESENTANTE_MEDICO!$C:$F,4,0)</f>
        <v>4</v>
      </c>
      <c r="E980">
        <f>VLOOKUP(tblTargetMedicos[[#This Row],[codigo_id]],[1]DIM_REPRESENTANTE_MEDICO!$C:$F,3,0)</f>
        <v>9</v>
      </c>
      <c r="F980" s="27" t="s">
        <v>5796</v>
      </c>
      <c r="G980" s="27" t="s">
        <v>5781</v>
      </c>
      <c r="H980" s="27" t="s">
        <v>96</v>
      </c>
      <c r="I980">
        <v>1</v>
      </c>
    </row>
    <row r="981" spans="1:9">
      <c r="A981" t="s">
        <v>1396</v>
      </c>
      <c r="B981" s="27" t="s">
        <v>3222</v>
      </c>
      <c r="C981" s="27" t="s">
        <v>5768</v>
      </c>
      <c r="D981">
        <f>VLOOKUP(tblTargetMedicos[[#This Row],[codigo_id]],[1]DIM_REPRESENTANTE_MEDICO!$C:$F,4,0)</f>
        <v>4</v>
      </c>
      <c r="E981">
        <f>VLOOKUP(tblTargetMedicos[[#This Row],[codigo_id]],[1]DIM_REPRESENTANTE_MEDICO!$C:$F,3,0)</f>
        <v>9</v>
      </c>
      <c r="F981" s="27" t="s">
        <v>5796</v>
      </c>
      <c r="G981" s="27" t="s">
        <v>5785</v>
      </c>
      <c r="H981" s="27" t="s">
        <v>97</v>
      </c>
      <c r="I981">
        <v>1</v>
      </c>
    </row>
    <row r="982" spans="1:9">
      <c r="A982" t="s">
        <v>1397</v>
      </c>
      <c r="B982" s="27" t="s">
        <v>3222</v>
      </c>
      <c r="C982" s="27" t="s">
        <v>5768</v>
      </c>
      <c r="D982">
        <f>VLOOKUP(tblTargetMedicos[[#This Row],[codigo_id]],[1]DIM_REPRESENTANTE_MEDICO!$C:$F,4,0)</f>
        <v>4</v>
      </c>
      <c r="E982">
        <f>VLOOKUP(tblTargetMedicos[[#This Row],[codigo_id]],[1]DIM_REPRESENTANTE_MEDICO!$C:$F,3,0)</f>
        <v>9</v>
      </c>
      <c r="F982" s="27" t="s">
        <v>5796</v>
      </c>
      <c r="G982" s="27" t="s">
        <v>5785</v>
      </c>
      <c r="H982" s="27" t="s">
        <v>96</v>
      </c>
      <c r="I982">
        <v>1</v>
      </c>
    </row>
    <row r="983" spans="1:9">
      <c r="A983" t="s">
        <v>1398</v>
      </c>
      <c r="B983" s="27" t="s">
        <v>3222</v>
      </c>
      <c r="C983" s="27" t="s">
        <v>5768</v>
      </c>
      <c r="D983">
        <f>VLOOKUP(tblTargetMedicos[[#This Row],[codigo_id]],[1]DIM_REPRESENTANTE_MEDICO!$C:$F,4,0)</f>
        <v>4</v>
      </c>
      <c r="E983">
        <f>VLOOKUP(tblTargetMedicos[[#This Row],[codigo_id]],[1]DIM_REPRESENTANTE_MEDICO!$C:$F,3,0)</f>
        <v>9</v>
      </c>
      <c r="F983" s="27" t="s">
        <v>5796</v>
      </c>
      <c r="G983" s="27" t="s">
        <v>5785</v>
      </c>
      <c r="H983" s="27" t="s">
        <v>97</v>
      </c>
      <c r="I983">
        <v>1</v>
      </c>
    </row>
    <row r="984" spans="1:9">
      <c r="A984" t="s">
        <v>1399</v>
      </c>
      <c r="B984" s="27" t="s">
        <v>3222</v>
      </c>
      <c r="C984" s="27" t="s">
        <v>5768</v>
      </c>
      <c r="D984">
        <f>VLOOKUP(tblTargetMedicos[[#This Row],[codigo_id]],[1]DIM_REPRESENTANTE_MEDICO!$C:$F,4,0)</f>
        <v>4</v>
      </c>
      <c r="E984">
        <f>VLOOKUP(tblTargetMedicos[[#This Row],[codigo_id]],[1]DIM_REPRESENTANTE_MEDICO!$C:$F,3,0)</f>
        <v>9</v>
      </c>
      <c r="F984" s="27" t="s">
        <v>5796</v>
      </c>
      <c r="G984" s="27" t="s">
        <v>5784</v>
      </c>
      <c r="H984" s="27" t="s">
        <v>96</v>
      </c>
      <c r="I984">
        <v>1</v>
      </c>
    </row>
    <row r="985" spans="1:9">
      <c r="A985" t="s">
        <v>1400</v>
      </c>
      <c r="B985" s="27" t="s">
        <v>3222</v>
      </c>
      <c r="C985" s="27" t="s">
        <v>5768</v>
      </c>
      <c r="D985">
        <f>VLOOKUP(tblTargetMedicos[[#This Row],[codigo_id]],[1]DIM_REPRESENTANTE_MEDICO!$C:$F,4,0)</f>
        <v>4</v>
      </c>
      <c r="E985">
        <f>VLOOKUP(tblTargetMedicos[[#This Row],[codigo_id]],[1]DIM_REPRESENTANTE_MEDICO!$C:$F,3,0)</f>
        <v>9</v>
      </c>
      <c r="F985" s="27" t="s">
        <v>5796</v>
      </c>
      <c r="G985" s="27" t="s">
        <v>5783</v>
      </c>
      <c r="H985" s="27" t="s">
        <v>96</v>
      </c>
      <c r="I985">
        <v>1</v>
      </c>
    </row>
    <row r="986" spans="1:9">
      <c r="A986" t="s">
        <v>1401</v>
      </c>
      <c r="B986" s="27" t="s">
        <v>3222</v>
      </c>
      <c r="C986" s="27" t="s">
        <v>5768</v>
      </c>
      <c r="D986">
        <f>VLOOKUP(tblTargetMedicos[[#This Row],[codigo_id]],[1]DIM_REPRESENTANTE_MEDICO!$C:$F,4,0)</f>
        <v>4</v>
      </c>
      <c r="E986">
        <f>VLOOKUP(tblTargetMedicos[[#This Row],[codigo_id]],[1]DIM_REPRESENTANTE_MEDICO!$C:$F,3,0)</f>
        <v>9</v>
      </c>
      <c r="F986" s="27" t="s">
        <v>5796</v>
      </c>
      <c r="G986" s="27" t="s">
        <v>5784</v>
      </c>
      <c r="H986" s="27" t="s">
        <v>96</v>
      </c>
      <c r="I986">
        <v>1</v>
      </c>
    </row>
    <row r="987" spans="1:9">
      <c r="A987" t="s">
        <v>1402</v>
      </c>
      <c r="B987" s="27" t="s">
        <v>3222</v>
      </c>
      <c r="C987" s="27" t="s">
        <v>5768</v>
      </c>
      <c r="D987">
        <f>VLOOKUP(tblTargetMedicos[[#This Row],[codigo_id]],[1]DIM_REPRESENTANTE_MEDICO!$C:$F,4,0)</f>
        <v>4</v>
      </c>
      <c r="E987">
        <f>VLOOKUP(tblTargetMedicos[[#This Row],[codigo_id]],[1]DIM_REPRESENTANTE_MEDICO!$C:$F,3,0)</f>
        <v>9</v>
      </c>
      <c r="F987" s="27" t="s">
        <v>5796</v>
      </c>
      <c r="G987" s="27" t="s">
        <v>5780</v>
      </c>
      <c r="H987" s="27" t="s">
        <v>97</v>
      </c>
      <c r="I987">
        <v>1</v>
      </c>
    </row>
    <row r="988" spans="1:9">
      <c r="A988" t="s">
        <v>1403</v>
      </c>
      <c r="B988" s="27" t="s">
        <v>3222</v>
      </c>
      <c r="C988" s="27" t="s">
        <v>5768</v>
      </c>
      <c r="D988">
        <f>VLOOKUP(tblTargetMedicos[[#This Row],[codigo_id]],[1]DIM_REPRESENTANTE_MEDICO!$C:$F,4,0)</f>
        <v>4</v>
      </c>
      <c r="E988">
        <f>VLOOKUP(tblTargetMedicos[[#This Row],[codigo_id]],[1]DIM_REPRESENTANTE_MEDICO!$C:$F,3,0)</f>
        <v>9</v>
      </c>
      <c r="F988" s="27" t="s">
        <v>5796</v>
      </c>
      <c r="G988" s="27" t="s">
        <v>5782</v>
      </c>
      <c r="H988" s="27" t="s">
        <v>97</v>
      </c>
      <c r="I988">
        <v>1</v>
      </c>
    </row>
    <row r="989" spans="1:9">
      <c r="A989" t="s">
        <v>1404</v>
      </c>
      <c r="B989" s="27" t="s">
        <v>3222</v>
      </c>
      <c r="C989" s="27" t="s">
        <v>5768</v>
      </c>
      <c r="D989">
        <f>VLOOKUP(tblTargetMedicos[[#This Row],[codigo_id]],[1]DIM_REPRESENTANTE_MEDICO!$C:$F,4,0)</f>
        <v>4</v>
      </c>
      <c r="E989">
        <f>VLOOKUP(tblTargetMedicos[[#This Row],[codigo_id]],[1]DIM_REPRESENTANTE_MEDICO!$C:$F,3,0)</f>
        <v>9</v>
      </c>
      <c r="F989" s="27" t="s">
        <v>5796</v>
      </c>
      <c r="G989" s="27" t="s">
        <v>5784</v>
      </c>
      <c r="H989" s="27" t="s">
        <v>97</v>
      </c>
      <c r="I989">
        <v>1</v>
      </c>
    </row>
    <row r="990" spans="1:9">
      <c r="A990" t="s">
        <v>1405</v>
      </c>
      <c r="B990" s="27" t="s">
        <v>3222</v>
      </c>
      <c r="C990" s="27" t="s">
        <v>5768</v>
      </c>
      <c r="D990">
        <f>VLOOKUP(tblTargetMedicos[[#This Row],[codigo_id]],[1]DIM_REPRESENTANTE_MEDICO!$C:$F,4,0)</f>
        <v>4</v>
      </c>
      <c r="E990">
        <f>VLOOKUP(tblTargetMedicos[[#This Row],[codigo_id]],[1]DIM_REPRESENTANTE_MEDICO!$C:$F,3,0)</f>
        <v>9</v>
      </c>
      <c r="F990" s="27" t="s">
        <v>5796</v>
      </c>
      <c r="G990" s="27" t="s">
        <v>5784</v>
      </c>
      <c r="H990" s="27" t="s">
        <v>96</v>
      </c>
      <c r="I990">
        <v>1</v>
      </c>
    </row>
    <row r="991" spans="1:9">
      <c r="A991" t="s">
        <v>1406</v>
      </c>
      <c r="B991" s="27" t="s">
        <v>3222</v>
      </c>
      <c r="C991" s="27" t="s">
        <v>5768</v>
      </c>
      <c r="D991">
        <f>VLOOKUP(tblTargetMedicos[[#This Row],[codigo_id]],[1]DIM_REPRESENTANTE_MEDICO!$C:$F,4,0)</f>
        <v>4</v>
      </c>
      <c r="E991">
        <f>VLOOKUP(tblTargetMedicos[[#This Row],[codigo_id]],[1]DIM_REPRESENTANTE_MEDICO!$C:$F,3,0)</f>
        <v>9</v>
      </c>
      <c r="F991" s="27" t="s">
        <v>5796</v>
      </c>
      <c r="G991" s="27" t="s">
        <v>5779</v>
      </c>
      <c r="H991" s="27" t="s">
        <v>97</v>
      </c>
      <c r="I991">
        <v>1</v>
      </c>
    </row>
    <row r="992" spans="1:9">
      <c r="A992" t="s">
        <v>1407</v>
      </c>
      <c r="B992" s="27" t="s">
        <v>3222</v>
      </c>
      <c r="C992" s="27" t="s">
        <v>5768</v>
      </c>
      <c r="D992">
        <f>VLOOKUP(tblTargetMedicos[[#This Row],[codigo_id]],[1]DIM_REPRESENTANTE_MEDICO!$C:$F,4,0)</f>
        <v>4</v>
      </c>
      <c r="E992">
        <f>VLOOKUP(tblTargetMedicos[[#This Row],[codigo_id]],[1]DIM_REPRESENTANTE_MEDICO!$C:$F,3,0)</f>
        <v>9</v>
      </c>
      <c r="F992" s="27" t="s">
        <v>5796</v>
      </c>
      <c r="G992" s="27" t="s">
        <v>5783</v>
      </c>
      <c r="H992" s="27" t="s">
        <v>96</v>
      </c>
      <c r="I992">
        <v>1</v>
      </c>
    </row>
    <row r="993" spans="1:9">
      <c r="A993" t="s">
        <v>1408</v>
      </c>
      <c r="B993" s="27" t="s">
        <v>3222</v>
      </c>
      <c r="C993" s="27" t="s">
        <v>5768</v>
      </c>
      <c r="D993">
        <f>VLOOKUP(tblTargetMedicos[[#This Row],[codigo_id]],[1]DIM_REPRESENTANTE_MEDICO!$C:$F,4,0)</f>
        <v>4</v>
      </c>
      <c r="E993">
        <f>VLOOKUP(tblTargetMedicos[[#This Row],[codigo_id]],[1]DIM_REPRESENTANTE_MEDICO!$C:$F,3,0)</f>
        <v>9</v>
      </c>
      <c r="F993" s="27" t="s">
        <v>5796</v>
      </c>
      <c r="G993" s="27" t="s">
        <v>5782</v>
      </c>
      <c r="H993" s="27" t="s">
        <v>97</v>
      </c>
      <c r="I993">
        <v>1</v>
      </c>
    </row>
    <row r="994" spans="1:9">
      <c r="A994" t="s">
        <v>1409</v>
      </c>
      <c r="B994" s="27" t="s">
        <v>3222</v>
      </c>
      <c r="C994" s="27" t="s">
        <v>5768</v>
      </c>
      <c r="D994">
        <f>VLOOKUP(tblTargetMedicos[[#This Row],[codigo_id]],[1]DIM_REPRESENTANTE_MEDICO!$C:$F,4,0)</f>
        <v>4</v>
      </c>
      <c r="E994">
        <f>VLOOKUP(tblTargetMedicos[[#This Row],[codigo_id]],[1]DIM_REPRESENTANTE_MEDICO!$C:$F,3,0)</f>
        <v>9</v>
      </c>
      <c r="F994" s="27" t="s">
        <v>5796</v>
      </c>
      <c r="G994" s="27" t="s">
        <v>5784</v>
      </c>
      <c r="H994" s="27" t="s">
        <v>96</v>
      </c>
      <c r="I994">
        <v>1</v>
      </c>
    </row>
    <row r="995" spans="1:9">
      <c r="A995" t="s">
        <v>1410</v>
      </c>
      <c r="B995" s="27" t="s">
        <v>3222</v>
      </c>
      <c r="C995" s="27" t="s">
        <v>5768</v>
      </c>
      <c r="D995">
        <f>VLOOKUP(tblTargetMedicos[[#This Row],[codigo_id]],[1]DIM_REPRESENTANTE_MEDICO!$C:$F,4,0)</f>
        <v>4</v>
      </c>
      <c r="E995">
        <f>VLOOKUP(tblTargetMedicos[[#This Row],[codigo_id]],[1]DIM_REPRESENTANTE_MEDICO!$C:$F,3,0)</f>
        <v>9</v>
      </c>
      <c r="F995" s="27" t="s">
        <v>5796</v>
      </c>
      <c r="G995" s="27" t="s">
        <v>5786</v>
      </c>
      <c r="H995" s="27" t="s">
        <v>97</v>
      </c>
      <c r="I995">
        <v>1</v>
      </c>
    </row>
    <row r="996" spans="1:9">
      <c r="A996" t="s">
        <v>1411</v>
      </c>
      <c r="B996" s="27" t="s">
        <v>3222</v>
      </c>
      <c r="C996" s="27" t="s">
        <v>5768</v>
      </c>
      <c r="D996">
        <f>VLOOKUP(tblTargetMedicos[[#This Row],[codigo_id]],[1]DIM_REPRESENTANTE_MEDICO!$C:$F,4,0)</f>
        <v>4</v>
      </c>
      <c r="E996">
        <f>VLOOKUP(tblTargetMedicos[[#This Row],[codigo_id]],[1]DIM_REPRESENTANTE_MEDICO!$C:$F,3,0)</f>
        <v>9</v>
      </c>
      <c r="F996" s="27" t="s">
        <v>5796</v>
      </c>
      <c r="G996" s="27" t="s">
        <v>5784</v>
      </c>
      <c r="H996" s="27" t="s">
        <v>95</v>
      </c>
      <c r="I996">
        <v>1</v>
      </c>
    </row>
    <row r="997" spans="1:9">
      <c r="A997" t="s">
        <v>1412</v>
      </c>
      <c r="B997" s="27" t="s">
        <v>3222</v>
      </c>
      <c r="C997" s="27" t="s">
        <v>5768</v>
      </c>
      <c r="D997">
        <f>VLOOKUP(tblTargetMedicos[[#This Row],[codigo_id]],[1]DIM_REPRESENTANTE_MEDICO!$C:$F,4,0)</f>
        <v>4</v>
      </c>
      <c r="E997">
        <f>VLOOKUP(tblTargetMedicos[[#This Row],[codigo_id]],[1]DIM_REPRESENTANTE_MEDICO!$C:$F,3,0)</f>
        <v>9</v>
      </c>
      <c r="F997" s="27" t="s">
        <v>5796</v>
      </c>
      <c r="G997" s="27" t="s">
        <v>5784</v>
      </c>
      <c r="H997" s="27" t="s">
        <v>96</v>
      </c>
      <c r="I997">
        <v>1</v>
      </c>
    </row>
    <row r="998" spans="1:9">
      <c r="A998" t="s">
        <v>1413</v>
      </c>
      <c r="B998" s="27" t="s">
        <v>3222</v>
      </c>
      <c r="C998" s="27" t="s">
        <v>5768</v>
      </c>
      <c r="D998">
        <f>VLOOKUP(tblTargetMedicos[[#This Row],[codigo_id]],[1]DIM_REPRESENTANTE_MEDICO!$C:$F,4,0)</f>
        <v>4</v>
      </c>
      <c r="E998">
        <f>VLOOKUP(tblTargetMedicos[[#This Row],[codigo_id]],[1]DIM_REPRESENTANTE_MEDICO!$C:$F,3,0)</f>
        <v>9</v>
      </c>
      <c r="F998" s="27" t="s">
        <v>5796</v>
      </c>
      <c r="G998" s="27" t="s">
        <v>5786</v>
      </c>
      <c r="H998" s="27" t="s">
        <v>97</v>
      </c>
      <c r="I998">
        <v>1</v>
      </c>
    </row>
    <row r="999" spans="1:9">
      <c r="A999" t="s">
        <v>1414</v>
      </c>
      <c r="B999" s="27" t="s">
        <v>3222</v>
      </c>
      <c r="C999" s="27" t="s">
        <v>5768</v>
      </c>
      <c r="D999">
        <f>VLOOKUP(tblTargetMedicos[[#This Row],[codigo_id]],[1]DIM_REPRESENTANTE_MEDICO!$C:$F,4,0)</f>
        <v>4</v>
      </c>
      <c r="E999">
        <f>VLOOKUP(tblTargetMedicos[[#This Row],[codigo_id]],[1]DIM_REPRESENTANTE_MEDICO!$C:$F,3,0)</f>
        <v>9</v>
      </c>
      <c r="F999" s="27" t="s">
        <v>5796</v>
      </c>
      <c r="G999" s="27" t="s">
        <v>5781</v>
      </c>
      <c r="H999" s="27" t="s">
        <v>97</v>
      </c>
      <c r="I999">
        <v>1</v>
      </c>
    </row>
    <row r="1000" spans="1:9">
      <c r="A1000" t="s">
        <v>1415</v>
      </c>
      <c r="B1000" s="27" t="s">
        <v>3222</v>
      </c>
      <c r="C1000" s="27" t="s">
        <v>5768</v>
      </c>
      <c r="D1000">
        <f>VLOOKUP(tblTargetMedicos[[#This Row],[codigo_id]],[1]DIM_REPRESENTANTE_MEDICO!$C:$F,4,0)</f>
        <v>4</v>
      </c>
      <c r="E1000">
        <f>VLOOKUP(tblTargetMedicos[[#This Row],[codigo_id]],[1]DIM_REPRESENTANTE_MEDICO!$C:$F,3,0)</f>
        <v>9</v>
      </c>
      <c r="F1000" s="27" t="s">
        <v>5796</v>
      </c>
      <c r="G1000" s="27" t="s">
        <v>5785</v>
      </c>
      <c r="H1000" s="27" t="s">
        <v>97</v>
      </c>
      <c r="I1000">
        <v>1</v>
      </c>
    </row>
    <row r="1001" spans="1:9">
      <c r="A1001" t="s">
        <v>1416</v>
      </c>
      <c r="B1001" s="27" t="s">
        <v>3222</v>
      </c>
      <c r="C1001" s="27" t="s">
        <v>5768</v>
      </c>
      <c r="D1001">
        <f>VLOOKUP(tblTargetMedicos[[#This Row],[codigo_id]],[1]DIM_REPRESENTANTE_MEDICO!$C:$F,4,0)</f>
        <v>4</v>
      </c>
      <c r="E1001">
        <f>VLOOKUP(tblTargetMedicos[[#This Row],[codigo_id]],[1]DIM_REPRESENTANTE_MEDICO!$C:$F,3,0)</f>
        <v>9</v>
      </c>
      <c r="F1001" s="27" t="s">
        <v>5796</v>
      </c>
      <c r="G1001" s="27" t="s">
        <v>5785</v>
      </c>
      <c r="H1001" s="27" t="s">
        <v>96</v>
      </c>
      <c r="I1001">
        <v>1</v>
      </c>
    </row>
    <row r="1002" spans="1:9">
      <c r="A1002" t="s">
        <v>1417</v>
      </c>
      <c r="B1002" s="27" t="s">
        <v>3222</v>
      </c>
      <c r="C1002" s="27" t="s">
        <v>5768</v>
      </c>
      <c r="D1002">
        <f>VLOOKUP(tblTargetMedicos[[#This Row],[codigo_id]],[1]DIM_REPRESENTANTE_MEDICO!$C:$F,4,0)</f>
        <v>4</v>
      </c>
      <c r="E1002">
        <f>VLOOKUP(tblTargetMedicos[[#This Row],[codigo_id]],[1]DIM_REPRESENTANTE_MEDICO!$C:$F,3,0)</f>
        <v>9</v>
      </c>
      <c r="F1002" s="27" t="s">
        <v>5796</v>
      </c>
      <c r="G1002" s="27" t="s">
        <v>5785</v>
      </c>
      <c r="H1002" s="27" t="s">
        <v>97</v>
      </c>
      <c r="I1002">
        <v>1</v>
      </c>
    </row>
    <row r="1003" spans="1:9">
      <c r="A1003" t="s">
        <v>1418</v>
      </c>
      <c r="B1003" s="27" t="s">
        <v>3222</v>
      </c>
      <c r="C1003" s="27" t="s">
        <v>5768</v>
      </c>
      <c r="D1003">
        <f>VLOOKUP(tblTargetMedicos[[#This Row],[codigo_id]],[1]DIM_REPRESENTANTE_MEDICO!$C:$F,4,0)</f>
        <v>4</v>
      </c>
      <c r="E1003">
        <f>VLOOKUP(tblTargetMedicos[[#This Row],[codigo_id]],[1]DIM_REPRESENTANTE_MEDICO!$C:$F,3,0)</f>
        <v>9</v>
      </c>
      <c r="F1003" s="27" t="s">
        <v>5796</v>
      </c>
      <c r="G1003" s="27" t="s">
        <v>5786</v>
      </c>
      <c r="H1003" s="27" t="s">
        <v>97</v>
      </c>
      <c r="I1003">
        <v>1</v>
      </c>
    </row>
    <row r="1004" spans="1:9">
      <c r="A1004" t="s">
        <v>1419</v>
      </c>
      <c r="B1004" s="27" t="s">
        <v>3222</v>
      </c>
      <c r="C1004" s="27" t="s">
        <v>5768</v>
      </c>
      <c r="D1004">
        <f>VLOOKUP(tblTargetMedicos[[#This Row],[codigo_id]],[1]DIM_REPRESENTANTE_MEDICO!$C:$F,4,0)</f>
        <v>4</v>
      </c>
      <c r="E1004">
        <f>VLOOKUP(tblTargetMedicos[[#This Row],[codigo_id]],[1]DIM_REPRESENTANTE_MEDICO!$C:$F,3,0)</f>
        <v>9</v>
      </c>
      <c r="F1004" s="27" t="s">
        <v>5796</v>
      </c>
      <c r="G1004" s="27" t="s">
        <v>5784</v>
      </c>
      <c r="H1004" s="27" t="s">
        <v>96</v>
      </c>
      <c r="I1004">
        <v>1</v>
      </c>
    </row>
    <row r="1005" spans="1:9">
      <c r="A1005" t="s">
        <v>1420</v>
      </c>
      <c r="B1005" s="27" t="s">
        <v>3222</v>
      </c>
      <c r="C1005" s="27" t="s">
        <v>5768</v>
      </c>
      <c r="D1005">
        <f>VLOOKUP(tblTargetMedicos[[#This Row],[codigo_id]],[1]DIM_REPRESENTANTE_MEDICO!$C:$F,4,0)</f>
        <v>4</v>
      </c>
      <c r="E1005">
        <f>VLOOKUP(tblTargetMedicos[[#This Row],[codigo_id]],[1]DIM_REPRESENTANTE_MEDICO!$C:$F,3,0)</f>
        <v>9</v>
      </c>
      <c r="F1005" s="27" t="s">
        <v>5796</v>
      </c>
      <c r="G1005" s="27" t="s">
        <v>5784</v>
      </c>
      <c r="H1005" s="27" t="s">
        <v>96</v>
      </c>
      <c r="I1005">
        <v>1</v>
      </c>
    </row>
    <row r="1006" spans="1:9">
      <c r="A1006" t="s">
        <v>1421</v>
      </c>
      <c r="B1006" s="27" t="s">
        <v>3222</v>
      </c>
      <c r="C1006" s="27" t="s">
        <v>5768</v>
      </c>
      <c r="D1006">
        <f>VLOOKUP(tblTargetMedicos[[#This Row],[codigo_id]],[1]DIM_REPRESENTANTE_MEDICO!$C:$F,4,0)</f>
        <v>4</v>
      </c>
      <c r="E1006">
        <f>VLOOKUP(tblTargetMedicos[[#This Row],[codigo_id]],[1]DIM_REPRESENTANTE_MEDICO!$C:$F,3,0)</f>
        <v>9</v>
      </c>
      <c r="F1006" s="27" t="s">
        <v>5796</v>
      </c>
      <c r="G1006" s="27" t="s">
        <v>5783</v>
      </c>
      <c r="H1006" s="27" t="s">
        <v>97</v>
      </c>
      <c r="I1006">
        <v>1</v>
      </c>
    </row>
    <row r="1007" spans="1:9">
      <c r="A1007" t="s">
        <v>1422</v>
      </c>
      <c r="B1007" s="27" t="s">
        <v>3222</v>
      </c>
      <c r="C1007" s="27" t="s">
        <v>5768</v>
      </c>
      <c r="D1007">
        <f>VLOOKUP(tblTargetMedicos[[#This Row],[codigo_id]],[1]DIM_REPRESENTANTE_MEDICO!$C:$F,4,0)</f>
        <v>4</v>
      </c>
      <c r="E1007">
        <f>VLOOKUP(tblTargetMedicos[[#This Row],[codigo_id]],[1]DIM_REPRESENTANTE_MEDICO!$C:$F,3,0)</f>
        <v>9</v>
      </c>
      <c r="F1007" s="27" t="s">
        <v>5796</v>
      </c>
      <c r="G1007" s="27" t="s">
        <v>5784</v>
      </c>
      <c r="H1007" s="27" t="s">
        <v>96</v>
      </c>
      <c r="I1007">
        <v>1</v>
      </c>
    </row>
    <row r="1008" spans="1:9">
      <c r="A1008" t="s">
        <v>1423</v>
      </c>
      <c r="B1008" s="27" t="s">
        <v>3222</v>
      </c>
      <c r="C1008" s="27" t="s">
        <v>5768</v>
      </c>
      <c r="D1008">
        <f>VLOOKUP(tblTargetMedicos[[#This Row],[codigo_id]],[1]DIM_REPRESENTANTE_MEDICO!$C:$F,4,0)</f>
        <v>4</v>
      </c>
      <c r="E1008">
        <f>VLOOKUP(tblTargetMedicos[[#This Row],[codigo_id]],[1]DIM_REPRESENTANTE_MEDICO!$C:$F,3,0)</f>
        <v>9</v>
      </c>
      <c r="F1008" s="27" t="s">
        <v>5796</v>
      </c>
      <c r="G1008" s="27" t="s">
        <v>5783</v>
      </c>
      <c r="H1008" s="27" t="s">
        <v>96</v>
      </c>
      <c r="I1008">
        <v>1</v>
      </c>
    </row>
    <row r="1009" spans="1:9">
      <c r="A1009" t="s">
        <v>1424</v>
      </c>
      <c r="B1009" s="27" t="s">
        <v>3222</v>
      </c>
      <c r="C1009" s="27" t="s">
        <v>5768</v>
      </c>
      <c r="D1009">
        <f>VLOOKUP(tblTargetMedicos[[#This Row],[codigo_id]],[1]DIM_REPRESENTANTE_MEDICO!$C:$F,4,0)</f>
        <v>4</v>
      </c>
      <c r="E1009">
        <f>VLOOKUP(tblTargetMedicos[[#This Row],[codigo_id]],[1]DIM_REPRESENTANTE_MEDICO!$C:$F,3,0)</f>
        <v>9</v>
      </c>
      <c r="F1009" s="27" t="s">
        <v>5796</v>
      </c>
      <c r="G1009" s="27" t="s">
        <v>5783</v>
      </c>
      <c r="H1009" s="27" t="s">
        <v>97</v>
      </c>
      <c r="I1009">
        <v>1</v>
      </c>
    </row>
    <row r="1010" spans="1:9">
      <c r="A1010" t="s">
        <v>1425</v>
      </c>
      <c r="B1010" s="27" t="s">
        <v>3222</v>
      </c>
      <c r="C1010" s="27" t="s">
        <v>5768</v>
      </c>
      <c r="D1010">
        <f>VLOOKUP(tblTargetMedicos[[#This Row],[codigo_id]],[1]DIM_REPRESENTANTE_MEDICO!$C:$F,4,0)</f>
        <v>4</v>
      </c>
      <c r="E1010">
        <f>VLOOKUP(tblTargetMedicos[[#This Row],[codigo_id]],[1]DIM_REPRESENTANTE_MEDICO!$C:$F,3,0)</f>
        <v>9</v>
      </c>
      <c r="F1010" s="27" t="s">
        <v>5796</v>
      </c>
      <c r="G1010" s="27" t="s">
        <v>5779</v>
      </c>
      <c r="H1010" s="27" t="s">
        <v>96</v>
      </c>
      <c r="I1010">
        <v>1</v>
      </c>
    </row>
    <row r="1011" spans="1:9">
      <c r="A1011" t="s">
        <v>1426</v>
      </c>
      <c r="B1011" s="27" t="s">
        <v>3222</v>
      </c>
      <c r="C1011" s="27" t="s">
        <v>5768</v>
      </c>
      <c r="D1011">
        <f>VLOOKUP(tblTargetMedicos[[#This Row],[codigo_id]],[1]DIM_REPRESENTANTE_MEDICO!$C:$F,4,0)</f>
        <v>4</v>
      </c>
      <c r="E1011">
        <f>VLOOKUP(tblTargetMedicos[[#This Row],[codigo_id]],[1]DIM_REPRESENTANTE_MEDICO!$C:$F,3,0)</f>
        <v>9</v>
      </c>
      <c r="F1011" s="27" t="s">
        <v>5796</v>
      </c>
      <c r="G1011" s="27" t="s">
        <v>5786</v>
      </c>
      <c r="H1011" s="27" t="s">
        <v>97</v>
      </c>
      <c r="I1011">
        <v>1</v>
      </c>
    </row>
    <row r="1012" spans="1:9">
      <c r="A1012" t="s">
        <v>1427</v>
      </c>
      <c r="B1012" s="27" t="s">
        <v>3223</v>
      </c>
      <c r="C1012" s="27" t="s">
        <v>5769</v>
      </c>
      <c r="D1012">
        <f>VLOOKUP(tblTargetMedicos[[#This Row],[codigo_id]],[1]DIM_REPRESENTANTE_MEDICO!$C:$F,4,0)</f>
        <v>12</v>
      </c>
      <c r="E1012">
        <f>VLOOKUP(tblTargetMedicos[[#This Row],[codigo_id]],[1]DIM_REPRESENTANTE_MEDICO!$C:$F,3,0)</f>
        <v>5</v>
      </c>
      <c r="F1012" s="27" t="s">
        <v>5796</v>
      </c>
      <c r="G1012" s="27" t="s">
        <v>5782</v>
      </c>
      <c r="H1012" s="27" t="s">
        <v>95</v>
      </c>
      <c r="I1012">
        <v>1</v>
      </c>
    </row>
    <row r="1013" spans="1:9">
      <c r="A1013" t="s">
        <v>1428</v>
      </c>
      <c r="B1013" s="27" t="s">
        <v>3223</v>
      </c>
      <c r="C1013" s="27" t="s">
        <v>5769</v>
      </c>
      <c r="D1013">
        <f>VLOOKUP(tblTargetMedicos[[#This Row],[codigo_id]],[1]DIM_REPRESENTANTE_MEDICO!$C:$F,4,0)</f>
        <v>12</v>
      </c>
      <c r="E1013">
        <f>VLOOKUP(tblTargetMedicos[[#This Row],[codigo_id]],[1]DIM_REPRESENTANTE_MEDICO!$C:$F,3,0)</f>
        <v>5</v>
      </c>
      <c r="F1013" s="27" t="s">
        <v>5796</v>
      </c>
      <c r="G1013" s="27" t="s">
        <v>5782</v>
      </c>
      <c r="H1013" s="27" t="s">
        <v>97</v>
      </c>
      <c r="I1013">
        <v>1</v>
      </c>
    </row>
    <row r="1014" spans="1:9">
      <c r="A1014" t="s">
        <v>1429</v>
      </c>
      <c r="B1014" s="27" t="s">
        <v>3223</v>
      </c>
      <c r="C1014" s="27" t="s">
        <v>5769</v>
      </c>
      <c r="D1014">
        <f>VLOOKUP(tblTargetMedicos[[#This Row],[codigo_id]],[1]DIM_REPRESENTANTE_MEDICO!$C:$F,4,0)</f>
        <v>12</v>
      </c>
      <c r="E1014">
        <f>VLOOKUP(tblTargetMedicos[[#This Row],[codigo_id]],[1]DIM_REPRESENTANTE_MEDICO!$C:$F,3,0)</f>
        <v>5</v>
      </c>
      <c r="F1014" s="27" t="s">
        <v>5796</v>
      </c>
      <c r="G1014" s="27" t="s">
        <v>5782</v>
      </c>
      <c r="H1014" s="27" t="s">
        <v>97</v>
      </c>
      <c r="I1014">
        <v>1</v>
      </c>
    </row>
    <row r="1015" spans="1:9">
      <c r="A1015" t="s">
        <v>1430</v>
      </c>
      <c r="B1015" s="27" t="s">
        <v>3223</v>
      </c>
      <c r="C1015" s="27" t="s">
        <v>5769</v>
      </c>
      <c r="D1015">
        <f>VLOOKUP(tblTargetMedicos[[#This Row],[codigo_id]],[1]DIM_REPRESENTANTE_MEDICO!$C:$F,4,0)</f>
        <v>12</v>
      </c>
      <c r="E1015">
        <f>VLOOKUP(tblTargetMedicos[[#This Row],[codigo_id]],[1]DIM_REPRESENTANTE_MEDICO!$C:$F,3,0)</f>
        <v>5</v>
      </c>
      <c r="F1015" s="27" t="s">
        <v>5796</v>
      </c>
      <c r="G1015" s="27" t="s">
        <v>5786</v>
      </c>
      <c r="H1015" s="27" t="s">
        <v>96</v>
      </c>
      <c r="I1015">
        <v>1</v>
      </c>
    </row>
    <row r="1016" spans="1:9">
      <c r="A1016" t="s">
        <v>1431</v>
      </c>
      <c r="B1016" s="27" t="s">
        <v>3223</v>
      </c>
      <c r="C1016" s="27" t="s">
        <v>5769</v>
      </c>
      <c r="D1016">
        <f>VLOOKUP(tblTargetMedicos[[#This Row],[codigo_id]],[1]DIM_REPRESENTANTE_MEDICO!$C:$F,4,0)</f>
        <v>12</v>
      </c>
      <c r="E1016">
        <f>VLOOKUP(tblTargetMedicos[[#This Row],[codigo_id]],[1]DIM_REPRESENTANTE_MEDICO!$C:$F,3,0)</f>
        <v>5</v>
      </c>
      <c r="F1016" s="27" t="s">
        <v>5796</v>
      </c>
      <c r="G1016" s="27" t="s">
        <v>5784</v>
      </c>
      <c r="H1016" s="27" t="s">
        <v>96</v>
      </c>
      <c r="I1016">
        <v>1</v>
      </c>
    </row>
    <row r="1017" spans="1:9">
      <c r="A1017" t="s">
        <v>1432</v>
      </c>
      <c r="B1017" s="27" t="s">
        <v>3223</v>
      </c>
      <c r="C1017" s="27" t="s">
        <v>5769</v>
      </c>
      <c r="D1017">
        <f>VLOOKUP(tblTargetMedicos[[#This Row],[codigo_id]],[1]DIM_REPRESENTANTE_MEDICO!$C:$F,4,0)</f>
        <v>12</v>
      </c>
      <c r="E1017">
        <f>VLOOKUP(tblTargetMedicos[[#This Row],[codigo_id]],[1]DIM_REPRESENTANTE_MEDICO!$C:$F,3,0)</f>
        <v>5</v>
      </c>
      <c r="F1017" s="27" t="s">
        <v>5796</v>
      </c>
      <c r="G1017" s="27" t="s">
        <v>5784</v>
      </c>
      <c r="H1017" s="27" t="s">
        <v>96</v>
      </c>
      <c r="I1017">
        <v>1</v>
      </c>
    </row>
    <row r="1018" spans="1:9">
      <c r="A1018" t="s">
        <v>1433</v>
      </c>
      <c r="B1018" s="27" t="s">
        <v>3223</v>
      </c>
      <c r="C1018" s="27" t="s">
        <v>5769</v>
      </c>
      <c r="D1018">
        <f>VLOOKUP(tblTargetMedicos[[#This Row],[codigo_id]],[1]DIM_REPRESENTANTE_MEDICO!$C:$F,4,0)</f>
        <v>12</v>
      </c>
      <c r="E1018">
        <f>VLOOKUP(tblTargetMedicos[[#This Row],[codigo_id]],[1]DIM_REPRESENTANTE_MEDICO!$C:$F,3,0)</f>
        <v>5</v>
      </c>
      <c r="F1018" s="27" t="s">
        <v>5796</v>
      </c>
      <c r="G1018" s="27" t="s">
        <v>5784</v>
      </c>
      <c r="H1018" s="27" t="s">
        <v>95</v>
      </c>
      <c r="I1018">
        <v>1</v>
      </c>
    </row>
    <row r="1019" spans="1:9">
      <c r="A1019" t="s">
        <v>1434</v>
      </c>
      <c r="B1019" s="27" t="s">
        <v>3223</v>
      </c>
      <c r="C1019" s="27" t="s">
        <v>5769</v>
      </c>
      <c r="D1019">
        <f>VLOOKUP(tblTargetMedicos[[#This Row],[codigo_id]],[1]DIM_REPRESENTANTE_MEDICO!$C:$F,4,0)</f>
        <v>12</v>
      </c>
      <c r="E1019">
        <f>VLOOKUP(tblTargetMedicos[[#This Row],[codigo_id]],[1]DIM_REPRESENTANTE_MEDICO!$C:$F,3,0)</f>
        <v>5</v>
      </c>
      <c r="F1019" s="27" t="s">
        <v>5796</v>
      </c>
      <c r="G1019" s="27" t="s">
        <v>5783</v>
      </c>
      <c r="H1019" s="27" t="s">
        <v>95</v>
      </c>
      <c r="I1019">
        <v>1</v>
      </c>
    </row>
    <row r="1020" spans="1:9">
      <c r="A1020" t="s">
        <v>1435</v>
      </c>
      <c r="B1020" s="27" t="s">
        <v>3223</v>
      </c>
      <c r="C1020" s="27" t="s">
        <v>5769</v>
      </c>
      <c r="D1020">
        <f>VLOOKUP(tblTargetMedicos[[#This Row],[codigo_id]],[1]DIM_REPRESENTANTE_MEDICO!$C:$F,4,0)</f>
        <v>12</v>
      </c>
      <c r="E1020">
        <f>VLOOKUP(tblTargetMedicos[[#This Row],[codigo_id]],[1]DIM_REPRESENTANTE_MEDICO!$C:$F,3,0)</f>
        <v>5</v>
      </c>
      <c r="F1020" s="27" t="s">
        <v>5796</v>
      </c>
      <c r="G1020" s="27" t="s">
        <v>5783</v>
      </c>
      <c r="H1020" s="27" t="s">
        <v>96</v>
      </c>
      <c r="I1020">
        <v>1</v>
      </c>
    </row>
    <row r="1021" spans="1:9">
      <c r="A1021" t="s">
        <v>1436</v>
      </c>
      <c r="B1021" s="27" t="s">
        <v>3223</v>
      </c>
      <c r="C1021" s="27" t="s">
        <v>5769</v>
      </c>
      <c r="D1021">
        <f>VLOOKUP(tblTargetMedicos[[#This Row],[codigo_id]],[1]DIM_REPRESENTANTE_MEDICO!$C:$F,4,0)</f>
        <v>12</v>
      </c>
      <c r="E1021">
        <f>VLOOKUP(tblTargetMedicos[[#This Row],[codigo_id]],[1]DIM_REPRESENTANTE_MEDICO!$C:$F,3,0)</f>
        <v>5</v>
      </c>
      <c r="F1021" s="27" t="s">
        <v>5796</v>
      </c>
      <c r="G1021" s="27" t="s">
        <v>5781</v>
      </c>
      <c r="H1021" s="27" t="s">
        <v>96</v>
      </c>
      <c r="I1021">
        <v>1</v>
      </c>
    </row>
    <row r="1022" spans="1:9">
      <c r="A1022" t="s">
        <v>1437</v>
      </c>
      <c r="B1022" s="27" t="s">
        <v>3223</v>
      </c>
      <c r="C1022" s="27" t="s">
        <v>5769</v>
      </c>
      <c r="D1022">
        <f>VLOOKUP(tblTargetMedicos[[#This Row],[codigo_id]],[1]DIM_REPRESENTANTE_MEDICO!$C:$F,4,0)</f>
        <v>12</v>
      </c>
      <c r="E1022">
        <f>VLOOKUP(tblTargetMedicos[[#This Row],[codigo_id]],[1]DIM_REPRESENTANTE_MEDICO!$C:$F,3,0)</f>
        <v>5</v>
      </c>
      <c r="F1022" s="27" t="s">
        <v>5796</v>
      </c>
      <c r="G1022" s="27" t="s">
        <v>5783</v>
      </c>
      <c r="H1022" s="27" t="s">
        <v>95</v>
      </c>
      <c r="I1022">
        <v>1</v>
      </c>
    </row>
    <row r="1023" spans="1:9">
      <c r="A1023" t="s">
        <v>1438</v>
      </c>
      <c r="B1023" s="27" t="s">
        <v>3223</v>
      </c>
      <c r="C1023" s="27" t="s">
        <v>5769</v>
      </c>
      <c r="D1023">
        <f>VLOOKUP(tblTargetMedicos[[#This Row],[codigo_id]],[1]DIM_REPRESENTANTE_MEDICO!$C:$F,4,0)</f>
        <v>12</v>
      </c>
      <c r="E1023">
        <f>VLOOKUP(tblTargetMedicos[[#This Row],[codigo_id]],[1]DIM_REPRESENTANTE_MEDICO!$C:$F,3,0)</f>
        <v>5</v>
      </c>
      <c r="F1023" s="27" t="s">
        <v>5796</v>
      </c>
      <c r="G1023" s="27" t="s">
        <v>5783</v>
      </c>
      <c r="H1023" s="27" t="s">
        <v>97</v>
      </c>
      <c r="I1023">
        <v>1</v>
      </c>
    </row>
    <row r="1024" spans="1:9">
      <c r="A1024" t="s">
        <v>1439</v>
      </c>
      <c r="B1024" s="27" t="s">
        <v>3223</v>
      </c>
      <c r="C1024" s="27" t="s">
        <v>5769</v>
      </c>
      <c r="D1024">
        <f>VLOOKUP(tblTargetMedicos[[#This Row],[codigo_id]],[1]DIM_REPRESENTANTE_MEDICO!$C:$F,4,0)</f>
        <v>12</v>
      </c>
      <c r="E1024">
        <f>VLOOKUP(tblTargetMedicos[[#This Row],[codigo_id]],[1]DIM_REPRESENTANTE_MEDICO!$C:$F,3,0)</f>
        <v>5</v>
      </c>
      <c r="F1024" s="27" t="s">
        <v>5796</v>
      </c>
      <c r="G1024" s="27" t="s">
        <v>5784</v>
      </c>
      <c r="H1024" s="27" t="s">
        <v>96</v>
      </c>
      <c r="I1024">
        <v>1</v>
      </c>
    </row>
    <row r="1025" spans="1:9">
      <c r="A1025" t="s">
        <v>1440</v>
      </c>
      <c r="B1025" s="27" t="s">
        <v>3223</v>
      </c>
      <c r="C1025" s="27" t="s">
        <v>5769</v>
      </c>
      <c r="D1025">
        <f>VLOOKUP(tblTargetMedicos[[#This Row],[codigo_id]],[1]DIM_REPRESENTANTE_MEDICO!$C:$F,4,0)</f>
        <v>12</v>
      </c>
      <c r="E1025">
        <f>VLOOKUP(tblTargetMedicos[[#This Row],[codigo_id]],[1]DIM_REPRESENTANTE_MEDICO!$C:$F,3,0)</f>
        <v>5</v>
      </c>
      <c r="F1025" s="27" t="s">
        <v>5796</v>
      </c>
      <c r="G1025" s="27" t="s">
        <v>5781</v>
      </c>
      <c r="H1025" s="27" t="s">
        <v>97</v>
      </c>
      <c r="I1025">
        <v>1</v>
      </c>
    </row>
    <row r="1026" spans="1:9">
      <c r="A1026" t="s">
        <v>1441</v>
      </c>
      <c r="B1026" s="27" t="s">
        <v>3223</v>
      </c>
      <c r="C1026" s="27" t="s">
        <v>5769</v>
      </c>
      <c r="D1026">
        <f>VLOOKUP(tblTargetMedicos[[#This Row],[codigo_id]],[1]DIM_REPRESENTANTE_MEDICO!$C:$F,4,0)</f>
        <v>12</v>
      </c>
      <c r="E1026">
        <f>VLOOKUP(tblTargetMedicos[[#This Row],[codigo_id]],[1]DIM_REPRESENTANTE_MEDICO!$C:$F,3,0)</f>
        <v>5</v>
      </c>
      <c r="F1026" s="27" t="s">
        <v>5796</v>
      </c>
      <c r="G1026" s="27" t="s">
        <v>5789</v>
      </c>
      <c r="H1026" s="27" t="s">
        <v>97</v>
      </c>
      <c r="I1026">
        <v>1</v>
      </c>
    </row>
    <row r="1027" spans="1:9">
      <c r="A1027" t="s">
        <v>1442</v>
      </c>
      <c r="B1027" s="27" t="s">
        <v>3223</v>
      </c>
      <c r="C1027" s="27" t="s">
        <v>5769</v>
      </c>
      <c r="D1027">
        <f>VLOOKUP(tblTargetMedicos[[#This Row],[codigo_id]],[1]DIM_REPRESENTANTE_MEDICO!$C:$F,4,0)</f>
        <v>12</v>
      </c>
      <c r="E1027">
        <f>VLOOKUP(tblTargetMedicos[[#This Row],[codigo_id]],[1]DIM_REPRESENTANTE_MEDICO!$C:$F,3,0)</f>
        <v>5</v>
      </c>
      <c r="F1027" s="27" t="s">
        <v>5796</v>
      </c>
      <c r="G1027" s="27" t="s">
        <v>5783</v>
      </c>
      <c r="H1027" s="27" t="s">
        <v>96</v>
      </c>
      <c r="I1027">
        <v>1</v>
      </c>
    </row>
    <row r="1028" spans="1:9">
      <c r="A1028" t="s">
        <v>1443</v>
      </c>
      <c r="B1028" s="27" t="s">
        <v>3223</v>
      </c>
      <c r="C1028" s="27" t="s">
        <v>5769</v>
      </c>
      <c r="D1028">
        <f>VLOOKUP(tblTargetMedicos[[#This Row],[codigo_id]],[1]DIM_REPRESENTANTE_MEDICO!$C:$F,4,0)</f>
        <v>12</v>
      </c>
      <c r="E1028">
        <f>VLOOKUP(tblTargetMedicos[[#This Row],[codigo_id]],[1]DIM_REPRESENTANTE_MEDICO!$C:$F,3,0)</f>
        <v>5</v>
      </c>
      <c r="F1028" s="27" t="s">
        <v>5796</v>
      </c>
      <c r="G1028" s="27" t="s">
        <v>5783</v>
      </c>
      <c r="H1028" s="27" t="s">
        <v>96</v>
      </c>
      <c r="I1028">
        <v>1</v>
      </c>
    </row>
    <row r="1029" spans="1:9">
      <c r="A1029" t="s">
        <v>1444</v>
      </c>
      <c r="B1029" s="27" t="s">
        <v>3223</v>
      </c>
      <c r="C1029" s="27" t="s">
        <v>5769</v>
      </c>
      <c r="D1029">
        <f>VLOOKUP(tblTargetMedicos[[#This Row],[codigo_id]],[1]DIM_REPRESENTANTE_MEDICO!$C:$F,4,0)</f>
        <v>12</v>
      </c>
      <c r="E1029">
        <f>VLOOKUP(tblTargetMedicos[[#This Row],[codigo_id]],[1]DIM_REPRESENTANTE_MEDICO!$C:$F,3,0)</f>
        <v>5</v>
      </c>
      <c r="F1029" s="27" t="s">
        <v>5796</v>
      </c>
      <c r="G1029" s="27" t="s">
        <v>5784</v>
      </c>
      <c r="H1029" s="27" t="s">
        <v>96</v>
      </c>
      <c r="I1029">
        <v>1</v>
      </c>
    </row>
    <row r="1030" spans="1:9">
      <c r="A1030" t="s">
        <v>1445</v>
      </c>
      <c r="B1030" s="27" t="s">
        <v>3223</v>
      </c>
      <c r="C1030" s="27" t="s">
        <v>5769</v>
      </c>
      <c r="D1030">
        <f>VLOOKUP(tblTargetMedicos[[#This Row],[codigo_id]],[1]DIM_REPRESENTANTE_MEDICO!$C:$F,4,0)</f>
        <v>12</v>
      </c>
      <c r="E1030">
        <f>VLOOKUP(tblTargetMedicos[[#This Row],[codigo_id]],[1]DIM_REPRESENTANTE_MEDICO!$C:$F,3,0)</f>
        <v>5</v>
      </c>
      <c r="F1030" s="27" t="s">
        <v>5796</v>
      </c>
      <c r="G1030" s="27" t="s">
        <v>5789</v>
      </c>
      <c r="H1030" s="27" t="s">
        <v>96</v>
      </c>
      <c r="I1030">
        <v>1</v>
      </c>
    </row>
    <row r="1031" spans="1:9">
      <c r="A1031" t="s">
        <v>1446</v>
      </c>
      <c r="B1031" s="27" t="s">
        <v>3223</v>
      </c>
      <c r="C1031" s="27" t="s">
        <v>5769</v>
      </c>
      <c r="D1031">
        <f>VLOOKUP(tblTargetMedicos[[#This Row],[codigo_id]],[1]DIM_REPRESENTANTE_MEDICO!$C:$F,4,0)</f>
        <v>12</v>
      </c>
      <c r="E1031">
        <f>VLOOKUP(tblTargetMedicos[[#This Row],[codigo_id]],[1]DIM_REPRESENTANTE_MEDICO!$C:$F,3,0)</f>
        <v>5</v>
      </c>
      <c r="F1031" s="27" t="s">
        <v>5796</v>
      </c>
      <c r="G1031" s="27" t="s">
        <v>5785</v>
      </c>
      <c r="H1031" s="27" t="s">
        <v>96</v>
      </c>
      <c r="I1031">
        <v>1</v>
      </c>
    </row>
    <row r="1032" spans="1:9">
      <c r="A1032" t="s">
        <v>1447</v>
      </c>
      <c r="B1032" s="27" t="s">
        <v>3223</v>
      </c>
      <c r="C1032" s="27" t="s">
        <v>5769</v>
      </c>
      <c r="D1032">
        <f>VLOOKUP(tblTargetMedicos[[#This Row],[codigo_id]],[1]DIM_REPRESENTANTE_MEDICO!$C:$F,4,0)</f>
        <v>12</v>
      </c>
      <c r="E1032">
        <f>VLOOKUP(tblTargetMedicos[[#This Row],[codigo_id]],[1]DIM_REPRESENTANTE_MEDICO!$C:$F,3,0)</f>
        <v>5</v>
      </c>
      <c r="F1032" s="27" t="s">
        <v>5796</v>
      </c>
      <c r="G1032" s="27" t="s">
        <v>5781</v>
      </c>
      <c r="H1032" s="27" t="s">
        <v>97</v>
      </c>
      <c r="I1032">
        <v>1</v>
      </c>
    </row>
    <row r="1033" spans="1:9">
      <c r="A1033" t="s">
        <v>1448</v>
      </c>
      <c r="B1033" s="27" t="s">
        <v>3223</v>
      </c>
      <c r="C1033" s="27" t="s">
        <v>5769</v>
      </c>
      <c r="D1033">
        <f>VLOOKUP(tblTargetMedicos[[#This Row],[codigo_id]],[1]DIM_REPRESENTANTE_MEDICO!$C:$F,4,0)</f>
        <v>12</v>
      </c>
      <c r="E1033">
        <f>VLOOKUP(tblTargetMedicos[[#This Row],[codigo_id]],[1]DIM_REPRESENTANTE_MEDICO!$C:$F,3,0)</f>
        <v>5</v>
      </c>
      <c r="F1033" s="27" t="s">
        <v>5796</v>
      </c>
      <c r="G1033" s="27" t="s">
        <v>5784</v>
      </c>
      <c r="H1033" s="27" t="s">
        <v>96</v>
      </c>
      <c r="I1033">
        <v>1</v>
      </c>
    </row>
    <row r="1034" spans="1:9">
      <c r="A1034" t="s">
        <v>1449</v>
      </c>
      <c r="B1034" s="27" t="s">
        <v>3223</v>
      </c>
      <c r="C1034" s="27" t="s">
        <v>5769</v>
      </c>
      <c r="D1034">
        <f>VLOOKUP(tblTargetMedicos[[#This Row],[codigo_id]],[1]DIM_REPRESENTANTE_MEDICO!$C:$F,4,0)</f>
        <v>12</v>
      </c>
      <c r="E1034">
        <f>VLOOKUP(tblTargetMedicos[[#This Row],[codigo_id]],[1]DIM_REPRESENTANTE_MEDICO!$C:$F,3,0)</f>
        <v>5</v>
      </c>
      <c r="F1034" s="27" t="s">
        <v>5796</v>
      </c>
      <c r="G1034" s="27" t="s">
        <v>5779</v>
      </c>
      <c r="H1034" s="27" t="s">
        <v>96</v>
      </c>
      <c r="I1034">
        <v>1</v>
      </c>
    </row>
    <row r="1035" spans="1:9">
      <c r="A1035" t="s">
        <v>1450</v>
      </c>
      <c r="B1035" s="27" t="s">
        <v>3223</v>
      </c>
      <c r="C1035" s="27" t="s">
        <v>5769</v>
      </c>
      <c r="D1035">
        <f>VLOOKUP(tblTargetMedicos[[#This Row],[codigo_id]],[1]DIM_REPRESENTANTE_MEDICO!$C:$F,4,0)</f>
        <v>12</v>
      </c>
      <c r="E1035">
        <f>VLOOKUP(tblTargetMedicos[[#This Row],[codigo_id]],[1]DIM_REPRESENTANTE_MEDICO!$C:$F,3,0)</f>
        <v>5</v>
      </c>
      <c r="F1035" s="27" t="s">
        <v>5796</v>
      </c>
      <c r="G1035" s="27" t="s">
        <v>5783</v>
      </c>
      <c r="H1035" s="27" t="s">
        <v>96</v>
      </c>
      <c r="I1035">
        <v>1</v>
      </c>
    </row>
    <row r="1036" spans="1:9">
      <c r="A1036" t="s">
        <v>1451</v>
      </c>
      <c r="B1036" s="27" t="s">
        <v>3223</v>
      </c>
      <c r="C1036" s="27" t="s">
        <v>5769</v>
      </c>
      <c r="D1036">
        <f>VLOOKUP(tblTargetMedicos[[#This Row],[codigo_id]],[1]DIM_REPRESENTANTE_MEDICO!$C:$F,4,0)</f>
        <v>12</v>
      </c>
      <c r="E1036">
        <f>VLOOKUP(tblTargetMedicos[[#This Row],[codigo_id]],[1]DIM_REPRESENTANTE_MEDICO!$C:$F,3,0)</f>
        <v>5</v>
      </c>
      <c r="F1036" s="27" t="s">
        <v>5796</v>
      </c>
      <c r="G1036" s="27" t="s">
        <v>5783</v>
      </c>
      <c r="H1036" s="27" t="s">
        <v>97</v>
      </c>
      <c r="I1036">
        <v>1</v>
      </c>
    </row>
    <row r="1037" spans="1:9">
      <c r="A1037" t="s">
        <v>1452</v>
      </c>
      <c r="B1037" s="27" t="s">
        <v>3223</v>
      </c>
      <c r="C1037" s="27" t="s">
        <v>5769</v>
      </c>
      <c r="D1037">
        <f>VLOOKUP(tblTargetMedicos[[#This Row],[codigo_id]],[1]DIM_REPRESENTANTE_MEDICO!$C:$F,4,0)</f>
        <v>12</v>
      </c>
      <c r="E1037">
        <f>VLOOKUP(tblTargetMedicos[[#This Row],[codigo_id]],[1]DIM_REPRESENTANTE_MEDICO!$C:$F,3,0)</f>
        <v>5</v>
      </c>
      <c r="F1037" s="27" t="s">
        <v>5796</v>
      </c>
      <c r="G1037" s="27" t="s">
        <v>5789</v>
      </c>
      <c r="H1037" s="27" t="s">
        <v>95</v>
      </c>
      <c r="I1037">
        <v>1</v>
      </c>
    </row>
    <row r="1038" spans="1:9">
      <c r="A1038" t="s">
        <v>1453</v>
      </c>
      <c r="B1038" s="27" t="s">
        <v>3223</v>
      </c>
      <c r="C1038" s="27" t="s">
        <v>5769</v>
      </c>
      <c r="D1038">
        <f>VLOOKUP(tblTargetMedicos[[#This Row],[codigo_id]],[1]DIM_REPRESENTANTE_MEDICO!$C:$F,4,0)</f>
        <v>12</v>
      </c>
      <c r="E1038">
        <f>VLOOKUP(tblTargetMedicos[[#This Row],[codigo_id]],[1]DIM_REPRESENTANTE_MEDICO!$C:$F,3,0)</f>
        <v>5</v>
      </c>
      <c r="F1038" s="27" t="s">
        <v>5796</v>
      </c>
      <c r="G1038" s="27" t="s">
        <v>5781</v>
      </c>
      <c r="H1038" s="27" t="s">
        <v>96</v>
      </c>
      <c r="I1038">
        <v>1</v>
      </c>
    </row>
    <row r="1039" spans="1:9">
      <c r="A1039" t="s">
        <v>1454</v>
      </c>
      <c r="B1039" s="27" t="s">
        <v>3223</v>
      </c>
      <c r="C1039" s="27" t="s">
        <v>5769</v>
      </c>
      <c r="D1039">
        <f>VLOOKUP(tblTargetMedicos[[#This Row],[codigo_id]],[1]DIM_REPRESENTANTE_MEDICO!$C:$F,4,0)</f>
        <v>12</v>
      </c>
      <c r="E1039">
        <f>VLOOKUP(tblTargetMedicos[[#This Row],[codigo_id]],[1]DIM_REPRESENTANTE_MEDICO!$C:$F,3,0)</f>
        <v>5</v>
      </c>
      <c r="F1039" s="27" t="s">
        <v>5796</v>
      </c>
      <c r="G1039" s="27" t="s">
        <v>5783</v>
      </c>
      <c r="H1039" s="27" t="s">
        <v>96</v>
      </c>
      <c r="I1039">
        <v>1</v>
      </c>
    </row>
    <row r="1040" spans="1:9">
      <c r="A1040" t="s">
        <v>1455</v>
      </c>
      <c r="B1040" s="27" t="s">
        <v>3223</v>
      </c>
      <c r="C1040" s="27" t="s">
        <v>5769</v>
      </c>
      <c r="D1040">
        <f>VLOOKUP(tblTargetMedicos[[#This Row],[codigo_id]],[1]DIM_REPRESENTANTE_MEDICO!$C:$F,4,0)</f>
        <v>12</v>
      </c>
      <c r="E1040">
        <f>VLOOKUP(tblTargetMedicos[[#This Row],[codigo_id]],[1]DIM_REPRESENTANTE_MEDICO!$C:$F,3,0)</f>
        <v>5</v>
      </c>
      <c r="F1040" s="27" t="s">
        <v>5796</v>
      </c>
      <c r="G1040" s="27" t="s">
        <v>5784</v>
      </c>
      <c r="H1040" s="27" t="s">
        <v>95</v>
      </c>
      <c r="I1040">
        <v>1</v>
      </c>
    </row>
    <row r="1041" spans="1:9">
      <c r="A1041" t="s">
        <v>1456</v>
      </c>
      <c r="B1041" s="27" t="s">
        <v>3223</v>
      </c>
      <c r="C1041" s="27" t="s">
        <v>5769</v>
      </c>
      <c r="D1041">
        <f>VLOOKUP(tblTargetMedicos[[#This Row],[codigo_id]],[1]DIM_REPRESENTANTE_MEDICO!$C:$F,4,0)</f>
        <v>12</v>
      </c>
      <c r="E1041">
        <f>VLOOKUP(tblTargetMedicos[[#This Row],[codigo_id]],[1]DIM_REPRESENTANTE_MEDICO!$C:$F,3,0)</f>
        <v>5</v>
      </c>
      <c r="F1041" s="27" t="s">
        <v>5796</v>
      </c>
      <c r="G1041" s="27" t="s">
        <v>5779</v>
      </c>
      <c r="H1041" s="27" t="s">
        <v>95</v>
      </c>
      <c r="I1041">
        <v>1</v>
      </c>
    </row>
    <row r="1042" spans="1:9">
      <c r="A1042" t="s">
        <v>1457</v>
      </c>
      <c r="B1042" s="27" t="s">
        <v>3223</v>
      </c>
      <c r="C1042" s="27" t="s">
        <v>5769</v>
      </c>
      <c r="D1042">
        <f>VLOOKUP(tblTargetMedicos[[#This Row],[codigo_id]],[1]DIM_REPRESENTANTE_MEDICO!$C:$F,4,0)</f>
        <v>12</v>
      </c>
      <c r="E1042">
        <f>VLOOKUP(tblTargetMedicos[[#This Row],[codigo_id]],[1]DIM_REPRESENTANTE_MEDICO!$C:$F,3,0)</f>
        <v>5</v>
      </c>
      <c r="F1042" s="27" t="s">
        <v>5796</v>
      </c>
      <c r="G1042" s="27" t="s">
        <v>5785</v>
      </c>
      <c r="H1042" s="27" t="s">
        <v>96</v>
      </c>
      <c r="I1042">
        <v>1</v>
      </c>
    </row>
    <row r="1043" spans="1:9">
      <c r="A1043" t="s">
        <v>1458</v>
      </c>
      <c r="B1043" s="27" t="s">
        <v>3223</v>
      </c>
      <c r="C1043" s="27" t="s">
        <v>5769</v>
      </c>
      <c r="D1043">
        <f>VLOOKUP(tblTargetMedicos[[#This Row],[codigo_id]],[1]DIM_REPRESENTANTE_MEDICO!$C:$F,4,0)</f>
        <v>12</v>
      </c>
      <c r="E1043">
        <f>VLOOKUP(tblTargetMedicos[[#This Row],[codigo_id]],[1]DIM_REPRESENTANTE_MEDICO!$C:$F,3,0)</f>
        <v>5</v>
      </c>
      <c r="F1043" s="27" t="s">
        <v>5796</v>
      </c>
      <c r="G1043" s="27" t="s">
        <v>5779</v>
      </c>
      <c r="H1043" s="27" t="s">
        <v>96</v>
      </c>
      <c r="I1043">
        <v>1</v>
      </c>
    </row>
    <row r="1044" spans="1:9">
      <c r="A1044" t="s">
        <v>1459</v>
      </c>
      <c r="B1044" s="27" t="s">
        <v>3223</v>
      </c>
      <c r="C1044" s="27" t="s">
        <v>5769</v>
      </c>
      <c r="D1044">
        <f>VLOOKUP(tblTargetMedicos[[#This Row],[codigo_id]],[1]DIM_REPRESENTANTE_MEDICO!$C:$F,4,0)</f>
        <v>12</v>
      </c>
      <c r="E1044">
        <f>VLOOKUP(tblTargetMedicos[[#This Row],[codigo_id]],[1]DIM_REPRESENTANTE_MEDICO!$C:$F,3,0)</f>
        <v>5</v>
      </c>
      <c r="F1044" s="27" t="s">
        <v>5796</v>
      </c>
      <c r="G1044" s="27" t="s">
        <v>5781</v>
      </c>
      <c r="H1044" s="27" t="s">
        <v>96</v>
      </c>
      <c r="I1044">
        <v>1</v>
      </c>
    </row>
    <row r="1045" spans="1:9">
      <c r="A1045" t="s">
        <v>1460</v>
      </c>
      <c r="B1045" s="27" t="s">
        <v>3223</v>
      </c>
      <c r="C1045" s="27" t="s">
        <v>5769</v>
      </c>
      <c r="D1045">
        <f>VLOOKUP(tblTargetMedicos[[#This Row],[codigo_id]],[1]DIM_REPRESENTANTE_MEDICO!$C:$F,4,0)</f>
        <v>12</v>
      </c>
      <c r="E1045">
        <f>VLOOKUP(tblTargetMedicos[[#This Row],[codigo_id]],[1]DIM_REPRESENTANTE_MEDICO!$C:$F,3,0)</f>
        <v>5</v>
      </c>
      <c r="F1045" s="27" t="s">
        <v>5796</v>
      </c>
      <c r="G1045" s="27" t="s">
        <v>5789</v>
      </c>
      <c r="H1045" s="27" t="s">
        <v>96</v>
      </c>
      <c r="I1045">
        <v>1</v>
      </c>
    </row>
    <row r="1046" spans="1:9">
      <c r="A1046" t="s">
        <v>1461</v>
      </c>
      <c r="B1046" s="27" t="s">
        <v>3223</v>
      </c>
      <c r="C1046" s="27" t="s">
        <v>5769</v>
      </c>
      <c r="D1046">
        <f>VLOOKUP(tblTargetMedicos[[#This Row],[codigo_id]],[1]DIM_REPRESENTANTE_MEDICO!$C:$F,4,0)</f>
        <v>12</v>
      </c>
      <c r="E1046">
        <f>VLOOKUP(tblTargetMedicos[[#This Row],[codigo_id]],[1]DIM_REPRESENTANTE_MEDICO!$C:$F,3,0)</f>
        <v>5</v>
      </c>
      <c r="F1046" s="27" t="s">
        <v>5796</v>
      </c>
      <c r="G1046" s="27" t="s">
        <v>5785</v>
      </c>
      <c r="H1046" s="27" t="s">
        <v>95</v>
      </c>
      <c r="I1046">
        <v>1</v>
      </c>
    </row>
    <row r="1047" spans="1:9">
      <c r="A1047" t="s">
        <v>1462</v>
      </c>
      <c r="B1047" s="27" t="s">
        <v>3223</v>
      </c>
      <c r="C1047" s="27" t="s">
        <v>5769</v>
      </c>
      <c r="D1047">
        <f>VLOOKUP(tblTargetMedicos[[#This Row],[codigo_id]],[1]DIM_REPRESENTANTE_MEDICO!$C:$F,4,0)</f>
        <v>12</v>
      </c>
      <c r="E1047">
        <f>VLOOKUP(tblTargetMedicos[[#This Row],[codigo_id]],[1]DIM_REPRESENTANTE_MEDICO!$C:$F,3,0)</f>
        <v>5</v>
      </c>
      <c r="F1047" s="27" t="s">
        <v>5796</v>
      </c>
      <c r="G1047" s="27" t="s">
        <v>5779</v>
      </c>
      <c r="H1047" s="27" t="s">
        <v>96</v>
      </c>
      <c r="I1047">
        <v>1</v>
      </c>
    </row>
    <row r="1048" spans="1:9">
      <c r="A1048" t="s">
        <v>1463</v>
      </c>
      <c r="B1048" s="27" t="s">
        <v>3223</v>
      </c>
      <c r="C1048" s="27" t="s">
        <v>5769</v>
      </c>
      <c r="D1048">
        <f>VLOOKUP(tblTargetMedicos[[#This Row],[codigo_id]],[1]DIM_REPRESENTANTE_MEDICO!$C:$F,4,0)</f>
        <v>12</v>
      </c>
      <c r="E1048">
        <f>VLOOKUP(tblTargetMedicos[[#This Row],[codigo_id]],[1]DIM_REPRESENTANTE_MEDICO!$C:$F,3,0)</f>
        <v>5</v>
      </c>
      <c r="F1048" s="27" t="s">
        <v>5796</v>
      </c>
      <c r="G1048" s="27" t="s">
        <v>5784</v>
      </c>
      <c r="H1048" s="27" t="s">
        <v>95</v>
      </c>
      <c r="I1048">
        <v>1</v>
      </c>
    </row>
    <row r="1049" spans="1:9">
      <c r="A1049" t="s">
        <v>1464</v>
      </c>
      <c r="B1049" s="27" t="s">
        <v>3223</v>
      </c>
      <c r="C1049" s="27" t="s">
        <v>5769</v>
      </c>
      <c r="D1049">
        <f>VLOOKUP(tblTargetMedicos[[#This Row],[codigo_id]],[1]DIM_REPRESENTANTE_MEDICO!$C:$F,4,0)</f>
        <v>12</v>
      </c>
      <c r="E1049">
        <f>VLOOKUP(tblTargetMedicos[[#This Row],[codigo_id]],[1]DIM_REPRESENTANTE_MEDICO!$C:$F,3,0)</f>
        <v>5</v>
      </c>
      <c r="F1049" s="27" t="s">
        <v>5796</v>
      </c>
      <c r="G1049" s="27" t="s">
        <v>5782</v>
      </c>
      <c r="H1049" s="27" t="s">
        <v>97</v>
      </c>
      <c r="I1049">
        <v>1</v>
      </c>
    </row>
    <row r="1050" spans="1:9">
      <c r="A1050" t="s">
        <v>1465</v>
      </c>
      <c r="B1050" s="27" t="s">
        <v>3223</v>
      </c>
      <c r="C1050" s="27" t="s">
        <v>5769</v>
      </c>
      <c r="D1050">
        <f>VLOOKUP(tblTargetMedicos[[#This Row],[codigo_id]],[1]DIM_REPRESENTANTE_MEDICO!$C:$F,4,0)</f>
        <v>12</v>
      </c>
      <c r="E1050">
        <f>VLOOKUP(tblTargetMedicos[[#This Row],[codigo_id]],[1]DIM_REPRESENTANTE_MEDICO!$C:$F,3,0)</f>
        <v>5</v>
      </c>
      <c r="F1050" s="27" t="s">
        <v>5796</v>
      </c>
      <c r="G1050" s="27" t="s">
        <v>5783</v>
      </c>
      <c r="H1050" s="27" t="s">
        <v>96</v>
      </c>
      <c r="I1050">
        <v>1</v>
      </c>
    </row>
    <row r="1051" spans="1:9">
      <c r="A1051" t="s">
        <v>1466</v>
      </c>
      <c r="B1051" s="27" t="s">
        <v>3223</v>
      </c>
      <c r="C1051" s="27" t="s">
        <v>5769</v>
      </c>
      <c r="D1051">
        <f>VLOOKUP(tblTargetMedicos[[#This Row],[codigo_id]],[1]DIM_REPRESENTANTE_MEDICO!$C:$F,4,0)</f>
        <v>12</v>
      </c>
      <c r="E1051">
        <f>VLOOKUP(tblTargetMedicos[[#This Row],[codigo_id]],[1]DIM_REPRESENTANTE_MEDICO!$C:$F,3,0)</f>
        <v>5</v>
      </c>
      <c r="F1051" s="27" t="s">
        <v>5796</v>
      </c>
      <c r="G1051" s="27" t="s">
        <v>5784</v>
      </c>
      <c r="H1051" s="27" t="s">
        <v>95</v>
      </c>
      <c r="I1051">
        <v>1</v>
      </c>
    </row>
    <row r="1052" spans="1:9">
      <c r="A1052" t="s">
        <v>1467</v>
      </c>
      <c r="B1052" s="27" t="s">
        <v>3223</v>
      </c>
      <c r="C1052" s="27" t="s">
        <v>5769</v>
      </c>
      <c r="D1052">
        <f>VLOOKUP(tblTargetMedicos[[#This Row],[codigo_id]],[1]DIM_REPRESENTANTE_MEDICO!$C:$F,4,0)</f>
        <v>12</v>
      </c>
      <c r="E1052">
        <f>VLOOKUP(tblTargetMedicos[[#This Row],[codigo_id]],[1]DIM_REPRESENTANTE_MEDICO!$C:$F,3,0)</f>
        <v>5</v>
      </c>
      <c r="F1052" s="27" t="s">
        <v>5796</v>
      </c>
      <c r="G1052" s="27" t="s">
        <v>5782</v>
      </c>
      <c r="H1052" s="27" t="s">
        <v>96</v>
      </c>
      <c r="I1052">
        <v>1</v>
      </c>
    </row>
    <row r="1053" spans="1:9">
      <c r="A1053" t="s">
        <v>1468</v>
      </c>
      <c r="B1053" s="27" t="s">
        <v>3223</v>
      </c>
      <c r="C1053" s="27" t="s">
        <v>5769</v>
      </c>
      <c r="D1053">
        <f>VLOOKUP(tblTargetMedicos[[#This Row],[codigo_id]],[1]DIM_REPRESENTANTE_MEDICO!$C:$F,4,0)</f>
        <v>12</v>
      </c>
      <c r="E1053">
        <f>VLOOKUP(tblTargetMedicos[[#This Row],[codigo_id]],[1]DIM_REPRESENTANTE_MEDICO!$C:$F,3,0)</f>
        <v>5</v>
      </c>
      <c r="F1053" s="27" t="s">
        <v>5796</v>
      </c>
      <c r="G1053" s="27" t="s">
        <v>5783</v>
      </c>
      <c r="H1053" s="27" t="s">
        <v>95</v>
      </c>
      <c r="I1053">
        <v>1</v>
      </c>
    </row>
    <row r="1054" spans="1:9">
      <c r="A1054" t="s">
        <v>1469</v>
      </c>
      <c r="B1054" s="27" t="s">
        <v>3223</v>
      </c>
      <c r="C1054" s="27" t="s">
        <v>5769</v>
      </c>
      <c r="D1054">
        <f>VLOOKUP(tblTargetMedicos[[#This Row],[codigo_id]],[1]DIM_REPRESENTANTE_MEDICO!$C:$F,4,0)</f>
        <v>12</v>
      </c>
      <c r="E1054">
        <f>VLOOKUP(tblTargetMedicos[[#This Row],[codigo_id]],[1]DIM_REPRESENTANTE_MEDICO!$C:$F,3,0)</f>
        <v>5</v>
      </c>
      <c r="F1054" s="27" t="s">
        <v>5796</v>
      </c>
      <c r="G1054" s="27" t="s">
        <v>5782</v>
      </c>
      <c r="H1054" s="27" t="s">
        <v>97</v>
      </c>
      <c r="I1054">
        <v>1</v>
      </c>
    </row>
    <row r="1055" spans="1:9">
      <c r="A1055" t="s">
        <v>1470</v>
      </c>
      <c r="B1055" s="27" t="s">
        <v>3223</v>
      </c>
      <c r="C1055" s="27" t="s">
        <v>5769</v>
      </c>
      <c r="D1055">
        <f>VLOOKUP(tblTargetMedicos[[#This Row],[codigo_id]],[1]DIM_REPRESENTANTE_MEDICO!$C:$F,4,0)</f>
        <v>12</v>
      </c>
      <c r="E1055">
        <f>VLOOKUP(tblTargetMedicos[[#This Row],[codigo_id]],[1]DIM_REPRESENTANTE_MEDICO!$C:$F,3,0)</f>
        <v>5</v>
      </c>
      <c r="F1055" s="27" t="s">
        <v>5796</v>
      </c>
      <c r="G1055" s="27" t="s">
        <v>5783</v>
      </c>
      <c r="H1055" s="27" t="s">
        <v>97</v>
      </c>
      <c r="I1055">
        <v>1</v>
      </c>
    </row>
    <row r="1056" spans="1:9">
      <c r="A1056" t="s">
        <v>1471</v>
      </c>
      <c r="B1056" s="27" t="s">
        <v>3223</v>
      </c>
      <c r="C1056" s="27" t="s">
        <v>5769</v>
      </c>
      <c r="D1056">
        <f>VLOOKUP(tblTargetMedicos[[#This Row],[codigo_id]],[1]DIM_REPRESENTANTE_MEDICO!$C:$F,4,0)</f>
        <v>12</v>
      </c>
      <c r="E1056">
        <f>VLOOKUP(tblTargetMedicos[[#This Row],[codigo_id]],[1]DIM_REPRESENTANTE_MEDICO!$C:$F,3,0)</f>
        <v>5</v>
      </c>
      <c r="F1056" s="27" t="s">
        <v>5796</v>
      </c>
      <c r="G1056" s="27" t="s">
        <v>5781</v>
      </c>
      <c r="H1056" s="27" t="s">
        <v>96</v>
      </c>
      <c r="I1056">
        <v>1</v>
      </c>
    </row>
    <row r="1057" spans="1:9">
      <c r="A1057" t="s">
        <v>1472</v>
      </c>
      <c r="B1057" s="27" t="s">
        <v>3223</v>
      </c>
      <c r="C1057" s="27" t="s">
        <v>5769</v>
      </c>
      <c r="D1057">
        <f>VLOOKUP(tblTargetMedicos[[#This Row],[codigo_id]],[1]DIM_REPRESENTANTE_MEDICO!$C:$F,4,0)</f>
        <v>12</v>
      </c>
      <c r="E1057">
        <f>VLOOKUP(tblTargetMedicos[[#This Row],[codigo_id]],[1]DIM_REPRESENTANTE_MEDICO!$C:$F,3,0)</f>
        <v>5</v>
      </c>
      <c r="F1057" s="27" t="s">
        <v>5796</v>
      </c>
      <c r="G1057" s="27" t="s">
        <v>5785</v>
      </c>
      <c r="H1057" s="27" t="s">
        <v>96</v>
      </c>
      <c r="I1057">
        <v>1</v>
      </c>
    </row>
    <row r="1058" spans="1:9">
      <c r="A1058" t="s">
        <v>1473</v>
      </c>
      <c r="B1058" s="27" t="s">
        <v>3223</v>
      </c>
      <c r="C1058" s="27" t="s">
        <v>5769</v>
      </c>
      <c r="D1058">
        <f>VLOOKUP(tblTargetMedicos[[#This Row],[codigo_id]],[1]DIM_REPRESENTANTE_MEDICO!$C:$F,4,0)</f>
        <v>12</v>
      </c>
      <c r="E1058">
        <f>VLOOKUP(tblTargetMedicos[[#This Row],[codigo_id]],[1]DIM_REPRESENTANTE_MEDICO!$C:$F,3,0)</f>
        <v>5</v>
      </c>
      <c r="F1058" s="27" t="s">
        <v>5796</v>
      </c>
      <c r="G1058" s="27" t="s">
        <v>5784</v>
      </c>
      <c r="H1058" s="27" t="s">
        <v>95</v>
      </c>
      <c r="I1058">
        <v>1</v>
      </c>
    </row>
    <row r="1059" spans="1:9">
      <c r="A1059" t="s">
        <v>1474</v>
      </c>
      <c r="B1059" s="27" t="s">
        <v>3223</v>
      </c>
      <c r="C1059" s="27" t="s">
        <v>5769</v>
      </c>
      <c r="D1059">
        <f>VLOOKUP(tblTargetMedicos[[#This Row],[codigo_id]],[1]DIM_REPRESENTANTE_MEDICO!$C:$F,4,0)</f>
        <v>12</v>
      </c>
      <c r="E1059">
        <f>VLOOKUP(tblTargetMedicos[[#This Row],[codigo_id]],[1]DIM_REPRESENTANTE_MEDICO!$C:$F,3,0)</f>
        <v>5</v>
      </c>
      <c r="F1059" s="27" t="s">
        <v>5796</v>
      </c>
      <c r="G1059" s="27" t="s">
        <v>5785</v>
      </c>
      <c r="H1059" s="27" t="s">
        <v>96</v>
      </c>
      <c r="I1059">
        <v>1</v>
      </c>
    </row>
    <row r="1060" spans="1:9">
      <c r="A1060" t="s">
        <v>1475</v>
      </c>
      <c r="B1060" s="27" t="s">
        <v>3223</v>
      </c>
      <c r="C1060" s="27" t="s">
        <v>5769</v>
      </c>
      <c r="D1060">
        <f>VLOOKUP(tblTargetMedicos[[#This Row],[codigo_id]],[1]DIM_REPRESENTANTE_MEDICO!$C:$F,4,0)</f>
        <v>12</v>
      </c>
      <c r="E1060">
        <f>VLOOKUP(tblTargetMedicos[[#This Row],[codigo_id]],[1]DIM_REPRESENTANTE_MEDICO!$C:$F,3,0)</f>
        <v>5</v>
      </c>
      <c r="F1060" s="27" t="s">
        <v>5796</v>
      </c>
      <c r="G1060" s="27" t="s">
        <v>5786</v>
      </c>
      <c r="H1060" s="27" t="s">
        <v>96</v>
      </c>
      <c r="I1060">
        <v>1</v>
      </c>
    </row>
    <row r="1061" spans="1:9">
      <c r="A1061" t="s">
        <v>1476</v>
      </c>
      <c r="B1061" s="27" t="s">
        <v>3223</v>
      </c>
      <c r="C1061" s="27" t="s">
        <v>5769</v>
      </c>
      <c r="D1061">
        <f>VLOOKUP(tblTargetMedicos[[#This Row],[codigo_id]],[1]DIM_REPRESENTANTE_MEDICO!$C:$F,4,0)</f>
        <v>12</v>
      </c>
      <c r="E1061">
        <f>VLOOKUP(tblTargetMedicos[[#This Row],[codigo_id]],[1]DIM_REPRESENTANTE_MEDICO!$C:$F,3,0)</f>
        <v>5</v>
      </c>
      <c r="F1061" s="27" t="s">
        <v>5796</v>
      </c>
      <c r="G1061" s="27" t="s">
        <v>5783</v>
      </c>
      <c r="H1061" s="27" t="s">
        <v>97</v>
      </c>
      <c r="I1061">
        <v>1</v>
      </c>
    </row>
    <row r="1062" spans="1:9">
      <c r="A1062" t="s">
        <v>1477</v>
      </c>
      <c r="B1062" s="27" t="s">
        <v>3223</v>
      </c>
      <c r="C1062" s="27" t="s">
        <v>5769</v>
      </c>
      <c r="D1062">
        <f>VLOOKUP(tblTargetMedicos[[#This Row],[codigo_id]],[1]DIM_REPRESENTANTE_MEDICO!$C:$F,4,0)</f>
        <v>12</v>
      </c>
      <c r="E1062">
        <f>VLOOKUP(tblTargetMedicos[[#This Row],[codigo_id]],[1]DIM_REPRESENTANTE_MEDICO!$C:$F,3,0)</f>
        <v>5</v>
      </c>
      <c r="F1062" s="27" t="s">
        <v>5796</v>
      </c>
      <c r="G1062" s="27" t="s">
        <v>5789</v>
      </c>
      <c r="H1062" s="27" t="s">
        <v>97</v>
      </c>
      <c r="I1062">
        <v>1</v>
      </c>
    </row>
    <row r="1063" spans="1:9">
      <c r="A1063" t="s">
        <v>1478</v>
      </c>
      <c r="B1063" s="27" t="s">
        <v>3223</v>
      </c>
      <c r="C1063" s="27" t="s">
        <v>5769</v>
      </c>
      <c r="D1063">
        <f>VLOOKUP(tblTargetMedicos[[#This Row],[codigo_id]],[1]DIM_REPRESENTANTE_MEDICO!$C:$F,4,0)</f>
        <v>12</v>
      </c>
      <c r="E1063">
        <f>VLOOKUP(tblTargetMedicos[[#This Row],[codigo_id]],[1]DIM_REPRESENTANTE_MEDICO!$C:$F,3,0)</f>
        <v>5</v>
      </c>
      <c r="F1063" s="27" t="s">
        <v>5796</v>
      </c>
      <c r="G1063" s="27" t="s">
        <v>5784</v>
      </c>
      <c r="H1063" s="27" t="s">
        <v>96</v>
      </c>
      <c r="I1063">
        <v>1</v>
      </c>
    </row>
    <row r="1064" spans="1:9">
      <c r="A1064" t="s">
        <v>1479</v>
      </c>
      <c r="B1064" s="27" t="s">
        <v>3223</v>
      </c>
      <c r="C1064" s="27" t="s">
        <v>5769</v>
      </c>
      <c r="D1064">
        <f>VLOOKUP(tblTargetMedicos[[#This Row],[codigo_id]],[1]DIM_REPRESENTANTE_MEDICO!$C:$F,4,0)</f>
        <v>12</v>
      </c>
      <c r="E1064">
        <f>VLOOKUP(tblTargetMedicos[[#This Row],[codigo_id]],[1]DIM_REPRESENTANTE_MEDICO!$C:$F,3,0)</f>
        <v>5</v>
      </c>
      <c r="F1064" s="27" t="s">
        <v>5796</v>
      </c>
      <c r="G1064" s="27" t="s">
        <v>5783</v>
      </c>
      <c r="H1064" s="27" t="s">
        <v>96</v>
      </c>
      <c r="I1064">
        <v>1</v>
      </c>
    </row>
    <row r="1065" spans="1:9">
      <c r="A1065" t="s">
        <v>1480</v>
      </c>
      <c r="B1065" s="27" t="s">
        <v>3223</v>
      </c>
      <c r="C1065" s="27" t="s">
        <v>5769</v>
      </c>
      <c r="D1065">
        <f>VLOOKUP(tblTargetMedicos[[#This Row],[codigo_id]],[1]DIM_REPRESENTANTE_MEDICO!$C:$F,4,0)</f>
        <v>12</v>
      </c>
      <c r="E1065">
        <f>VLOOKUP(tblTargetMedicos[[#This Row],[codigo_id]],[1]DIM_REPRESENTANTE_MEDICO!$C:$F,3,0)</f>
        <v>5</v>
      </c>
      <c r="F1065" s="27" t="s">
        <v>5796</v>
      </c>
      <c r="G1065" s="27" t="s">
        <v>5784</v>
      </c>
      <c r="H1065" s="27" t="s">
        <v>95</v>
      </c>
      <c r="I1065">
        <v>1</v>
      </c>
    </row>
    <row r="1066" spans="1:9">
      <c r="A1066" t="s">
        <v>1481</v>
      </c>
      <c r="B1066" s="27" t="s">
        <v>3223</v>
      </c>
      <c r="C1066" s="27" t="s">
        <v>5769</v>
      </c>
      <c r="D1066">
        <f>VLOOKUP(tblTargetMedicos[[#This Row],[codigo_id]],[1]DIM_REPRESENTANTE_MEDICO!$C:$F,4,0)</f>
        <v>12</v>
      </c>
      <c r="E1066">
        <f>VLOOKUP(tblTargetMedicos[[#This Row],[codigo_id]],[1]DIM_REPRESENTANTE_MEDICO!$C:$F,3,0)</f>
        <v>5</v>
      </c>
      <c r="F1066" s="27" t="s">
        <v>5796</v>
      </c>
      <c r="G1066" s="27" t="s">
        <v>5781</v>
      </c>
      <c r="H1066" s="27" t="s">
        <v>96</v>
      </c>
      <c r="I1066">
        <v>1</v>
      </c>
    </row>
    <row r="1067" spans="1:9">
      <c r="A1067" t="s">
        <v>1482</v>
      </c>
      <c r="B1067" s="27" t="s">
        <v>3223</v>
      </c>
      <c r="C1067" s="27" t="s">
        <v>5769</v>
      </c>
      <c r="D1067">
        <f>VLOOKUP(tblTargetMedicos[[#This Row],[codigo_id]],[1]DIM_REPRESENTANTE_MEDICO!$C:$F,4,0)</f>
        <v>12</v>
      </c>
      <c r="E1067">
        <f>VLOOKUP(tblTargetMedicos[[#This Row],[codigo_id]],[1]DIM_REPRESENTANTE_MEDICO!$C:$F,3,0)</f>
        <v>5</v>
      </c>
      <c r="F1067" s="27" t="s">
        <v>5796</v>
      </c>
      <c r="G1067" s="27" t="s">
        <v>5782</v>
      </c>
      <c r="H1067" s="27" t="s">
        <v>97</v>
      </c>
      <c r="I1067">
        <v>1</v>
      </c>
    </row>
    <row r="1068" spans="1:9">
      <c r="A1068" t="s">
        <v>1483</v>
      </c>
      <c r="B1068" s="27" t="s">
        <v>3223</v>
      </c>
      <c r="C1068" s="27" t="s">
        <v>5769</v>
      </c>
      <c r="D1068">
        <f>VLOOKUP(tblTargetMedicos[[#This Row],[codigo_id]],[1]DIM_REPRESENTANTE_MEDICO!$C:$F,4,0)</f>
        <v>12</v>
      </c>
      <c r="E1068">
        <f>VLOOKUP(tblTargetMedicos[[#This Row],[codigo_id]],[1]DIM_REPRESENTANTE_MEDICO!$C:$F,3,0)</f>
        <v>5</v>
      </c>
      <c r="F1068" s="27" t="s">
        <v>5796</v>
      </c>
      <c r="G1068" s="27" t="s">
        <v>5781</v>
      </c>
      <c r="H1068" s="27" t="s">
        <v>5793</v>
      </c>
      <c r="I1068">
        <v>1</v>
      </c>
    </row>
    <row r="1069" spans="1:9">
      <c r="A1069" t="s">
        <v>1484</v>
      </c>
      <c r="B1069" s="27" t="s">
        <v>3223</v>
      </c>
      <c r="C1069" s="27" t="s">
        <v>5769</v>
      </c>
      <c r="D1069">
        <f>VLOOKUP(tblTargetMedicos[[#This Row],[codigo_id]],[1]DIM_REPRESENTANTE_MEDICO!$C:$F,4,0)</f>
        <v>12</v>
      </c>
      <c r="E1069">
        <f>VLOOKUP(tblTargetMedicos[[#This Row],[codigo_id]],[1]DIM_REPRESENTANTE_MEDICO!$C:$F,3,0)</f>
        <v>5</v>
      </c>
      <c r="F1069" s="27" t="s">
        <v>5796</v>
      </c>
      <c r="G1069" s="27" t="s">
        <v>5786</v>
      </c>
      <c r="H1069" s="27" t="s">
        <v>96</v>
      </c>
      <c r="I1069">
        <v>1</v>
      </c>
    </row>
    <row r="1070" spans="1:9">
      <c r="A1070" t="s">
        <v>1485</v>
      </c>
      <c r="B1070" s="27" t="s">
        <v>3223</v>
      </c>
      <c r="C1070" s="27" t="s">
        <v>5769</v>
      </c>
      <c r="D1070">
        <f>VLOOKUP(tblTargetMedicos[[#This Row],[codigo_id]],[1]DIM_REPRESENTANTE_MEDICO!$C:$F,4,0)</f>
        <v>12</v>
      </c>
      <c r="E1070">
        <f>VLOOKUP(tblTargetMedicos[[#This Row],[codigo_id]],[1]DIM_REPRESENTANTE_MEDICO!$C:$F,3,0)</f>
        <v>5</v>
      </c>
      <c r="F1070" s="27" t="s">
        <v>5796</v>
      </c>
      <c r="G1070" s="27" t="s">
        <v>5781</v>
      </c>
      <c r="H1070" s="27" t="s">
        <v>95</v>
      </c>
      <c r="I1070">
        <v>1</v>
      </c>
    </row>
    <row r="1071" spans="1:9">
      <c r="A1071" t="s">
        <v>1486</v>
      </c>
      <c r="B1071" s="27" t="s">
        <v>3223</v>
      </c>
      <c r="C1071" s="27" t="s">
        <v>5769</v>
      </c>
      <c r="D1071">
        <f>VLOOKUP(tblTargetMedicos[[#This Row],[codigo_id]],[1]DIM_REPRESENTANTE_MEDICO!$C:$F,4,0)</f>
        <v>12</v>
      </c>
      <c r="E1071">
        <f>VLOOKUP(tblTargetMedicos[[#This Row],[codigo_id]],[1]DIM_REPRESENTANTE_MEDICO!$C:$F,3,0)</f>
        <v>5</v>
      </c>
      <c r="F1071" s="27" t="s">
        <v>5796</v>
      </c>
      <c r="G1071" s="27" t="s">
        <v>5783</v>
      </c>
      <c r="H1071" s="27" t="s">
        <v>96</v>
      </c>
      <c r="I1071">
        <v>1</v>
      </c>
    </row>
    <row r="1072" spans="1:9">
      <c r="A1072" t="s">
        <v>1487</v>
      </c>
      <c r="B1072" s="27" t="s">
        <v>3223</v>
      </c>
      <c r="C1072" s="27" t="s">
        <v>5769</v>
      </c>
      <c r="D1072">
        <f>VLOOKUP(tblTargetMedicos[[#This Row],[codigo_id]],[1]DIM_REPRESENTANTE_MEDICO!$C:$F,4,0)</f>
        <v>12</v>
      </c>
      <c r="E1072">
        <f>VLOOKUP(tblTargetMedicos[[#This Row],[codigo_id]],[1]DIM_REPRESENTANTE_MEDICO!$C:$F,3,0)</f>
        <v>5</v>
      </c>
      <c r="F1072" s="27" t="s">
        <v>5796</v>
      </c>
      <c r="G1072" s="27" t="s">
        <v>5779</v>
      </c>
      <c r="H1072" s="27" t="s">
        <v>96</v>
      </c>
      <c r="I1072">
        <v>1</v>
      </c>
    </row>
    <row r="1073" spans="1:9">
      <c r="A1073" t="s">
        <v>1488</v>
      </c>
      <c r="B1073" s="27" t="s">
        <v>3223</v>
      </c>
      <c r="C1073" s="27" t="s">
        <v>5769</v>
      </c>
      <c r="D1073">
        <f>VLOOKUP(tblTargetMedicos[[#This Row],[codigo_id]],[1]DIM_REPRESENTANTE_MEDICO!$C:$F,4,0)</f>
        <v>12</v>
      </c>
      <c r="E1073">
        <f>VLOOKUP(tblTargetMedicos[[#This Row],[codigo_id]],[1]DIM_REPRESENTANTE_MEDICO!$C:$F,3,0)</f>
        <v>5</v>
      </c>
      <c r="F1073" s="27" t="s">
        <v>5796</v>
      </c>
      <c r="G1073" s="27" t="s">
        <v>5783</v>
      </c>
      <c r="H1073" s="27" t="s">
        <v>96</v>
      </c>
      <c r="I1073">
        <v>1</v>
      </c>
    </row>
    <row r="1074" spans="1:9">
      <c r="A1074" t="s">
        <v>1489</v>
      </c>
      <c r="B1074" s="27" t="s">
        <v>3223</v>
      </c>
      <c r="C1074" s="27" t="s">
        <v>5769</v>
      </c>
      <c r="D1074">
        <f>VLOOKUP(tblTargetMedicos[[#This Row],[codigo_id]],[1]DIM_REPRESENTANTE_MEDICO!$C:$F,4,0)</f>
        <v>12</v>
      </c>
      <c r="E1074">
        <f>VLOOKUP(tblTargetMedicos[[#This Row],[codigo_id]],[1]DIM_REPRESENTANTE_MEDICO!$C:$F,3,0)</f>
        <v>5</v>
      </c>
      <c r="F1074" s="27" t="s">
        <v>5796</v>
      </c>
      <c r="G1074" s="27" t="s">
        <v>5781</v>
      </c>
      <c r="H1074" s="27" t="s">
        <v>96</v>
      </c>
      <c r="I1074">
        <v>1</v>
      </c>
    </row>
    <row r="1075" spans="1:9">
      <c r="A1075" t="s">
        <v>1490</v>
      </c>
      <c r="B1075" s="27" t="s">
        <v>3223</v>
      </c>
      <c r="C1075" s="27" t="s">
        <v>5769</v>
      </c>
      <c r="D1075">
        <f>VLOOKUP(tblTargetMedicos[[#This Row],[codigo_id]],[1]DIM_REPRESENTANTE_MEDICO!$C:$F,4,0)</f>
        <v>12</v>
      </c>
      <c r="E1075">
        <f>VLOOKUP(tblTargetMedicos[[#This Row],[codigo_id]],[1]DIM_REPRESENTANTE_MEDICO!$C:$F,3,0)</f>
        <v>5</v>
      </c>
      <c r="F1075" s="27" t="s">
        <v>5796</v>
      </c>
      <c r="G1075" s="27" t="s">
        <v>5783</v>
      </c>
      <c r="H1075" s="27" t="s">
        <v>95</v>
      </c>
      <c r="I1075">
        <v>1</v>
      </c>
    </row>
    <row r="1076" spans="1:9">
      <c r="A1076" t="s">
        <v>1491</v>
      </c>
      <c r="B1076" s="27" t="s">
        <v>3223</v>
      </c>
      <c r="C1076" s="27" t="s">
        <v>5769</v>
      </c>
      <c r="D1076">
        <f>VLOOKUP(tblTargetMedicos[[#This Row],[codigo_id]],[1]DIM_REPRESENTANTE_MEDICO!$C:$F,4,0)</f>
        <v>12</v>
      </c>
      <c r="E1076">
        <f>VLOOKUP(tblTargetMedicos[[#This Row],[codigo_id]],[1]DIM_REPRESENTANTE_MEDICO!$C:$F,3,0)</f>
        <v>5</v>
      </c>
      <c r="F1076" s="27" t="s">
        <v>5796</v>
      </c>
      <c r="G1076" s="27" t="s">
        <v>5792</v>
      </c>
      <c r="H1076" s="27" t="s">
        <v>97</v>
      </c>
      <c r="I1076">
        <v>1</v>
      </c>
    </row>
    <row r="1077" spans="1:9">
      <c r="A1077" t="s">
        <v>1492</v>
      </c>
      <c r="B1077" s="27" t="s">
        <v>3223</v>
      </c>
      <c r="C1077" s="27" t="s">
        <v>5769</v>
      </c>
      <c r="D1077">
        <f>VLOOKUP(tblTargetMedicos[[#This Row],[codigo_id]],[1]DIM_REPRESENTANTE_MEDICO!$C:$F,4,0)</f>
        <v>12</v>
      </c>
      <c r="E1077">
        <f>VLOOKUP(tblTargetMedicos[[#This Row],[codigo_id]],[1]DIM_REPRESENTANTE_MEDICO!$C:$F,3,0)</f>
        <v>5</v>
      </c>
      <c r="F1077" s="27" t="s">
        <v>5796</v>
      </c>
      <c r="G1077" s="27" t="s">
        <v>5781</v>
      </c>
      <c r="H1077" s="27" t="s">
        <v>95</v>
      </c>
      <c r="I1077">
        <v>1</v>
      </c>
    </row>
    <row r="1078" spans="1:9">
      <c r="A1078" t="s">
        <v>1493</v>
      </c>
      <c r="B1078" s="27" t="s">
        <v>3223</v>
      </c>
      <c r="C1078" s="27" t="s">
        <v>5769</v>
      </c>
      <c r="D1078">
        <f>VLOOKUP(tblTargetMedicos[[#This Row],[codigo_id]],[1]DIM_REPRESENTANTE_MEDICO!$C:$F,4,0)</f>
        <v>12</v>
      </c>
      <c r="E1078">
        <f>VLOOKUP(tblTargetMedicos[[#This Row],[codigo_id]],[1]DIM_REPRESENTANTE_MEDICO!$C:$F,3,0)</f>
        <v>5</v>
      </c>
      <c r="F1078" s="27" t="s">
        <v>5796</v>
      </c>
      <c r="G1078" s="27" t="s">
        <v>5783</v>
      </c>
      <c r="H1078" s="27" t="s">
        <v>96</v>
      </c>
      <c r="I1078">
        <v>1</v>
      </c>
    </row>
    <row r="1079" spans="1:9">
      <c r="A1079" t="s">
        <v>1494</v>
      </c>
      <c r="B1079" s="27" t="s">
        <v>3223</v>
      </c>
      <c r="C1079" s="27" t="s">
        <v>5769</v>
      </c>
      <c r="D1079">
        <f>VLOOKUP(tblTargetMedicos[[#This Row],[codigo_id]],[1]DIM_REPRESENTANTE_MEDICO!$C:$F,4,0)</f>
        <v>12</v>
      </c>
      <c r="E1079">
        <f>VLOOKUP(tblTargetMedicos[[#This Row],[codigo_id]],[1]DIM_REPRESENTANTE_MEDICO!$C:$F,3,0)</f>
        <v>5</v>
      </c>
      <c r="F1079" s="27" t="s">
        <v>5796</v>
      </c>
      <c r="G1079" s="27" t="s">
        <v>5787</v>
      </c>
      <c r="H1079" s="27" t="s">
        <v>96</v>
      </c>
      <c r="I1079">
        <v>1</v>
      </c>
    </row>
    <row r="1080" spans="1:9">
      <c r="A1080" t="s">
        <v>1495</v>
      </c>
      <c r="B1080" s="27" t="s">
        <v>3223</v>
      </c>
      <c r="C1080" s="27" t="s">
        <v>5769</v>
      </c>
      <c r="D1080">
        <f>VLOOKUP(tblTargetMedicos[[#This Row],[codigo_id]],[1]DIM_REPRESENTANTE_MEDICO!$C:$F,4,0)</f>
        <v>12</v>
      </c>
      <c r="E1080">
        <f>VLOOKUP(tblTargetMedicos[[#This Row],[codigo_id]],[1]DIM_REPRESENTANTE_MEDICO!$C:$F,3,0)</f>
        <v>5</v>
      </c>
      <c r="F1080" s="27" t="s">
        <v>5796</v>
      </c>
      <c r="G1080" s="27" t="s">
        <v>5784</v>
      </c>
      <c r="H1080" s="27" t="s">
        <v>96</v>
      </c>
      <c r="I1080">
        <v>1</v>
      </c>
    </row>
    <row r="1081" spans="1:9">
      <c r="A1081" t="s">
        <v>1496</v>
      </c>
      <c r="B1081" s="27" t="s">
        <v>3223</v>
      </c>
      <c r="C1081" s="27" t="s">
        <v>5769</v>
      </c>
      <c r="D1081">
        <f>VLOOKUP(tblTargetMedicos[[#This Row],[codigo_id]],[1]DIM_REPRESENTANTE_MEDICO!$C:$F,4,0)</f>
        <v>12</v>
      </c>
      <c r="E1081">
        <f>VLOOKUP(tblTargetMedicos[[#This Row],[codigo_id]],[1]DIM_REPRESENTANTE_MEDICO!$C:$F,3,0)</f>
        <v>5</v>
      </c>
      <c r="F1081" s="27" t="s">
        <v>5796</v>
      </c>
      <c r="G1081" s="27" t="s">
        <v>5784</v>
      </c>
      <c r="H1081" s="27" t="s">
        <v>97</v>
      </c>
      <c r="I1081">
        <v>1</v>
      </c>
    </row>
    <row r="1082" spans="1:9">
      <c r="A1082" t="s">
        <v>1497</v>
      </c>
      <c r="B1082" s="27" t="s">
        <v>3223</v>
      </c>
      <c r="C1082" s="27" t="s">
        <v>5769</v>
      </c>
      <c r="D1082">
        <f>VLOOKUP(tblTargetMedicos[[#This Row],[codigo_id]],[1]DIM_REPRESENTANTE_MEDICO!$C:$F,4,0)</f>
        <v>12</v>
      </c>
      <c r="E1082">
        <f>VLOOKUP(tblTargetMedicos[[#This Row],[codigo_id]],[1]DIM_REPRESENTANTE_MEDICO!$C:$F,3,0)</f>
        <v>5</v>
      </c>
      <c r="F1082" s="27" t="s">
        <v>5796</v>
      </c>
      <c r="G1082" s="27" t="s">
        <v>5781</v>
      </c>
      <c r="H1082" s="27" t="s">
        <v>97</v>
      </c>
      <c r="I1082">
        <v>1</v>
      </c>
    </row>
    <row r="1083" spans="1:9">
      <c r="A1083" t="s">
        <v>1498</v>
      </c>
      <c r="B1083" s="27" t="s">
        <v>3223</v>
      </c>
      <c r="C1083" s="27" t="s">
        <v>5769</v>
      </c>
      <c r="D1083">
        <f>VLOOKUP(tblTargetMedicos[[#This Row],[codigo_id]],[1]DIM_REPRESENTANTE_MEDICO!$C:$F,4,0)</f>
        <v>12</v>
      </c>
      <c r="E1083">
        <f>VLOOKUP(tblTargetMedicos[[#This Row],[codigo_id]],[1]DIM_REPRESENTANTE_MEDICO!$C:$F,3,0)</f>
        <v>5</v>
      </c>
      <c r="F1083" s="27" t="s">
        <v>5796</v>
      </c>
      <c r="G1083" s="27" t="s">
        <v>5779</v>
      </c>
      <c r="H1083" s="27" t="s">
        <v>97</v>
      </c>
      <c r="I1083">
        <v>1</v>
      </c>
    </row>
    <row r="1084" spans="1:9">
      <c r="A1084" t="s">
        <v>1499</v>
      </c>
      <c r="B1084" s="27" t="s">
        <v>3223</v>
      </c>
      <c r="C1084" s="27" t="s">
        <v>5769</v>
      </c>
      <c r="D1084">
        <f>VLOOKUP(tblTargetMedicos[[#This Row],[codigo_id]],[1]DIM_REPRESENTANTE_MEDICO!$C:$F,4,0)</f>
        <v>12</v>
      </c>
      <c r="E1084">
        <f>VLOOKUP(tblTargetMedicos[[#This Row],[codigo_id]],[1]DIM_REPRESENTANTE_MEDICO!$C:$F,3,0)</f>
        <v>5</v>
      </c>
      <c r="F1084" s="27" t="s">
        <v>5796</v>
      </c>
      <c r="G1084" s="27" t="s">
        <v>5783</v>
      </c>
      <c r="H1084" s="27" t="s">
        <v>95</v>
      </c>
      <c r="I1084">
        <v>1</v>
      </c>
    </row>
    <row r="1085" spans="1:9">
      <c r="A1085" t="s">
        <v>1500</v>
      </c>
      <c r="B1085" s="27" t="s">
        <v>3223</v>
      </c>
      <c r="C1085" s="27" t="s">
        <v>5769</v>
      </c>
      <c r="D1085">
        <f>VLOOKUP(tblTargetMedicos[[#This Row],[codigo_id]],[1]DIM_REPRESENTANTE_MEDICO!$C:$F,4,0)</f>
        <v>12</v>
      </c>
      <c r="E1085">
        <f>VLOOKUP(tblTargetMedicos[[#This Row],[codigo_id]],[1]DIM_REPRESENTANTE_MEDICO!$C:$F,3,0)</f>
        <v>5</v>
      </c>
      <c r="F1085" s="27" t="s">
        <v>5796</v>
      </c>
      <c r="G1085" s="27" t="s">
        <v>5784</v>
      </c>
      <c r="H1085" s="27" t="s">
        <v>96</v>
      </c>
      <c r="I1085">
        <v>1</v>
      </c>
    </row>
    <row r="1086" spans="1:9">
      <c r="A1086" t="s">
        <v>1501</v>
      </c>
      <c r="B1086" s="27" t="s">
        <v>3223</v>
      </c>
      <c r="C1086" s="27" t="s">
        <v>5769</v>
      </c>
      <c r="D1086">
        <f>VLOOKUP(tblTargetMedicos[[#This Row],[codigo_id]],[1]DIM_REPRESENTANTE_MEDICO!$C:$F,4,0)</f>
        <v>12</v>
      </c>
      <c r="E1086">
        <f>VLOOKUP(tblTargetMedicos[[#This Row],[codigo_id]],[1]DIM_REPRESENTANTE_MEDICO!$C:$F,3,0)</f>
        <v>5</v>
      </c>
      <c r="F1086" s="27" t="s">
        <v>5796</v>
      </c>
      <c r="G1086" s="27" t="s">
        <v>5787</v>
      </c>
      <c r="H1086" s="27" t="s">
        <v>95</v>
      </c>
      <c r="I1086">
        <v>1</v>
      </c>
    </row>
    <row r="1087" spans="1:9">
      <c r="A1087" t="s">
        <v>1502</v>
      </c>
      <c r="B1087" s="27" t="s">
        <v>3223</v>
      </c>
      <c r="C1087" s="27" t="s">
        <v>5769</v>
      </c>
      <c r="D1087">
        <f>VLOOKUP(tblTargetMedicos[[#This Row],[codigo_id]],[1]DIM_REPRESENTANTE_MEDICO!$C:$F,4,0)</f>
        <v>12</v>
      </c>
      <c r="E1087">
        <f>VLOOKUP(tblTargetMedicos[[#This Row],[codigo_id]],[1]DIM_REPRESENTANTE_MEDICO!$C:$F,3,0)</f>
        <v>5</v>
      </c>
      <c r="F1087" s="27" t="s">
        <v>5796</v>
      </c>
      <c r="G1087" s="27" t="s">
        <v>5784</v>
      </c>
      <c r="H1087" s="27" t="s">
        <v>95</v>
      </c>
      <c r="I1087">
        <v>1</v>
      </c>
    </row>
    <row r="1088" spans="1:9">
      <c r="A1088" t="s">
        <v>1503</v>
      </c>
      <c r="B1088" s="27" t="s">
        <v>3223</v>
      </c>
      <c r="C1088" s="27" t="s">
        <v>5769</v>
      </c>
      <c r="D1088">
        <f>VLOOKUP(tblTargetMedicos[[#This Row],[codigo_id]],[1]DIM_REPRESENTANTE_MEDICO!$C:$F,4,0)</f>
        <v>12</v>
      </c>
      <c r="E1088">
        <f>VLOOKUP(tblTargetMedicos[[#This Row],[codigo_id]],[1]DIM_REPRESENTANTE_MEDICO!$C:$F,3,0)</f>
        <v>5</v>
      </c>
      <c r="F1088" s="27" t="s">
        <v>5796</v>
      </c>
      <c r="G1088" s="27" t="s">
        <v>5786</v>
      </c>
      <c r="H1088" s="27" t="s">
        <v>96</v>
      </c>
      <c r="I1088">
        <v>1</v>
      </c>
    </row>
    <row r="1089" spans="1:9">
      <c r="A1089" t="s">
        <v>1504</v>
      </c>
      <c r="B1089" s="27" t="s">
        <v>3223</v>
      </c>
      <c r="C1089" s="27" t="s">
        <v>5769</v>
      </c>
      <c r="D1089">
        <f>VLOOKUP(tblTargetMedicos[[#This Row],[codigo_id]],[1]DIM_REPRESENTANTE_MEDICO!$C:$F,4,0)</f>
        <v>12</v>
      </c>
      <c r="E1089">
        <f>VLOOKUP(tblTargetMedicos[[#This Row],[codigo_id]],[1]DIM_REPRESENTANTE_MEDICO!$C:$F,3,0)</f>
        <v>5</v>
      </c>
      <c r="F1089" s="27" t="s">
        <v>5796</v>
      </c>
      <c r="G1089" s="27" t="s">
        <v>5789</v>
      </c>
      <c r="H1089" s="27" t="s">
        <v>96</v>
      </c>
      <c r="I1089">
        <v>1</v>
      </c>
    </row>
    <row r="1090" spans="1:9">
      <c r="A1090" t="s">
        <v>1505</v>
      </c>
      <c r="B1090" s="27" t="s">
        <v>3223</v>
      </c>
      <c r="C1090" s="27" t="s">
        <v>5769</v>
      </c>
      <c r="D1090">
        <f>VLOOKUP(tblTargetMedicos[[#This Row],[codigo_id]],[1]DIM_REPRESENTANTE_MEDICO!$C:$F,4,0)</f>
        <v>12</v>
      </c>
      <c r="E1090">
        <f>VLOOKUP(tblTargetMedicos[[#This Row],[codigo_id]],[1]DIM_REPRESENTANTE_MEDICO!$C:$F,3,0)</f>
        <v>5</v>
      </c>
      <c r="F1090" s="27" t="s">
        <v>5796</v>
      </c>
      <c r="G1090" s="27" t="s">
        <v>5789</v>
      </c>
      <c r="H1090" s="27" t="s">
        <v>95</v>
      </c>
      <c r="I1090">
        <v>1</v>
      </c>
    </row>
    <row r="1091" spans="1:9">
      <c r="A1091" t="s">
        <v>1506</v>
      </c>
      <c r="B1091" s="27" t="s">
        <v>3223</v>
      </c>
      <c r="C1091" s="27" t="s">
        <v>5769</v>
      </c>
      <c r="D1091">
        <f>VLOOKUP(tblTargetMedicos[[#This Row],[codigo_id]],[1]DIM_REPRESENTANTE_MEDICO!$C:$F,4,0)</f>
        <v>12</v>
      </c>
      <c r="E1091">
        <f>VLOOKUP(tblTargetMedicos[[#This Row],[codigo_id]],[1]DIM_REPRESENTANTE_MEDICO!$C:$F,3,0)</f>
        <v>5</v>
      </c>
      <c r="F1091" s="27" t="s">
        <v>5796</v>
      </c>
      <c r="G1091" s="27" t="s">
        <v>5783</v>
      </c>
      <c r="H1091" s="27" t="s">
        <v>95</v>
      </c>
      <c r="I1091">
        <v>1</v>
      </c>
    </row>
    <row r="1092" spans="1:9">
      <c r="A1092" t="s">
        <v>1507</v>
      </c>
      <c r="B1092" s="27" t="s">
        <v>3223</v>
      </c>
      <c r="C1092" s="27" t="s">
        <v>5769</v>
      </c>
      <c r="D1092">
        <f>VLOOKUP(tblTargetMedicos[[#This Row],[codigo_id]],[1]DIM_REPRESENTANTE_MEDICO!$C:$F,4,0)</f>
        <v>12</v>
      </c>
      <c r="E1092">
        <f>VLOOKUP(tblTargetMedicos[[#This Row],[codigo_id]],[1]DIM_REPRESENTANTE_MEDICO!$C:$F,3,0)</f>
        <v>5</v>
      </c>
      <c r="F1092" s="27" t="s">
        <v>5796</v>
      </c>
      <c r="G1092" s="27" t="s">
        <v>5779</v>
      </c>
      <c r="H1092" s="27" t="s">
        <v>95</v>
      </c>
      <c r="I1092">
        <v>1</v>
      </c>
    </row>
    <row r="1093" spans="1:9">
      <c r="A1093" t="s">
        <v>1508</v>
      </c>
      <c r="B1093" s="27" t="s">
        <v>3223</v>
      </c>
      <c r="C1093" s="27" t="s">
        <v>5769</v>
      </c>
      <c r="D1093">
        <f>VLOOKUP(tblTargetMedicos[[#This Row],[codigo_id]],[1]DIM_REPRESENTANTE_MEDICO!$C:$F,4,0)</f>
        <v>12</v>
      </c>
      <c r="E1093">
        <f>VLOOKUP(tblTargetMedicos[[#This Row],[codigo_id]],[1]DIM_REPRESENTANTE_MEDICO!$C:$F,3,0)</f>
        <v>5</v>
      </c>
      <c r="F1093" s="27" t="s">
        <v>5796</v>
      </c>
      <c r="G1093" s="27" t="s">
        <v>5782</v>
      </c>
      <c r="H1093" s="27" t="s">
        <v>97</v>
      </c>
      <c r="I1093">
        <v>1</v>
      </c>
    </row>
    <row r="1094" spans="1:9">
      <c r="A1094" t="s">
        <v>1509</v>
      </c>
      <c r="B1094" s="27" t="s">
        <v>3223</v>
      </c>
      <c r="C1094" s="27" t="s">
        <v>5769</v>
      </c>
      <c r="D1094">
        <f>VLOOKUP(tblTargetMedicos[[#This Row],[codigo_id]],[1]DIM_REPRESENTANTE_MEDICO!$C:$F,4,0)</f>
        <v>12</v>
      </c>
      <c r="E1094">
        <f>VLOOKUP(tblTargetMedicos[[#This Row],[codigo_id]],[1]DIM_REPRESENTANTE_MEDICO!$C:$F,3,0)</f>
        <v>5</v>
      </c>
      <c r="F1094" s="27" t="s">
        <v>5796</v>
      </c>
      <c r="G1094" s="27" t="s">
        <v>5787</v>
      </c>
      <c r="H1094" s="27" t="s">
        <v>95</v>
      </c>
      <c r="I1094">
        <v>1</v>
      </c>
    </row>
    <row r="1095" spans="1:9">
      <c r="A1095" t="s">
        <v>1510</v>
      </c>
      <c r="B1095" s="27" t="s">
        <v>3223</v>
      </c>
      <c r="C1095" s="27" t="s">
        <v>5769</v>
      </c>
      <c r="D1095">
        <f>VLOOKUP(tblTargetMedicos[[#This Row],[codigo_id]],[1]DIM_REPRESENTANTE_MEDICO!$C:$F,4,0)</f>
        <v>12</v>
      </c>
      <c r="E1095">
        <f>VLOOKUP(tblTargetMedicos[[#This Row],[codigo_id]],[1]DIM_REPRESENTANTE_MEDICO!$C:$F,3,0)</f>
        <v>5</v>
      </c>
      <c r="F1095" s="27" t="s">
        <v>5796</v>
      </c>
      <c r="G1095" s="27" t="s">
        <v>5786</v>
      </c>
      <c r="H1095" s="27" t="s">
        <v>95</v>
      </c>
      <c r="I1095">
        <v>1</v>
      </c>
    </row>
    <row r="1096" spans="1:9">
      <c r="A1096" t="s">
        <v>1511</v>
      </c>
      <c r="B1096" s="27" t="s">
        <v>3223</v>
      </c>
      <c r="C1096" s="27" t="s">
        <v>5769</v>
      </c>
      <c r="D1096">
        <f>VLOOKUP(tblTargetMedicos[[#This Row],[codigo_id]],[1]DIM_REPRESENTANTE_MEDICO!$C:$F,4,0)</f>
        <v>12</v>
      </c>
      <c r="E1096">
        <f>VLOOKUP(tblTargetMedicos[[#This Row],[codigo_id]],[1]DIM_REPRESENTANTE_MEDICO!$C:$F,3,0)</f>
        <v>5</v>
      </c>
      <c r="F1096" s="27" t="s">
        <v>5796</v>
      </c>
      <c r="G1096" s="27" t="s">
        <v>5786</v>
      </c>
      <c r="H1096" s="27" t="s">
        <v>95</v>
      </c>
      <c r="I1096">
        <v>1</v>
      </c>
    </row>
    <row r="1097" spans="1:9">
      <c r="A1097" t="s">
        <v>1512</v>
      </c>
      <c r="B1097" s="27" t="s">
        <v>3223</v>
      </c>
      <c r="C1097" s="27" t="s">
        <v>5769</v>
      </c>
      <c r="D1097">
        <f>VLOOKUP(tblTargetMedicos[[#This Row],[codigo_id]],[1]DIM_REPRESENTANTE_MEDICO!$C:$F,4,0)</f>
        <v>12</v>
      </c>
      <c r="E1097">
        <f>VLOOKUP(tblTargetMedicos[[#This Row],[codigo_id]],[1]DIM_REPRESENTANTE_MEDICO!$C:$F,3,0)</f>
        <v>5</v>
      </c>
      <c r="F1097" s="27" t="s">
        <v>5796</v>
      </c>
      <c r="G1097" s="27" t="s">
        <v>5784</v>
      </c>
      <c r="H1097" s="27" t="s">
        <v>96</v>
      </c>
      <c r="I1097">
        <v>1</v>
      </c>
    </row>
    <row r="1098" spans="1:9">
      <c r="A1098" t="s">
        <v>1513</v>
      </c>
      <c r="B1098" s="27" t="s">
        <v>3223</v>
      </c>
      <c r="C1098" s="27" t="s">
        <v>5769</v>
      </c>
      <c r="D1098">
        <f>VLOOKUP(tblTargetMedicos[[#This Row],[codigo_id]],[1]DIM_REPRESENTANTE_MEDICO!$C:$F,4,0)</f>
        <v>12</v>
      </c>
      <c r="E1098">
        <f>VLOOKUP(tblTargetMedicos[[#This Row],[codigo_id]],[1]DIM_REPRESENTANTE_MEDICO!$C:$F,3,0)</f>
        <v>5</v>
      </c>
      <c r="F1098" s="27" t="s">
        <v>5796</v>
      </c>
      <c r="G1098" s="27" t="s">
        <v>5789</v>
      </c>
      <c r="H1098" s="27" t="s">
        <v>97</v>
      </c>
      <c r="I1098">
        <v>1</v>
      </c>
    </row>
    <row r="1099" spans="1:9">
      <c r="A1099" t="s">
        <v>1514</v>
      </c>
      <c r="B1099" s="27" t="s">
        <v>3223</v>
      </c>
      <c r="C1099" s="27" t="s">
        <v>5769</v>
      </c>
      <c r="D1099">
        <f>VLOOKUP(tblTargetMedicos[[#This Row],[codigo_id]],[1]DIM_REPRESENTANTE_MEDICO!$C:$F,4,0)</f>
        <v>12</v>
      </c>
      <c r="E1099">
        <f>VLOOKUP(tblTargetMedicos[[#This Row],[codigo_id]],[1]DIM_REPRESENTANTE_MEDICO!$C:$F,3,0)</f>
        <v>5</v>
      </c>
      <c r="F1099" s="27" t="s">
        <v>5796</v>
      </c>
      <c r="G1099" s="27" t="s">
        <v>5784</v>
      </c>
      <c r="H1099" s="27" t="s">
        <v>96</v>
      </c>
      <c r="I1099">
        <v>1</v>
      </c>
    </row>
    <row r="1100" spans="1:9">
      <c r="A1100" t="s">
        <v>1515</v>
      </c>
      <c r="B1100" s="27" t="s">
        <v>3223</v>
      </c>
      <c r="C1100" s="27" t="s">
        <v>5769</v>
      </c>
      <c r="D1100">
        <f>VLOOKUP(tblTargetMedicos[[#This Row],[codigo_id]],[1]DIM_REPRESENTANTE_MEDICO!$C:$F,4,0)</f>
        <v>12</v>
      </c>
      <c r="E1100">
        <f>VLOOKUP(tblTargetMedicos[[#This Row],[codigo_id]],[1]DIM_REPRESENTANTE_MEDICO!$C:$F,3,0)</f>
        <v>5</v>
      </c>
      <c r="F1100" s="27" t="s">
        <v>5796</v>
      </c>
      <c r="G1100" s="27" t="s">
        <v>5786</v>
      </c>
      <c r="H1100" s="27" t="s">
        <v>95</v>
      </c>
      <c r="I1100">
        <v>1</v>
      </c>
    </row>
    <row r="1101" spans="1:9">
      <c r="A1101" t="s">
        <v>1516</v>
      </c>
      <c r="B1101" s="27" t="s">
        <v>3223</v>
      </c>
      <c r="C1101" s="27" t="s">
        <v>5769</v>
      </c>
      <c r="D1101">
        <f>VLOOKUP(tblTargetMedicos[[#This Row],[codigo_id]],[1]DIM_REPRESENTANTE_MEDICO!$C:$F,4,0)</f>
        <v>12</v>
      </c>
      <c r="E1101">
        <f>VLOOKUP(tblTargetMedicos[[#This Row],[codigo_id]],[1]DIM_REPRESENTANTE_MEDICO!$C:$F,3,0)</f>
        <v>5</v>
      </c>
      <c r="F1101" s="27" t="s">
        <v>5796</v>
      </c>
      <c r="G1101" s="27" t="s">
        <v>5779</v>
      </c>
      <c r="H1101" s="27" t="s">
        <v>95</v>
      </c>
      <c r="I1101">
        <v>1</v>
      </c>
    </row>
    <row r="1102" spans="1:9">
      <c r="A1102" t="s">
        <v>1517</v>
      </c>
      <c r="B1102" s="27" t="s">
        <v>3223</v>
      </c>
      <c r="C1102" s="27" t="s">
        <v>5769</v>
      </c>
      <c r="D1102">
        <f>VLOOKUP(tblTargetMedicos[[#This Row],[codigo_id]],[1]DIM_REPRESENTANTE_MEDICO!$C:$F,4,0)</f>
        <v>12</v>
      </c>
      <c r="E1102">
        <f>VLOOKUP(tblTargetMedicos[[#This Row],[codigo_id]],[1]DIM_REPRESENTANTE_MEDICO!$C:$F,3,0)</f>
        <v>5</v>
      </c>
      <c r="F1102" s="27" t="s">
        <v>5796</v>
      </c>
      <c r="G1102" s="27" t="s">
        <v>5779</v>
      </c>
      <c r="H1102" s="27" t="s">
        <v>95</v>
      </c>
      <c r="I1102">
        <v>1</v>
      </c>
    </row>
    <row r="1103" spans="1:9">
      <c r="A1103" t="s">
        <v>1518</v>
      </c>
      <c r="B1103" s="27" t="s">
        <v>3223</v>
      </c>
      <c r="C1103" s="27" t="s">
        <v>5769</v>
      </c>
      <c r="D1103">
        <f>VLOOKUP(tblTargetMedicos[[#This Row],[codigo_id]],[1]DIM_REPRESENTANTE_MEDICO!$C:$F,4,0)</f>
        <v>12</v>
      </c>
      <c r="E1103">
        <f>VLOOKUP(tblTargetMedicos[[#This Row],[codigo_id]],[1]DIM_REPRESENTANTE_MEDICO!$C:$F,3,0)</f>
        <v>5</v>
      </c>
      <c r="F1103" s="27" t="s">
        <v>5796</v>
      </c>
      <c r="G1103" s="27" t="s">
        <v>5787</v>
      </c>
      <c r="H1103" s="27" t="s">
        <v>96</v>
      </c>
      <c r="I1103">
        <v>1</v>
      </c>
    </row>
    <row r="1104" spans="1:9">
      <c r="A1104" t="s">
        <v>1519</v>
      </c>
      <c r="B1104" s="27" t="s">
        <v>3223</v>
      </c>
      <c r="C1104" s="27" t="s">
        <v>5769</v>
      </c>
      <c r="D1104">
        <f>VLOOKUP(tblTargetMedicos[[#This Row],[codigo_id]],[1]DIM_REPRESENTANTE_MEDICO!$C:$F,4,0)</f>
        <v>12</v>
      </c>
      <c r="E1104">
        <f>VLOOKUP(tblTargetMedicos[[#This Row],[codigo_id]],[1]DIM_REPRESENTANTE_MEDICO!$C:$F,3,0)</f>
        <v>5</v>
      </c>
      <c r="F1104" s="27" t="s">
        <v>5796</v>
      </c>
      <c r="G1104" s="27" t="s">
        <v>5781</v>
      </c>
      <c r="H1104" s="27" t="s">
        <v>96</v>
      </c>
      <c r="I1104">
        <v>1</v>
      </c>
    </row>
    <row r="1105" spans="1:9">
      <c r="A1105" t="s">
        <v>1520</v>
      </c>
      <c r="B1105" s="27" t="s">
        <v>3223</v>
      </c>
      <c r="C1105" s="27" t="s">
        <v>5769</v>
      </c>
      <c r="D1105">
        <f>VLOOKUP(tblTargetMedicos[[#This Row],[codigo_id]],[1]DIM_REPRESENTANTE_MEDICO!$C:$F,4,0)</f>
        <v>12</v>
      </c>
      <c r="E1105">
        <f>VLOOKUP(tblTargetMedicos[[#This Row],[codigo_id]],[1]DIM_REPRESENTANTE_MEDICO!$C:$F,3,0)</f>
        <v>5</v>
      </c>
      <c r="F1105" s="27" t="s">
        <v>5796</v>
      </c>
      <c r="G1105" s="27" t="s">
        <v>5784</v>
      </c>
      <c r="H1105" s="27" t="s">
        <v>97</v>
      </c>
      <c r="I1105">
        <v>1</v>
      </c>
    </row>
    <row r="1106" spans="1:9">
      <c r="A1106" t="s">
        <v>1521</v>
      </c>
      <c r="B1106" s="27" t="s">
        <v>3223</v>
      </c>
      <c r="C1106" s="27" t="s">
        <v>5769</v>
      </c>
      <c r="D1106">
        <f>VLOOKUP(tblTargetMedicos[[#This Row],[codigo_id]],[1]DIM_REPRESENTANTE_MEDICO!$C:$F,4,0)</f>
        <v>12</v>
      </c>
      <c r="E1106">
        <f>VLOOKUP(tblTargetMedicos[[#This Row],[codigo_id]],[1]DIM_REPRESENTANTE_MEDICO!$C:$F,3,0)</f>
        <v>5</v>
      </c>
      <c r="F1106" s="27" t="s">
        <v>5796</v>
      </c>
      <c r="G1106" s="27" t="s">
        <v>5784</v>
      </c>
      <c r="H1106" s="27" t="s">
        <v>97</v>
      </c>
      <c r="I1106">
        <v>1</v>
      </c>
    </row>
    <row r="1107" spans="1:9">
      <c r="A1107" t="s">
        <v>1522</v>
      </c>
      <c r="B1107" s="27" t="s">
        <v>3223</v>
      </c>
      <c r="C1107" s="27" t="s">
        <v>5769</v>
      </c>
      <c r="D1107">
        <f>VLOOKUP(tblTargetMedicos[[#This Row],[codigo_id]],[1]DIM_REPRESENTANTE_MEDICO!$C:$F,4,0)</f>
        <v>12</v>
      </c>
      <c r="E1107">
        <f>VLOOKUP(tblTargetMedicos[[#This Row],[codigo_id]],[1]DIM_REPRESENTANTE_MEDICO!$C:$F,3,0)</f>
        <v>5</v>
      </c>
      <c r="F1107" s="27" t="s">
        <v>5796</v>
      </c>
      <c r="G1107" s="27" t="s">
        <v>5784</v>
      </c>
      <c r="H1107" s="27" t="s">
        <v>97</v>
      </c>
      <c r="I1107">
        <v>1</v>
      </c>
    </row>
    <row r="1108" spans="1:9">
      <c r="A1108" t="s">
        <v>1523</v>
      </c>
      <c r="B1108" s="27" t="s">
        <v>3223</v>
      </c>
      <c r="C1108" s="27" t="s">
        <v>5769</v>
      </c>
      <c r="D1108">
        <f>VLOOKUP(tblTargetMedicos[[#This Row],[codigo_id]],[1]DIM_REPRESENTANTE_MEDICO!$C:$F,4,0)</f>
        <v>12</v>
      </c>
      <c r="E1108">
        <f>VLOOKUP(tblTargetMedicos[[#This Row],[codigo_id]],[1]DIM_REPRESENTANTE_MEDICO!$C:$F,3,0)</f>
        <v>5</v>
      </c>
      <c r="F1108" s="27" t="s">
        <v>5796</v>
      </c>
      <c r="G1108" s="27" t="s">
        <v>5787</v>
      </c>
      <c r="H1108" s="27" t="s">
        <v>97</v>
      </c>
      <c r="I1108">
        <v>1</v>
      </c>
    </row>
    <row r="1109" spans="1:9">
      <c r="A1109" t="s">
        <v>1524</v>
      </c>
      <c r="B1109" s="27" t="s">
        <v>3223</v>
      </c>
      <c r="C1109" s="27" t="s">
        <v>5769</v>
      </c>
      <c r="D1109">
        <f>VLOOKUP(tblTargetMedicos[[#This Row],[codigo_id]],[1]DIM_REPRESENTANTE_MEDICO!$C:$F,4,0)</f>
        <v>12</v>
      </c>
      <c r="E1109">
        <f>VLOOKUP(tblTargetMedicos[[#This Row],[codigo_id]],[1]DIM_REPRESENTANTE_MEDICO!$C:$F,3,0)</f>
        <v>5</v>
      </c>
      <c r="F1109" s="27" t="s">
        <v>5796</v>
      </c>
      <c r="G1109" s="27" t="s">
        <v>5783</v>
      </c>
      <c r="H1109" s="27" t="s">
        <v>96</v>
      </c>
      <c r="I1109">
        <v>1</v>
      </c>
    </row>
    <row r="1110" spans="1:9">
      <c r="A1110" t="s">
        <v>1525</v>
      </c>
      <c r="B1110" s="27" t="s">
        <v>3223</v>
      </c>
      <c r="C1110" s="27" t="s">
        <v>5769</v>
      </c>
      <c r="D1110">
        <f>VLOOKUP(tblTargetMedicos[[#This Row],[codigo_id]],[1]DIM_REPRESENTANTE_MEDICO!$C:$F,4,0)</f>
        <v>12</v>
      </c>
      <c r="E1110">
        <f>VLOOKUP(tblTargetMedicos[[#This Row],[codigo_id]],[1]DIM_REPRESENTANTE_MEDICO!$C:$F,3,0)</f>
        <v>5</v>
      </c>
      <c r="F1110" s="27" t="s">
        <v>5796</v>
      </c>
      <c r="G1110" s="27" t="s">
        <v>5783</v>
      </c>
      <c r="H1110" s="27" t="s">
        <v>95</v>
      </c>
      <c r="I1110">
        <v>1</v>
      </c>
    </row>
    <row r="1111" spans="1:9">
      <c r="A1111" t="s">
        <v>1526</v>
      </c>
      <c r="B1111" s="27" t="s">
        <v>3223</v>
      </c>
      <c r="C1111" s="27" t="s">
        <v>5769</v>
      </c>
      <c r="D1111">
        <f>VLOOKUP(tblTargetMedicos[[#This Row],[codigo_id]],[1]DIM_REPRESENTANTE_MEDICO!$C:$F,4,0)</f>
        <v>12</v>
      </c>
      <c r="E1111">
        <f>VLOOKUP(tblTargetMedicos[[#This Row],[codigo_id]],[1]DIM_REPRESENTANTE_MEDICO!$C:$F,3,0)</f>
        <v>5</v>
      </c>
      <c r="F1111" s="27" t="s">
        <v>5796</v>
      </c>
      <c r="G1111" s="27" t="s">
        <v>5781</v>
      </c>
      <c r="H1111" s="27" t="s">
        <v>97</v>
      </c>
      <c r="I1111">
        <v>1</v>
      </c>
    </row>
    <row r="1112" spans="1:9">
      <c r="A1112" t="s">
        <v>1527</v>
      </c>
      <c r="B1112" s="27" t="s">
        <v>3223</v>
      </c>
      <c r="C1112" s="27" t="s">
        <v>5769</v>
      </c>
      <c r="D1112">
        <f>VLOOKUP(tblTargetMedicos[[#This Row],[codigo_id]],[1]DIM_REPRESENTANTE_MEDICO!$C:$F,4,0)</f>
        <v>12</v>
      </c>
      <c r="E1112">
        <f>VLOOKUP(tblTargetMedicos[[#This Row],[codigo_id]],[1]DIM_REPRESENTANTE_MEDICO!$C:$F,3,0)</f>
        <v>5</v>
      </c>
      <c r="F1112" s="27" t="s">
        <v>5796</v>
      </c>
      <c r="G1112" s="27" t="s">
        <v>5783</v>
      </c>
      <c r="H1112" s="27" t="s">
        <v>96</v>
      </c>
      <c r="I1112">
        <v>1</v>
      </c>
    </row>
    <row r="1113" spans="1:9">
      <c r="A1113" t="s">
        <v>1528</v>
      </c>
      <c r="B1113" s="27" t="s">
        <v>3223</v>
      </c>
      <c r="C1113" s="27" t="s">
        <v>5769</v>
      </c>
      <c r="D1113">
        <f>VLOOKUP(tblTargetMedicos[[#This Row],[codigo_id]],[1]DIM_REPRESENTANTE_MEDICO!$C:$F,4,0)</f>
        <v>12</v>
      </c>
      <c r="E1113">
        <f>VLOOKUP(tblTargetMedicos[[#This Row],[codigo_id]],[1]DIM_REPRESENTANTE_MEDICO!$C:$F,3,0)</f>
        <v>5</v>
      </c>
      <c r="F1113" s="27" t="s">
        <v>5796</v>
      </c>
      <c r="G1113" s="27" t="s">
        <v>5784</v>
      </c>
      <c r="H1113" s="27" t="s">
        <v>95</v>
      </c>
      <c r="I1113">
        <v>1</v>
      </c>
    </row>
    <row r="1114" spans="1:9">
      <c r="A1114" t="s">
        <v>1529</v>
      </c>
      <c r="B1114" s="27" t="s">
        <v>3223</v>
      </c>
      <c r="C1114" s="27" t="s">
        <v>5769</v>
      </c>
      <c r="D1114">
        <f>VLOOKUP(tblTargetMedicos[[#This Row],[codigo_id]],[1]DIM_REPRESENTANTE_MEDICO!$C:$F,4,0)</f>
        <v>12</v>
      </c>
      <c r="E1114">
        <f>VLOOKUP(tblTargetMedicos[[#This Row],[codigo_id]],[1]DIM_REPRESENTANTE_MEDICO!$C:$F,3,0)</f>
        <v>5</v>
      </c>
      <c r="F1114" s="27" t="s">
        <v>5796</v>
      </c>
      <c r="G1114" s="27" t="s">
        <v>5784</v>
      </c>
      <c r="H1114" s="27" t="s">
        <v>96</v>
      </c>
      <c r="I1114">
        <v>1</v>
      </c>
    </row>
    <row r="1115" spans="1:9">
      <c r="A1115" t="s">
        <v>1530</v>
      </c>
      <c r="B1115" s="27" t="s">
        <v>3223</v>
      </c>
      <c r="C1115" s="27" t="s">
        <v>5769</v>
      </c>
      <c r="D1115">
        <f>VLOOKUP(tblTargetMedicos[[#This Row],[codigo_id]],[1]DIM_REPRESENTANTE_MEDICO!$C:$F,4,0)</f>
        <v>12</v>
      </c>
      <c r="E1115">
        <f>VLOOKUP(tblTargetMedicos[[#This Row],[codigo_id]],[1]DIM_REPRESENTANTE_MEDICO!$C:$F,3,0)</f>
        <v>5</v>
      </c>
      <c r="F1115" s="27" t="s">
        <v>5796</v>
      </c>
      <c r="G1115" s="27" t="s">
        <v>5784</v>
      </c>
      <c r="H1115" s="27" t="s">
        <v>96</v>
      </c>
      <c r="I1115">
        <v>1</v>
      </c>
    </row>
    <row r="1116" spans="1:9">
      <c r="A1116" t="s">
        <v>1531</v>
      </c>
      <c r="B1116" s="27" t="s">
        <v>3223</v>
      </c>
      <c r="C1116" s="27" t="s">
        <v>5769</v>
      </c>
      <c r="D1116">
        <f>VLOOKUP(tblTargetMedicos[[#This Row],[codigo_id]],[1]DIM_REPRESENTANTE_MEDICO!$C:$F,4,0)</f>
        <v>12</v>
      </c>
      <c r="E1116">
        <f>VLOOKUP(tblTargetMedicos[[#This Row],[codigo_id]],[1]DIM_REPRESENTANTE_MEDICO!$C:$F,3,0)</f>
        <v>5</v>
      </c>
      <c r="F1116" s="27" t="s">
        <v>5796</v>
      </c>
      <c r="G1116" s="27" t="s">
        <v>5790</v>
      </c>
      <c r="H1116" s="27" t="s">
        <v>97</v>
      </c>
      <c r="I1116">
        <v>1</v>
      </c>
    </row>
    <row r="1117" spans="1:9">
      <c r="A1117" t="s">
        <v>1532</v>
      </c>
      <c r="B1117" s="27" t="s">
        <v>3223</v>
      </c>
      <c r="C1117" s="27" t="s">
        <v>5769</v>
      </c>
      <c r="D1117">
        <f>VLOOKUP(tblTargetMedicos[[#This Row],[codigo_id]],[1]DIM_REPRESENTANTE_MEDICO!$C:$F,4,0)</f>
        <v>12</v>
      </c>
      <c r="E1117">
        <f>VLOOKUP(tblTargetMedicos[[#This Row],[codigo_id]],[1]DIM_REPRESENTANTE_MEDICO!$C:$F,3,0)</f>
        <v>5</v>
      </c>
      <c r="F1117" s="27" t="s">
        <v>5796</v>
      </c>
      <c r="G1117" s="27" t="s">
        <v>5785</v>
      </c>
      <c r="H1117" s="27" t="s">
        <v>97</v>
      </c>
      <c r="I1117">
        <v>1</v>
      </c>
    </row>
    <row r="1118" spans="1:9">
      <c r="A1118" t="s">
        <v>1533</v>
      </c>
      <c r="B1118" s="27" t="s">
        <v>3223</v>
      </c>
      <c r="C1118" s="27" t="s">
        <v>5769</v>
      </c>
      <c r="D1118">
        <f>VLOOKUP(tblTargetMedicos[[#This Row],[codigo_id]],[1]DIM_REPRESENTANTE_MEDICO!$C:$F,4,0)</f>
        <v>12</v>
      </c>
      <c r="E1118">
        <f>VLOOKUP(tblTargetMedicos[[#This Row],[codigo_id]],[1]DIM_REPRESENTANTE_MEDICO!$C:$F,3,0)</f>
        <v>5</v>
      </c>
      <c r="F1118" s="27" t="s">
        <v>5796</v>
      </c>
      <c r="G1118" s="27" t="s">
        <v>5786</v>
      </c>
      <c r="H1118" s="27" t="s">
        <v>96</v>
      </c>
      <c r="I1118">
        <v>1</v>
      </c>
    </row>
    <row r="1119" spans="1:9">
      <c r="A1119" t="s">
        <v>1534</v>
      </c>
      <c r="B1119" s="27" t="s">
        <v>3223</v>
      </c>
      <c r="C1119" s="27" t="s">
        <v>5769</v>
      </c>
      <c r="D1119">
        <f>VLOOKUP(tblTargetMedicos[[#This Row],[codigo_id]],[1]DIM_REPRESENTANTE_MEDICO!$C:$F,4,0)</f>
        <v>12</v>
      </c>
      <c r="E1119">
        <f>VLOOKUP(tblTargetMedicos[[#This Row],[codigo_id]],[1]DIM_REPRESENTANTE_MEDICO!$C:$F,3,0)</f>
        <v>5</v>
      </c>
      <c r="F1119" s="27" t="s">
        <v>5796</v>
      </c>
      <c r="G1119" s="27" t="s">
        <v>5784</v>
      </c>
      <c r="H1119" s="27" t="s">
        <v>96</v>
      </c>
      <c r="I1119">
        <v>1</v>
      </c>
    </row>
    <row r="1120" spans="1:9">
      <c r="A1120" t="s">
        <v>1535</v>
      </c>
      <c r="B1120" s="27" t="s">
        <v>3223</v>
      </c>
      <c r="C1120" s="27" t="s">
        <v>5769</v>
      </c>
      <c r="D1120">
        <f>VLOOKUP(tblTargetMedicos[[#This Row],[codigo_id]],[1]DIM_REPRESENTANTE_MEDICO!$C:$F,4,0)</f>
        <v>12</v>
      </c>
      <c r="E1120">
        <f>VLOOKUP(tblTargetMedicos[[#This Row],[codigo_id]],[1]DIM_REPRESENTANTE_MEDICO!$C:$F,3,0)</f>
        <v>5</v>
      </c>
      <c r="F1120" s="27" t="s">
        <v>5796</v>
      </c>
      <c r="G1120" s="27" t="s">
        <v>5785</v>
      </c>
      <c r="H1120" s="27" t="s">
        <v>96</v>
      </c>
      <c r="I1120">
        <v>1</v>
      </c>
    </row>
    <row r="1121" spans="1:9">
      <c r="A1121" t="s">
        <v>1536</v>
      </c>
      <c r="B1121" s="27" t="s">
        <v>3223</v>
      </c>
      <c r="C1121" s="27" t="s">
        <v>5769</v>
      </c>
      <c r="D1121">
        <f>VLOOKUP(tblTargetMedicos[[#This Row],[codigo_id]],[1]DIM_REPRESENTANTE_MEDICO!$C:$F,4,0)</f>
        <v>12</v>
      </c>
      <c r="E1121">
        <f>VLOOKUP(tblTargetMedicos[[#This Row],[codigo_id]],[1]DIM_REPRESENTANTE_MEDICO!$C:$F,3,0)</f>
        <v>5</v>
      </c>
      <c r="F1121" s="27" t="s">
        <v>5796</v>
      </c>
      <c r="G1121" s="27" t="s">
        <v>5785</v>
      </c>
      <c r="H1121" s="27" t="s">
        <v>95</v>
      </c>
      <c r="I1121">
        <v>1</v>
      </c>
    </row>
    <row r="1122" spans="1:9">
      <c r="A1122" t="s">
        <v>1537</v>
      </c>
      <c r="B1122" s="27" t="s">
        <v>3223</v>
      </c>
      <c r="C1122" s="27" t="s">
        <v>5769</v>
      </c>
      <c r="D1122">
        <f>VLOOKUP(tblTargetMedicos[[#This Row],[codigo_id]],[1]DIM_REPRESENTANTE_MEDICO!$C:$F,4,0)</f>
        <v>12</v>
      </c>
      <c r="E1122">
        <f>VLOOKUP(tblTargetMedicos[[#This Row],[codigo_id]],[1]DIM_REPRESENTANTE_MEDICO!$C:$F,3,0)</f>
        <v>5</v>
      </c>
      <c r="F1122" s="27" t="s">
        <v>5796</v>
      </c>
      <c r="G1122" s="27" t="s">
        <v>5784</v>
      </c>
      <c r="H1122" s="27" t="s">
        <v>97</v>
      </c>
      <c r="I1122">
        <v>1</v>
      </c>
    </row>
    <row r="1123" spans="1:9">
      <c r="A1123" t="s">
        <v>1538</v>
      </c>
      <c r="B1123" s="27" t="s">
        <v>3223</v>
      </c>
      <c r="C1123" s="27" t="s">
        <v>5769</v>
      </c>
      <c r="D1123">
        <f>VLOOKUP(tblTargetMedicos[[#This Row],[codigo_id]],[1]DIM_REPRESENTANTE_MEDICO!$C:$F,4,0)</f>
        <v>12</v>
      </c>
      <c r="E1123">
        <f>VLOOKUP(tblTargetMedicos[[#This Row],[codigo_id]],[1]DIM_REPRESENTANTE_MEDICO!$C:$F,3,0)</f>
        <v>5</v>
      </c>
      <c r="F1123" s="27" t="s">
        <v>5796</v>
      </c>
      <c r="G1123" s="27" t="s">
        <v>5782</v>
      </c>
      <c r="H1123" s="27" t="s">
        <v>97</v>
      </c>
      <c r="I1123">
        <v>1</v>
      </c>
    </row>
    <row r="1124" spans="1:9">
      <c r="A1124" t="s">
        <v>1539</v>
      </c>
      <c r="B1124" s="27" t="s">
        <v>3223</v>
      </c>
      <c r="C1124" s="27" t="s">
        <v>5769</v>
      </c>
      <c r="D1124">
        <f>VLOOKUP(tblTargetMedicos[[#This Row],[codigo_id]],[1]DIM_REPRESENTANTE_MEDICO!$C:$F,4,0)</f>
        <v>12</v>
      </c>
      <c r="E1124">
        <f>VLOOKUP(tblTargetMedicos[[#This Row],[codigo_id]],[1]DIM_REPRESENTANTE_MEDICO!$C:$F,3,0)</f>
        <v>5</v>
      </c>
      <c r="F1124" s="27" t="s">
        <v>5796</v>
      </c>
      <c r="G1124" s="27" t="s">
        <v>5785</v>
      </c>
      <c r="H1124" s="27" t="s">
        <v>96</v>
      </c>
      <c r="I1124">
        <v>1</v>
      </c>
    </row>
    <row r="1125" spans="1:9">
      <c r="A1125" t="s">
        <v>1540</v>
      </c>
      <c r="B1125" s="27" t="s">
        <v>3223</v>
      </c>
      <c r="C1125" s="27" t="s">
        <v>5769</v>
      </c>
      <c r="D1125">
        <f>VLOOKUP(tblTargetMedicos[[#This Row],[codigo_id]],[1]DIM_REPRESENTANTE_MEDICO!$C:$F,4,0)</f>
        <v>12</v>
      </c>
      <c r="E1125">
        <f>VLOOKUP(tblTargetMedicos[[#This Row],[codigo_id]],[1]DIM_REPRESENTANTE_MEDICO!$C:$F,3,0)</f>
        <v>5</v>
      </c>
      <c r="F1125" s="27" t="s">
        <v>5796</v>
      </c>
      <c r="G1125" s="27" t="s">
        <v>5783</v>
      </c>
      <c r="H1125" s="27" t="s">
        <v>95</v>
      </c>
      <c r="I1125">
        <v>1</v>
      </c>
    </row>
    <row r="1126" spans="1:9">
      <c r="A1126" t="s">
        <v>1541</v>
      </c>
      <c r="B1126" s="27" t="s">
        <v>3223</v>
      </c>
      <c r="C1126" s="27" t="s">
        <v>5769</v>
      </c>
      <c r="D1126">
        <f>VLOOKUP(tblTargetMedicos[[#This Row],[codigo_id]],[1]DIM_REPRESENTANTE_MEDICO!$C:$F,4,0)</f>
        <v>12</v>
      </c>
      <c r="E1126">
        <f>VLOOKUP(tblTargetMedicos[[#This Row],[codigo_id]],[1]DIM_REPRESENTANTE_MEDICO!$C:$F,3,0)</f>
        <v>5</v>
      </c>
      <c r="F1126" s="27" t="s">
        <v>5796</v>
      </c>
      <c r="G1126" s="27" t="s">
        <v>5786</v>
      </c>
      <c r="H1126" s="27" t="s">
        <v>97</v>
      </c>
      <c r="I1126">
        <v>1</v>
      </c>
    </row>
    <row r="1127" spans="1:9">
      <c r="A1127" t="s">
        <v>1542</v>
      </c>
      <c r="B1127" s="27" t="s">
        <v>3223</v>
      </c>
      <c r="C1127" s="27" t="s">
        <v>5769</v>
      </c>
      <c r="D1127">
        <f>VLOOKUP(tblTargetMedicos[[#This Row],[codigo_id]],[1]DIM_REPRESENTANTE_MEDICO!$C:$F,4,0)</f>
        <v>12</v>
      </c>
      <c r="E1127">
        <f>VLOOKUP(tblTargetMedicos[[#This Row],[codigo_id]],[1]DIM_REPRESENTANTE_MEDICO!$C:$F,3,0)</f>
        <v>5</v>
      </c>
      <c r="F1127" s="27" t="s">
        <v>5796</v>
      </c>
      <c r="G1127" s="27" t="s">
        <v>5783</v>
      </c>
      <c r="H1127" s="27" t="s">
        <v>96</v>
      </c>
      <c r="I1127">
        <v>1</v>
      </c>
    </row>
    <row r="1128" spans="1:9">
      <c r="A1128" t="s">
        <v>1543</v>
      </c>
      <c r="B1128" s="27" t="s">
        <v>3223</v>
      </c>
      <c r="C1128" s="27" t="s">
        <v>5769</v>
      </c>
      <c r="D1128">
        <f>VLOOKUP(tblTargetMedicos[[#This Row],[codigo_id]],[1]DIM_REPRESENTANTE_MEDICO!$C:$F,4,0)</f>
        <v>12</v>
      </c>
      <c r="E1128">
        <f>VLOOKUP(tblTargetMedicos[[#This Row],[codigo_id]],[1]DIM_REPRESENTANTE_MEDICO!$C:$F,3,0)</f>
        <v>5</v>
      </c>
      <c r="F1128" s="27" t="s">
        <v>5796</v>
      </c>
      <c r="G1128" s="27" t="s">
        <v>5783</v>
      </c>
      <c r="H1128" s="27" t="s">
        <v>97</v>
      </c>
      <c r="I1128">
        <v>1</v>
      </c>
    </row>
    <row r="1129" spans="1:9">
      <c r="A1129" t="s">
        <v>1544</v>
      </c>
      <c r="B1129" s="27" t="s">
        <v>3223</v>
      </c>
      <c r="C1129" s="27" t="s">
        <v>5769</v>
      </c>
      <c r="D1129">
        <f>VLOOKUP(tblTargetMedicos[[#This Row],[codigo_id]],[1]DIM_REPRESENTANTE_MEDICO!$C:$F,4,0)</f>
        <v>12</v>
      </c>
      <c r="E1129">
        <f>VLOOKUP(tblTargetMedicos[[#This Row],[codigo_id]],[1]DIM_REPRESENTANTE_MEDICO!$C:$F,3,0)</f>
        <v>5</v>
      </c>
      <c r="F1129" s="27" t="s">
        <v>5796</v>
      </c>
      <c r="G1129" s="27" t="s">
        <v>5789</v>
      </c>
      <c r="H1129" s="27" t="s">
        <v>97</v>
      </c>
      <c r="I1129">
        <v>1</v>
      </c>
    </row>
    <row r="1130" spans="1:9">
      <c r="A1130" t="s">
        <v>1545</v>
      </c>
      <c r="B1130" s="27" t="s">
        <v>3223</v>
      </c>
      <c r="C1130" s="27" t="s">
        <v>5769</v>
      </c>
      <c r="D1130">
        <f>VLOOKUP(tblTargetMedicos[[#This Row],[codigo_id]],[1]DIM_REPRESENTANTE_MEDICO!$C:$F,4,0)</f>
        <v>12</v>
      </c>
      <c r="E1130">
        <f>VLOOKUP(tblTargetMedicos[[#This Row],[codigo_id]],[1]DIM_REPRESENTANTE_MEDICO!$C:$F,3,0)</f>
        <v>5</v>
      </c>
      <c r="F1130" s="27" t="s">
        <v>5796</v>
      </c>
      <c r="G1130" s="27" t="s">
        <v>5779</v>
      </c>
      <c r="H1130" s="27" t="s">
        <v>96</v>
      </c>
      <c r="I1130">
        <v>1</v>
      </c>
    </row>
    <row r="1131" spans="1:9">
      <c r="A1131" t="s">
        <v>1546</v>
      </c>
      <c r="B1131" s="27" t="s">
        <v>3223</v>
      </c>
      <c r="C1131" s="27" t="s">
        <v>5769</v>
      </c>
      <c r="D1131">
        <f>VLOOKUP(tblTargetMedicos[[#This Row],[codigo_id]],[1]DIM_REPRESENTANTE_MEDICO!$C:$F,4,0)</f>
        <v>12</v>
      </c>
      <c r="E1131">
        <f>VLOOKUP(tblTargetMedicos[[#This Row],[codigo_id]],[1]DIM_REPRESENTANTE_MEDICO!$C:$F,3,0)</f>
        <v>5</v>
      </c>
      <c r="F1131" s="27" t="s">
        <v>5796</v>
      </c>
      <c r="G1131" s="27" t="s">
        <v>5785</v>
      </c>
      <c r="H1131" s="27" t="s">
        <v>96</v>
      </c>
      <c r="I1131">
        <v>1</v>
      </c>
    </row>
    <row r="1132" spans="1:9">
      <c r="A1132" t="s">
        <v>1547</v>
      </c>
      <c r="B1132" s="27" t="s">
        <v>3223</v>
      </c>
      <c r="C1132" s="27" t="s">
        <v>5769</v>
      </c>
      <c r="D1132">
        <f>VLOOKUP(tblTargetMedicos[[#This Row],[codigo_id]],[1]DIM_REPRESENTANTE_MEDICO!$C:$F,4,0)</f>
        <v>12</v>
      </c>
      <c r="E1132">
        <f>VLOOKUP(tblTargetMedicos[[#This Row],[codigo_id]],[1]DIM_REPRESENTANTE_MEDICO!$C:$F,3,0)</f>
        <v>5</v>
      </c>
      <c r="F1132" s="27" t="s">
        <v>5796</v>
      </c>
      <c r="G1132" s="27" t="s">
        <v>5782</v>
      </c>
      <c r="H1132" s="27" t="s">
        <v>95</v>
      </c>
      <c r="I1132">
        <v>1</v>
      </c>
    </row>
    <row r="1133" spans="1:9">
      <c r="A1133" t="s">
        <v>1548</v>
      </c>
      <c r="B1133" s="27" t="s">
        <v>3223</v>
      </c>
      <c r="C1133" s="27" t="s">
        <v>5769</v>
      </c>
      <c r="D1133">
        <f>VLOOKUP(tblTargetMedicos[[#This Row],[codigo_id]],[1]DIM_REPRESENTANTE_MEDICO!$C:$F,4,0)</f>
        <v>12</v>
      </c>
      <c r="E1133">
        <f>VLOOKUP(tblTargetMedicos[[#This Row],[codigo_id]],[1]DIM_REPRESENTANTE_MEDICO!$C:$F,3,0)</f>
        <v>5</v>
      </c>
      <c r="F1133" s="27" t="s">
        <v>5796</v>
      </c>
      <c r="G1133" s="27" t="s">
        <v>5779</v>
      </c>
      <c r="H1133" s="27" t="s">
        <v>96</v>
      </c>
      <c r="I1133">
        <v>1</v>
      </c>
    </row>
    <row r="1134" spans="1:9">
      <c r="A1134" t="s">
        <v>1549</v>
      </c>
      <c r="B1134" s="27" t="s">
        <v>3223</v>
      </c>
      <c r="C1134" s="27" t="s">
        <v>5769</v>
      </c>
      <c r="D1134">
        <f>VLOOKUP(tblTargetMedicos[[#This Row],[codigo_id]],[1]DIM_REPRESENTANTE_MEDICO!$C:$F,4,0)</f>
        <v>12</v>
      </c>
      <c r="E1134">
        <f>VLOOKUP(tblTargetMedicos[[#This Row],[codigo_id]],[1]DIM_REPRESENTANTE_MEDICO!$C:$F,3,0)</f>
        <v>5</v>
      </c>
      <c r="F1134" s="27" t="s">
        <v>5796</v>
      </c>
      <c r="G1134" s="27" t="s">
        <v>5784</v>
      </c>
      <c r="H1134" s="27" t="s">
        <v>96</v>
      </c>
      <c r="I1134">
        <v>1</v>
      </c>
    </row>
    <row r="1135" spans="1:9">
      <c r="A1135" t="s">
        <v>1550</v>
      </c>
      <c r="B1135" s="27" t="s">
        <v>3223</v>
      </c>
      <c r="C1135" s="27" t="s">
        <v>5769</v>
      </c>
      <c r="D1135">
        <f>VLOOKUP(tblTargetMedicos[[#This Row],[codigo_id]],[1]DIM_REPRESENTANTE_MEDICO!$C:$F,4,0)</f>
        <v>12</v>
      </c>
      <c r="E1135">
        <f>VLOOKUP(tblTargetMedicos[[#This Row],[codigo_id]],[1]DIM_REPRESENTANTE_MEDICO!$C:$F,3,0)</f>
        <v>5</v>
      </c>
      <c r="F1135" s="27" t="s">
        <v>5796</v>
      </c>
      <c r="G1135" s="27" t="s">
        <v>5789</v>
      </c>
      <c r="H1135" s="27" t="s">
        <v>97</v>
      </c>
      <c r="I1135">
        <v>1</v>
      </c>
    </row>
    <row r="1136" spans="1:9">
      <c r="A1136" t="s">
        <v>1551</v>
      </c>
      <c r="B1136" s="27" t="s">
        <v>3223</v>
      </c>
      <c r="C1136" s="27" t="s">
        <v>5769</v>
      </c>
      <c r="D1136">
        <f>VLOOKUP(tblTargetMedicos[[#This Row],[codigo_id]],[1]DIM_REPRESENTANTE_MEDICO!$C:$F,4,0)</f>
        <v>12</v>
      </c>
      <c r="E1136">
        <f>VLOOKUP(tblTargetMedicos[[#This Row],[codigo_id]],[1]DIM_REPRESENTANTE_MEDICO!$C:$F,3,0)</f>
        <v>5</v>
      </c>
      <c r="F1136" s="27" t="s">
        <v>5796</v>
      </c>
      <c r="G1136" s="27" t="s">
        <v>5784</v>
      </c>
      <c r="H1136" s="27" t="s">
        <v>97</v>
      </c>
      <c r="I1136">
        <v>1</v>
      </c>
    </row>
    <row r="1137" spans="1:9">
      <c r="A1137" t="s">
        <v>1552</v>
      </c>
      <c r="B1137" s="27" t="s">
        <v>3223</v>
      </c>
      <c r="C1137" s="27" t="s">
        <v>5769</v>
      </c>
      <c r="D1137">
        <f>VLOOKUP(tblTargetMedicos[[#This Row],[codigo_id]],[1]DIM_REPRESENTANTE_MEDICO!$C:$F,4,0)</f>
        <v>12</v>
      </c>
      <c r="E1137">
        <f>VLOOKUP(tblTargetMedicos[[#This Row],[codigo_id]],[1]DIM_REPRESENTANTE_MEDICO!$C:$F,3,0)</f>
        <v>5</v>
      </c>
      <c r="F1137" s="27" t="s">
        <v>5796</v>
      </c>
      <c r="G1137" s="27" t="s">
        <v>5783</v>
      </c>
      <c r="H1137" s="27" t="s">
        <v>96</v>
      </c>
      <c r="I1137">
        <v>1</v>
      </c>
    </row>
    <row r="1138" spans="1:9">
      <c r="A1138" t="s">
        <v>1553</v>
      </c>
      <c r="B1138" s="27" t="s">
        <v>3223</v>
      </c>
      <c r="C1138" s="27" t="s">
        <v>5769</v>
      </c>
      <c r="D1138">
        <f>VLOOKUP(tblTargetMedicos[[#This Row],[codigo_id]],[1]DIM_REPRESENTANTE_MEDICO!$C:$F,4,0)</f>
        <v>12</v>
      </c>
      <c r="E1138">
        <f>VLOOKUP(tblTargetMedicos[[#This Row],[codigo_id]],[1]DIM_REPRESENTANTE_MEDICO!$C:$F,3,0)</f>
        <v>5</v>
      </c>
      <c r="F1138" s="27" t="s">
        <v>5796</v>
      </c>
      <c r="G1138" s="27" t="s">
        <v>5781</v>
      </c>
      <c r="H1138" s="27" t="s">
        <v>97</v>
      </c>
      <c r="I1138">
        <v>1</v>
      </c>
    </row>
    <row r="1139" spans="1:9">
      <c r="A1139" t="s">
        <v>1554</v>
      </c>
      <c r="B1139" s="27" t="s">
        <v>3223</v>
      </c>
      <c r="C1139" s="27" t="s">
        <v>5769</v>
      </c>
      <c r="D1139">
        <f>VLOOKUP(tblTargetMedicos[[#This Row],[codigo_id]],[1]DIM_REPRESENTANTE_MEDICO!$C:$F,4,0)</f>
        <v>12</v>
      </c>
      <c r="E1139">
        <f>VLOOKUP(tblTargetMedicos[[#This Row],[codigo_id]],[1]DIM_REPRESENTANTE_MEDICO!$C:$F,3,0)</f>
        <v>5</v>
      </c>
      <c r="F1139" s="27" t="s">
        <v>5796</v>
      </c>
      <c r="G1139" s="27" t="s">
        <v>5784</v>
      </c>
      <c r="H1139" s="27" t="s">
        <v>95</v>
      </c>
      <c r="I1139">
        <v>1</v>
      </c>
    </row>
    <row r="1140" spans="1:9">
      <c r="A1140" t="s">
        <v>1555</v>
      </c>
      <c r="B1140" s="27" t="s">
        <v>3223</v>
      </c>
      <c r="C1140" s="27" t="s">
        <v>5769</v>
      </c>
      <c r="D1140">
        <f>VLOOKUP(tblTargetMedicos[[#This Row],[codigo_id]],[1]DIM_REPRESENTANTE_MEDICO!$C:$F,4,0)</f>
        <v>12</v>
      </c>
      <c r="E1140">
        <f>VLOOKUP(tblTargetMedicos[[#This Row],[codigo_id]],[1]DIM_REPRESENTANTE_MEDICO!$C:$F,3,0)</f>
        <v>5</v>
      </c>
      <c r="F1140" s="27" t="s">
        <v>5796</v>
      </c>
      <c r="G1140" s="27" t="s">
        <v>5779</v>
      </c>
      <c r="H1140" s="27" t="s">
        <v>96</v>
      </c>
      <c r="I1140">
        <v>1</v>
      </c>
    </row>
    <row r="1141" spans="1:9">
      <c r="A1141" t="s">
        <v>1556</v>
      </c>
      <c r="B1141" s="27" t="s">
        <v>3223</v>
      </c>
      <c r="C1141" s="27" t="s">
        <v>5769</v>
      </c>
      <c r="D1141">
        <f>VLOOKUP(tblTargetMedicos[[#This Row],[codigo_id]],[1]DIM_REPRESENTANTE_MEDICO!$C:$F,4,0)</f>
        <v>12</v>
      </c>
      <c r="E1141">
        <f>VLOOKUP(tblTargetMedicos[[#This Row],[codigo_id]],[1]DIM_REPRESENTANTE_MEDICO!$C:$F,3,0)</f>
        <v>5</v>
      </c>
      <c r="F1141" s="27" t="s">
        <v>5796</v>
      </c>
      <c r="G1141" s="27" t="s">
        <v>5783</v>
      </c>
      <c r="H1141" s="27" t="s">
        <v>97</v>
      </c>
      <c r="I1141">
        <v>1</v>
      </c>
    </row>
    <row r="1142" spans="1:9">
      <c r="A1142" t="s">
        <v>1557</v>
      </c>
      <c r="B1142" s="27" t="s">
        <v>3223</v>
      </c>
      <c r="C1142" s="27" t="s">
        <v>5769</v>
      </c>
      <c r="D1142">
        <f>VLOOKUP(tblTargetMedicos[[#This Row],[codigo_id]],[1]DIM_REPRESENTANTE_MEDICO!$C:$F,4,0)</f>
        <v>12</v>
      </c>
      <c r="E1142">
        <f>VLOOKUP(tblTargetMedicos[[#This Row],[codigo_id]],[1]DIM_REPRESENTANTE_MEDICO!$C:$F,3,0)</f>
        <v>5</v>
      </c>
      <c r="F1142" s="27" t="s">
        <v>5796</v>
      </c>
      <c r="G1142" s="27" t="s">
        <v>5779</v>
      </c>
      <c r="H1142" s="27" t="s">
        <v>95</v>
      </c>
      <c r="I1142">
        <v>1</v>
      </c>
    </row>
    <row r="1143" spans="1:9">
      <c r="A1143" t="s">
        <v>1558</v>
      </c>
      <c r="B1143" s="27" t="s">
        <v>3223</v>
      </c>
      <c r="C1143" s="27" t="s">
        <v>5769</v>
      </c>
      <c r="D1143">
        <f>VLOOKUP(tblTargetMedicos[[#This Row],[codigo_id]],[1]DIM_REPRESENTANTE_MEDICO!$C:$F,4,0)</f>
        <v>12</v>
      </c>
      <c r="E1143">
        <f>VLOOKUP(tblTargetMedicos[[#This Row],[codigo_id]],[1]DIM_REPRESENTANTE_MEDICO!$C:$F,3,0)</f>
        <v>5</v>
      </c>
      <c r="F1143" s="27" t="s">
        <v>5796</v>
      </c>
      <c r="G1143" s="27" t="s">
        <v>5783</v>
      </c>
      <c r="H1143" s="27" t="s">
        <v>97</v>
      </c>
      <c r="I1143">
        <v>1</v>
      </c>
    </row>
    <row r="1144" spans="1:9">
      <c r="A1144" t="s">
        <v>1559</v>
      </c>
      <c r="B1144" s="27" t="s">
        <v>3223</v>
      </c>
      <c r="C1144" s="27" t="s">
        <v>5769</v>
      </c>
      <c r="D1144">
        <f>VLOOKUP(tblTargetMedicos[[#This Row],[codigo_id]],[1]DIM_REPRESENTANTE_MEDICO!$C:$F,4,0)</f>
        <v>12</v>
      </c>
      <c r="E1144">
        <f>VLOOKUP(tblTargetMedicos[[#This Row],[codigo_id]],[1]DIM_REPRESENTANTE_MEDICO!$C:$F,3,0)</f>
        <v>5</v>
      </c>
      <c r="F1144" s="27" t="s">
        <v>5796</v>
      </c>
      <c r="G1144" s="27" t="s">
        <v>5781</v>
      </c>
      <c r="H1144" s="27" t="s">
        <v>96</v>
      </c>
      <c r="I1144">
        <v>1</v>
      </c>
    </row>
    <row r="1145" spans="1:9">
      <c r="A1145" t="s">
        <v>1560</v>
      </c>
      <c r="B1145" s="27" t="s">
        <v>3223</v>
      </c>
      <c r="C1145" s="27" t="s">
        <v>5769</v>
      </c>
      <c r="D1145">
        <f>VLOOKUP(tblTargetMedicos[[#This Row],[codigo_id]],[1]DIM_REPRESENTANTE_MEDICO!$C:$F,4,0)</f>
        <v>12</v>
      </c>
      <c r="E1145">
        <f>VLOOKUP(tblTargetMedicos[[#This Row],[codigo_id]],[1]DIM_REPRESENTANTE_MEDICO!$C:$F,3,0)</f>
        <v>5</v>
      </c>
      <c r="F1145" s="27" t="s">
        <v>5796</v>
      </c>
      <c r="G1145" s="27" t="s">
        <v>5781</v>
      </c>
      <c r="H1145" s="27" t="s">
        <v>96</v>
      </c>
      <c r="I1145">
        <v>1</v>
      </c>
    </row>
    <row r="1146" spans="1:9">
      <c r="A1146" t="s">
        <v>1561</v>
      </c>
      <c r="B1146" s="27" t="s">
        <v>3223</v>
      </c>
      <c r="C1146" s="27" t="s">
        <v>5769</v>
      </c>
      <c r="D1146">
        <f>VLOOKUP(tblTargetMedicos[[#This Row],[codigo_id]],[1]DIM_REPRESENTANTE_MEDICO!$C:$F,4,0)</f>
        <v>12</v>
      </c>
      <c r="E1146">
        <f>VLOOKUP(tblTargetMedicos[[#This Row],[codigo_id]],[1]DIM_REPRESENTANTE_MEDICO!$C:$F,3,0)</f>
        <v>5</v>
      </c>
      <c r="F1146" s="27" t="s">
        <v>5796</v>
      </c>
      <c r="G1146" s="27" t="s">
        <v>5784</v>
      </c>
      <c r="H1146" s="27" t="s">
        <v>95</v>
      </c>
      <c r="I1146">
        <v>1</v>
      </c>
    </row>
    <row r="1147" spans="1:9">
      <c r="A1147" t="s">
        <v>1562</v>
      </c>
      <c r="B1147" s="27" t="s">
        <v>3223</v>
      </c>
      <c r="C1147" s="27" t="s">
        <v>5769</v>
      </c>
      <c r="D1147">
        <f>VLOOKUP(tblTargetMedicos[[#This Row],[codigo_id]],[1]DIM_REPRESENTANTE_MEDICO!$C:$F,4,0)</f>
        <v>12</v>
      </c>
      <c r="E1147">
        <f>VLOOKUP(tblTargetMedicos[[#This Row],[codigo_id]],[1]DIM_REPRESENTANTE_MEDICO!$C:$F,3,0)</f>
        <v>5</v>
      </c>
      <c r="F1147" s="27" t="s">
        <v>5796</v>
      </c>
      <c r="G1147" s="27" t="s">
        <v>5783</v>
      </c>
      <c r="H1147" s="27" t="s">
        <v>96</v>
      </c>
      <c r="I1147">
        <v>1</v>
      </c>
    </row>
    <row r="1148" spans="1:9">
      <c r="A1148" t="s">
        <v>1563</v>
      </c>
      <c r="B1148" s="27" t="s">
        <v>3223</v>
      </c>
      <c r="C1148" s="27" t="s">
        <v>5769</v>
      </c>
      <c r="D1148">
        <f>VLOOKUP(tblTargetMedicos[[#This Row],[codigo_id]],[1]DIM_REPRESENTANTE_MEDICO!$C:$F,4,0)</f>
        <v>12</v>
      </c>
      <c r="E1148">
        <f>VLOOKUP(tblTargetMedicos[[#This Row],[codigo_id]],[1]DIM_REPRESENTANTE_MEDICO!$C:$F,3,0)</f>
        <v>5</v>
      </c>
      <c r="F1148" s="27" t="s">
        <v>5796</v>
      </c>
      <c r="G1148" s="27" t="s">
        <v>5786</v>
      </c>
      <c r="H1148" s="27" t="s">
        <v>97</v>
      </c>
      <c r="I1148">
        <v>1</v>
      </c>
    </row>
    <row r="1149" spans="1:9">
      <c r="A1149" t="s">
        <v>1564</v>
      </c>
      <c r="B1149" s="27" t="s">
        <v>3223</v>
      </c>
      <c r="C1149" s="27" t="s">
        <v>5769</v>
      </c>
      <c r="D1149">
        <f>VLOOKUP(tblTargetMedicos[[#This Row],[codigo_id]],[1]DIM_REPRESENTANTE_MEDICO!$C:$F,4,0)</f>
        <v>12</v>
      </c>
      <c r="E1149">
        <f>VLOOKUP(tblTargetMedicos[[#This Row],[codigo_id]],[1]DIM_REPRESENTANTE_MEDICO!$C:$F,3,0)</f>
        <v>5</v>
      </c>
      <c r="F1149" s="27" t="s">
        <v>5796</v>
      </c>
      <c r="G1149" s="27" t="s">
        <v>5783</v>
      </c>
      <c r="H1149" s="27" t="s">
        <v>96</v>
      </c>
      <c r="I1149">
        <v>1</v>
      </c>
    </row>
    <row r="1150" spans="1:9">
      <c r="A1150" t="s">
        <v>1565</v>
      </c>
      <c r="B1150" s="27" t="s">
        <v>3223</v>
      </c>
      <c r="C1150" s="27" t="s">
        <v>5769</v>
      </c>
      <c r="D1150">
        <f>VLOOKUP(tblTargetMedicos[[#This Row],[codigo_id]],[1]DIM_REPRESENTANTE_MEDICO!$C:$F,4,0)</f>
        <v>12</v>
      </c>
      <c r="E1150">
        <f>VLOOKUP(tblTargetMedicos[[#This Row],[codigo_id]],[1]DIM_REPRESENTANTE_MEDICO!$C:$F,3,0)</f>
        <v>5</v>
      </c>
      <c r="F1150" s="27" t="s">
        <v>5796</v>
      </c>
      <c r="G1150" s="27" t="s">
        <v>5781</v>
      </c>
      <c r="H1150" s="27" t="s">
        <v>97</v>
      </c>
      <c r="I1150">
        <v>1</v>
      </c>
    </row>
    <row r="1151" spans="1:9">
      <c r="A1151" t="s">
        <v>1566</v>
      </c>
      <c r="B1151" s="27" t="s">
        <v>3223</v>
      </c>
      <c r="C1151" s="27" t="s">
        <v>5769</v>
      </c>
      <c r="D1151">
        <f>VLOOKUP(tblTargetMedicos[[#This Row],[codigo_id]],[1]DIM_REPRESENTANTE_MEDICO!$C:$F,4,0)</f>
        <v>12</v>
      </c>
      <c r="E1151">
        <f>VLOOKUP(tblTargetMedicos[[#This Row],[codigo_id]],[1]DIM_REPRESENTANTE_MEDICO!$C:$F,3,0)</f>
        <v>5</v>
      </c>
      <c r="F1151" s="27" t="s">
        <v>5796</v>
      </c>
      <c r="G1151" s="27" t="s">
        <v>5783</v>
      </c>
      <c r="H1151" s="27" t="s">
        <v>97</v>
      </c>
      <c r="I1151">
        <v>1</v>
      </c>
    </row>
    <row r="1152" spans="1:9">
      <c r="A1152" t="s">
        <v>1567</v>
      </c>
      <c r="B1152" s="27" t="s">
        <v>3223</v>
      </c>
      <c r="C1152" s="27" t="s">
        <v>5769</v>
      </c>
      <c r="D1152">
        <f>VLOOKUP(tblTargetMedicos[[#This Row],[codigo_id]],[1]DIM_REPRESENTANTE_MEDICO!$C:$F,4,0)</f>
        <v>12</v>
      </c>
      <c r="E1152">
        <f>VLOOKUP(tblTargetMedicos[[#This Row],[codigo_id]],[1]DIM_REPRESENTANTE_MEDICO!$C:$F,3,0)</f>
        <v>5</v>
      </c>
      <c r="F1152" s="27" t="s">
        <v>5796</v>
      </c>
      <c r="G1152" s="27" t="s">
        <v>5783</v>
      </c>
      <c r="H1152" s="27" t="s">
        <v>97</v>
      </c>
      <c r="I1152">
        <v>1</v>
      </c>
    </row>
    <row r="1153" spans="1:9">
      <c r="A1153" t="s">
        <v>1568</v>
      </c>
      <c r="B1153" s="27" t="s">
        <v>3223</v>
      </c>
      <c r="C1153" s="27" t="s">
        <v>5769</v>
      </c>
      <c r="D1153">
        <f>VLOOKUP(tblTargetMedicos[[#This Row],[codigo_id]],[1]DIM_REPRESENTANTE_MEDICO!$C:$F,4,0)</f>
        <v>12</v>
      </c>
      <c r="E1153">
        <f>VLOOKUP(tblTargetMedicos[[#This Row],[codigo_id]],[1]DIM_REPRESENTANTE_MEDICO!$C:$F,3,0)</f>
        <v>5</v>
      </c>
      <c r="F1153" s="27" t="s">
        <v>5796</v>
      </c>
      <c r="G1153" s="27" t="s">
        <v>5784</v>
      </c>
      <c r="H1153" s="27" t="s">
        <v>96</v>
      </c>
      <c r="I1153">
        <v>1</v>
      </c>
    </row>
    <row r="1154" spans="1:9">
      <c r="A1154" t="s">
        <v>1569</v>
      </c>
      <c r="B1154" s="27" t="s">
        <v>3223</v>
      </c>
      <c r="C1154" s="27" t="s">
        <v>5769</v>
      </c>
      <c r="D1154">
        <f>VLOOKUP(tblTargetMedicos[[#This Row],[codigo_id]],[1]DIM_REPRESENTANTE_MEDICO!$C:$F,4,0)</f>
        <v>12</v>
      </c>
      <c r="E1154">
        <f>VLOOKUP(tblTargetMedicos[[#This Row],[codigo_id]],[1]DIM_REPRESENTANTE_MEDICO!$C:$F,3,0)</f>
        <v>5</v>
      </c>
      <c r="F1154" s="27" t="s">
        <v>5796</v>
      </c>
      <c r="G1154" s="27" t="s">
        <v>5784</v>
      </c>
      <c r="H1154" s="27" t="s">
        <v>96</v>
      </c>
      <c r="I1154">
        <v>1</v>
      </c>
    </row>
    <row r="1155" spans="1:9">
      <c r="A1155" t="s">
        <v>1570</v>
      </c>
      <c r="B1155" s="27" t="s">
        <v>3223</v>
      </c>
      <c r="C1155" s="27" t="s">
        <v>5769</v>
      </c>
      <c r="D1155">
        <f>VLOOKUP(tblTargetMedicos[[#This Row],[codigo_id]],[1]DIM_REPRESENTANTE_MEDICO!$C:$F,4,0)</f>
        <v>12</v>
      </c>
      <c r="E1155">
        <f>VLOOKUP(tblTargetMedicos[[#This Row],[codigo_id]],[1]DIM_REPRESENTANTE_MEDICO!$C:$F,3,0)</f>
        <v>5</v>
      </c>
      <c r="F1155" s="27" t="s">
        <v>5796</v>
      </c>
      <c r="G1155" s="27" t="s">
        <v>5783</v>
      </c>
      <c r="H1155" s="27" t="s">
        <v>95</v>
      </c>
      <c r="I1155">
        <v>1</v>
      </c>
    </row>
    <row r="1156" spans="1:9">
      <c r="A1156" t="s">
        <v>1571</v>
      </c>
      <c r="B1156" s="27" t="s">
        <v>3223</v>
      </c>
      <c r="C1156" s="27" t="s">
        <v>5769</v>
      </c>
      <c r="D1156">
        <f>VLOOKUP(tblTargetMedicos[[#This Row],[codigo_id]],[1]DIM_REPRESENTANTE_MEDICO!$C:$F,4,0)</f>
        <v>12</v>
      </c>
      <c r="E1156">
        <f>VLOOKUP(tblTargetMedicos[[#This Row],[codigo_id]],[1]DIM_REPRESENTANTE_MEDICO!$C:$F,3,0)</f>
        <v>5</v>
      </c>
      <c r="F1156" s="27" t="s">
        <v>5796</v>
      </c>
      <c r="G1156" s="27" t="s">
        <v>5779</v>
      </c>
      <c r="H1156" s="27" t="s">
        <v>96</v>
      </c>
      <c r="I1156">
        <v>1</v>
      </c>
    </row>
    <row r="1157" spans="1:9">
      <c r="A1157" t="s">
        <v>1572</v>
      </c>
      <c r="B1157" s="27" t="s">
        <v>3223</v>
      </c>
      <c r="C1157" s="27" t="s">
        <v>5769</v>
      </c>
      <c r="D1157">
        <f>VLOOKUP(tblTargetMedicos[[#This Row],[codigo_id]],[1]DIM_REPRESENTANTE_MEDICO!$C:$F,4,0)</f>
        <v>12</v>
      </c>
      <c r="E1157">
        <f>VLOOKUP(tblTargetMedicos[[#This Row],[codigo_id]],[1]DIM_REPRESENTANTE_MEDICO!$C:$F,3,0)</f>
        <v>5</v>
      </c>
      <c r="F1157" s="27" t="s">
        <v>5796</v>
      </c>
      <c r="G1157" s="27" t="s">
        <v>5784</v>
      </c>
      <c r="H1157" s="27" t="s">
        <v>97</v>
      </c>
      <c r="I1157">
        <v>1</v>
      </c>
    </row>
    <row r="1158" spans="1:9">
      <c r="A1158" t="s">
        <v>1573</v>
      </c>
      <c r="B1158" s="27" t="s">
        <v>3223</v>
      </c>
      <c r="C1158" s="27" t="s">
        <v>5769</v>
      </c>
      <c r="D1158">
        <f>VLOOKUP(tblTargetMedicos[[#This Row],[codigo_id]],[1]DIM_REPRESENTANTE_MEDICO!$C:$F,4,0)</f>
        <v>12</v>
      </c>
      <c r="E1158">
        <f>VLOOKUP(tblTargetMedicos[[#This Row],[codigo_id]],[1]DIM_REPRESENTANTE_MEDICO!$C:$F,3,0)</f>
        <v>5</v>
      </c>
      <c r="F1158" s="27" t="s">
        <v>5796</v>
      </c>
      <c r="G1158" s="27" t="s">
        <v>5784</v>
      </c>
      <c r="H1158" s="27" t="s">
        <v>96</v>
      </c>
      <c r="I1158">
        <v>1</v>
      </c>
    </row>
    <row r="1159" spans="1:9">
      <c r="A1159" t="s">
        <v>1574</v>
      </c>
      <c r="B1159" s="27" t="s">
        <v>3223</v>
      </c>
      <c r="C1159" s="27" t="s">
        <v>5769</v>
      </c>
      <c r="D1159">
        <f>VLOOKUP(tblTargetMedicos[[#This Row],[codigo_id]],[1]DIM_REPRESENTANTE_MEDICO!$C:$F,4,0)</f>
        <v>12</v>
      </c>
      <c r="E1159">
        <f>VLOOKUP(tblTargetMedicos[[#This Row],[codigo_id]],[1]DIM_REPRESENTANTE_MEDICO!$C:$F,3,0)</f>
        <v>5</v>
      </c>
      <c r="F1159" s="27" t="s">
        <v>5796</v>
      </c>
      <c r="G1159" s="27" t="s">
        <v>5783</v>
      </c>
      <c r="H1159" s="27" t="s">
        <v>96</v>
      </c>
      <c r="I1159">
        <v>1</v>
      </c>
    </row>
    <row r="1160" spans="1:9">
      <c r="A1160" t="s">
        <v>1575</v>
      </c>
      <c r="B1160" s="27" t="s">
        <v>3223</v>
      </c>
      <c r="C1160" s="27" t="s">
        <v>5769</v>
      </c>
      <c r="D1160">
        <f>VLOOKUP(tblTargetMedicos[[#This Row],[codigo_id]],[1]DIM_REPRESENTANTE_MEDICO!$C:$F,4,0)</f>
        <v>12</v>
      </c>
      <c r="E1160">
        <f>VLOOKUP(tblTargetMedicos[[#This Row],[codigo_id]],[1]DIM_REPRESENTANTE_MEDICO!$C:$F,3,0)</f>
        <v>5</v>
      </c>
      <c r="F1160" s="27" t="s">
        <v>5796</v>
      </c>
      <c r="G1160" s="27" t="s">
        <v>5783</v>
      </c>
      <c r="H1160" s="27" t="s">
        <v>96</v>
      </c>
      <c r="I1160">
        <v>1</v>
      </c>
    </row>
    <row r="1161" spans="1:9">
      <c r="A1161" t="s">
        <v>1576</v>
      </c>
      <c r="B1161" s="27" t="s">
        <v>3223</v>
      </c>
      <c r="C1161" s="27" t="s">
        <v>5769</v>
      </c>
      <c r="D1161">
        <f>VLOOKUP(tblTargetMedicos[[#This Row],[codigo_id]],[1]DIM_REPRESENTANTE_MEDICO!$C:$F,4,0)</f>
        <v>12</v>
      </c>
      <c r="E1161">
        <f>VLOOKUP(tblTargetMedicos[[#This Row],[codigo_id]],[1]DIM_REPRESENTANTE_MEDICO!$C:$F,3,0)</f>
        <v>5</v>
      </c>
      <c r="F1161" s="27" t="s">
        <v>5796</v>
      </c>
      <c r="G1161" s="27" t="s">
        <v>5781</v>
      </c>
      <c r="H1161" s="27" t="s">
        <v>97</v>
      </c>
      <c r="I1161">
        <v>1</v>
      </c>
    </row>
    <row r="1162" spans="1:9">
      <c r="A1162" t="s">
        <v>1577</v>
      </c>
      <c r="B1162" s="27" t="s">
        <v>3223</v>
      </c>
      <c r="C1162" s="27" t="s">
        <v>5769</v>
      </c>
      <c r="D1162">
        <f>VLOOKUP(tblTargetMedicos[[#This Row],[codigo_id]],[1]DIM_REPRESENTANTE_MEDICO!$C:$F,4,0)</f>
        <v>12</v>
      </c>
      <c r="E1162">
        <f>VLOOKUP(tblTargetMedicos[[#This Row],[codigo_id]],[1]DIM_REPRESENTANTE_MEDICO!$C:$F,3,0)</f>
        <v>5</v>
      </c>
      <c r="F1162" s="27" t="s">
        <v>5796</v>
      </c>
      <c r="G1162" s="27" t="s">
        <v>5783</v>
      </c>
      <c r="H1162" s="27" t="s">
        <v>97</v>
      </c>
      <c r="I1162">
        <v>1</v>
      </c>
    </row>
    <row r="1163" spans="1:9">
      <c r="A1163" t="s">
        <v>1578</v>
      </c>
      <c r="B1163" s="27" t="s">
        <v>3223</v>
      </c>
      <c r="C1163" s="27" t="s">
        <v>5769</v>
      </c>
      <c r="D1163">
        <f>VLOOKUP(tblTargetMedicos[[#This Row],[codigo_id]],[1]DIM_REPRESENTANTE_MEDICO!$C:$F,4,0)</f>
        <v>12</v>
      </c>
      <c r="E1163">
        <f>VLOOKUP(tblTargetMedicos[[#This Row],[codigo_id]],[1]DIM_REPRESENTANTE_MEDICO!$C:$F,3,0)</f>
        <v>5</v>
      </c>
      <c r="F1163" s="27" t="s">
        <v>5796</v>
      </c>
      <c r="G1163" s="27" t="s">
        <v>5786</v>
      </c>
      <c r="H1163" s="27" t="s">
        <v>97</v>
      </c>
      <c r="I1163">
        <v>1</v>
      </c>
    </row>
    <row r="1164" spans="1:9">
      <c r="A1164" t="s">
        <v>1579</v>
      </c>
      <c r="B1164" s="27" t="s">
        <v>3223</v>
      </c>
      <c r="C1164" s="27" t="s">
        <v>5769</v>
      </c>
      <c r="D1164">
        <f>VLOOKUP(tblTargetMedicos[[#This Row],[codigo_id]],[1]DIM_REPRESENTANTE_MEDICO!$C:$F,4,0)</f>
        <v>12</v>
      </c>
      <c r="E1164">
        <f>VLOOKUP(tblTargetMedicos[[#This Row],[codigo_id]],[1]DIM_REPRESENTANTE_MEDICO!$C:$F,3,0)</f>
        <v>5</v>
      </c>
      <c r="F1164" s="27" t="s">
        <v>5796</v>
      </c>
      <c r="G1164" s="27" t="s">
        <v>5784</v>
      </c>
      <c r="H1164" s="27" t="s">
        <v>96</v>
      </c>
      <c r="I1164">
        <v>1</v>
      </c>
    </row>
    <row r="1165" spans="1:9">
      <c r="A1165" t="s">
        <v>1580</v>
      </c>
      <c r="B1165" s="27" t="s">
        <v>3223</v>
      </c>
      <c r="C1165" s="27" t="s">
        <v>5769</v>
      </c>
      <c r="D1165">
        <f>VLOOKUP(tblTargetMedicos[[#This Row],[codigo_id]],[1]DIM_REPRESENTANTE_MEDICO!$C:$F,4,0)</f>
        <v>12</v>
      </c>
      <c r="E1165">
        <f>VLOOKUP(tblTargetMedicos[[#This Row],[codigo_id]],[1]DIM_REPRESENTANTE_MEDICO!$C:$F,3,0)</f>
        <v>5</v>
      </c>
      <c r="F1165" s="27" t="s">
        <v>5796</v>
      </c>
      <c r="G1165" s="27" t="s">
        <v>5784</v>
      </c>
      <c r="H1165" s="27" t="s">
        <v>95</v>
      </c>
      <c r="I1165">
        <v>1</v>
      </c>
    </row>
    <row r="1166" spans="1:9">
      <c r="A1166" t="s">
        <v>1581</v>
      </c>
      <c r="B1166" s="27" t="s">
        <v>3223</v>
      </c>
      <c r="C1166" s="27" t="s">
        <v>5769</v>
      </c>
      <c r="D1166">
        <f>VLOOKUP(tblTargetMedicos[[#This Row],[codigo_id]],[1]DIM_REPRESENTANTE_MEDICO!$C:$F,4,0)</f>
        <v>12</v>
      </c>
      <c r="E1166">
        <f>VLOOKUP(tblTargetMedicos[[#This Row],[codigo_id]],[1]DIM_REPRESENTANTE_MEDICO!$C:$F,3,0)</f>
        <v>5</v>
      </c>
      <c r="F1166" s="27" t="s">
        <v>5796</v>
      </c>
      <c r="G1166" s="27" t="s">
        <v>5779</v>
      </c>
      <c r="H1166" s="27" t="s">
        <v>95</v>
      </c>
      <c r="I1166">
        <v>1</v>
      </c>
    </row>
    <row r="1167" spans="1:9">
      <c r="A1167" t="s">
        <v>1582</v>
      </c>
      <c r="B1167" s="27" t="s">
        <v>3223</v>
      </c>
      <c r="C1167" s="27" t="s">
        <v>5769</v>
      </c>
      <c r="D1167">
        <f>VLOOKUP(tblTargetMedicos[[#This Row],[codigo_id]],[1]DIM_REPRESENTANTE_MEDICO!$C:$F,4,0)</f>
        <v>12</v>
      </c>
      <c r="E1167">
        <f>VLOOKUP(tblTargetMedicos[[#This Row],[codigo_id]],[1]DIM_REPRESENTANTE_MEDICO!$C:$F,3,0)</f>
        <v>5</v>
      </c>
      <c r="F1167" s="27" t="s">
        <v>5796</v>
      </c>
      <c r="G1167" s="27" t="s">
        <v>5783</v>
      </c>
      <c r="H1167" s="27" t="s">
        <v>96</v>
      </c>
      <c r="I1167">
        <v>1</v>
      </c>
    </row>
    <row r="1168" spans="1:9">
      <c r="A1168" t="s">
        <v>1583</v>
      </c>
      <c r="B1168" s="27" t="s">
        <v>3223</v>
      </c>
      <c r="C1168" s="27" t="s">
        <v>5769</v>
      </c>
      <c r="D1168">
        <f>VLOOKUP(tblTargetMedicos[[#This Row],[codigo_id]],[1]DIM_REPRESENTANTE_MEDICO!$C:$F,4,0)</f>
        <v>12</v>
      </c>
      <c r="E1168">
        <f>VLOOKUP(tblTargetMedicos[[#This Row],[codigo_id]],[1]DIM_REPRESENTANTE_MEDICO!$C:$F,3,0)</f>
        <v>5</v>
      </c>
      <c r="F1168" s="27" t="s">
        <v>5796</v>
      </c>
      <c r="G1168" s="27" t="s">
        <v>5779</v>
      </c>
      <c r="H1168" s="27" t="s">
        <v>96</v>
      </c>
      <c r="I1168">
        <v>1</v>
      </c>
    </row>
    <row r="1169" spans="1:9">
      <c r="A1169" t="s">
        <v>1584</v>
      </c>
      <c r="B1169" s="27" t="s">
        <v>3223</v>
      </c>
      <c r="C1169" s="27" t="s">
        <v>5769</v>
      </c>
      <c r="D1169">
        <f>VLOOKUP(tblTargetMedicos[[#This Row],[codigo_id]],[1]DIM_REPRESENTANTE_MEDICO!$C:$F,4,0)</f>
        <v>12</v>
      </c>
      <c r="E1169">
        <f>VLOOKUP(tblTargetMedicos[[#This Row],[codigo_id]],[1]DIM_REPRESENTANTE_MEDICO!$C:$F,3,0)</f>
        <v>5</v>
      </c>
      <c r="F1169" s="27" t="s">
        <v>5796</v>
      </c>
      <c r="G1169" s="27" t="s">
        <v>5784</v>
      </c>
      <c r="H1169" s="27" t="s">
        <v>96</v>
      </c>
      <c r="I1169">
        <v>1</v>
      </c>
    </row>
    <row r="1170" spans="1:9">
      <c r="A1170" t="s">
        <v>1585</v>
      </c>
      <c r="B1170" s="27" t="s">
        <v>3223</v>
      </c>
      <c r="C1170" s="27" t="s">
        <v>5769</v>
      </c>
      <c r="D1170">
        <f>VLOOKUP(tblTargetMedicos[[#This Row],[codigo_id]],[1]DIM_REPRESENTANTE_MEDICO!$C:$F,4,0)</f>
        <v>12</v>
      </c>
      <c r="E1170">
        <f>VLOOKUP(tblTargetMedicos[[#This Row],[codigo_id]],[1]DIM_REPRESENTANTE_MEDICO!$C:$F,3,0)</f>
        <v>5</v>
      </c>
      <c r="F1170" s="27" t="s">
        <v>5796</v>
      </c>
      <c r="G1170" s="27" t="s">
        <v>5784</v>
      </c>
      <c r="H1170" s="27" t="s">
        <v>95</v>
      </c>
      <c r="I1170">
        <v>1</v>
      </c>
    </row>
    <row r="1171" spans="1:9">
      <c r="A1171" t="s">
        <v>1586</v>
      </c>
      <c r="B1171" s="27" t="s">
        <v>3223</v>
      </c>
      <c r="C1171" s="27" t="s">
        <v>5769</v>
      </c>
      <c r="D1171">
        <f>VLOOKUP(tblTargetMedicos[[#This Row],[codigo_id]],[1]DIM_REPRESENTANTE_MEDICO!$C:$F,4,0)</f>
        <v>12</v>
      </c>
      <c r="E1171">
        <f>VLOOKUP(tblTargetMedicos[[#This Row],[codigo_id]],[1]DIM_REPRESENTANTE_MEDICO!$C:$F,3,0)</f>
        <v>5</v>
      </c>
      <c r="F1171" s="27" t="s">
        <v>5796</v>
      </c>
      <c r="G1171" s="27" t="s">
        <v>5787</v>
      </c>
      <c r="H1171" s="27" t="s">
        <v>96</v>
      </c>
      <c r="I1171">
        <v>1</v>
      </c>
    </row>
    <row r="1172" spans="1:9">
      <c r="A1172" t="s">
        <v>1587</v>
      </c>
      <c r="B1172" s="27" t="s">
        <v>3223</v>
      </c>
      <c r="C1172" s="27" t="s">
        <v>5769</v>
      </c>
      <c r="D1172">
        <f>VLOOKUP(tblTargetMedicos[[#This Row],[codigo_id]],[1]DIM_REPRESENTANTE_MEDICO!$C:$F,4,0)</f>
        <v>12</v>
      </c>
      <c r="E1172">
        <f>VLOOKUP(tblTargetMedicos[[#This Row],[codigo_id]],[1]DIM_REPRESENTANTE_MEDICO!$C:$F,3,0)</f>
        <v>5</v>
      </c>
      <c r="F1172" s="27" t="s">
        <v>5796</v>
      </c>
      <c r="G1172" s="27" t="s">
        <v>5784</v>
      </c>
      <c r="H1172" s="27" t="s">
        <v>95</v>
      </c>
      <c r="I1172">
        <v>1</v>
      </c>
    </row>
    <row r="1173" spans="1:9">
      <c r="A1173" t="s">
        <v>1588</v>
      </c>
      <c r="B1173" s="27" t="s">
        <v>3223</v>
      </c>
      <c r="C1173" s="27" t="s">
        <v>5769</v>
      </c>
      <c r="D1173">
        <f>VLOOKUP(tblTargetMedicos[[#This Row],[codigo_id]],[1]DIM_REPRESENTANTE_MEDICO!$C:$F,4,0)</f>
        <v>12</v>
      </c>
      <c r="E1173">
        <f>VLOOKUP(tblTargetMedicos[[#This Row],[codigo_id]],[1]DIM_REPRESENTANTE_MEDICO!$C:$F,3,0)</f>
        <v>5</v>
      </c>
      <c r="F1173" s="27" t="s">
        <v>5796</v>
      </c>
      <c r="G1173" s="27" t="s">
        <v>5781</v>
      </c>
      <c r="H1173" s="27" t="s">
        <v>96</v>
      </c>
      <c r="I1173">
        <v>1</v>
      </c>
    </row>
    <row r="1174" spans="1:9">
      <c r="A1174" t="s">
        <v>1589</v>
      </c>
      <c r="B1174" s="27" t="s">
        <v>3223</v>
      </c>
      <c r="C1174" s="27" t="s">
        <v>5769</v>
      </c>
      <c r="D1174">
        <f>VLOOKUP(tblTargetMedicos[[#This Row],[codigo_id]],[1]DIM_REPRESENTANTE_MEDICO!$C:$F,4,0)</f>
        <v>12</v>
      </c>
      <c r="E1174">
        <f>VLOOKUP(tblTargetMedicos[[#This Row],[codigo_id]],[1]DIM_REPRESENTANTE_MEDICO!$C:$F,3,0)</f>
        <v>5</v>
      </c>
      <c r="F1174" s="27" t="s">
        <v>5796</v>
      </c>
      <c r="G1174" s="27" t="s">
        <v>5784</v>
      </c>
      <c r="H1174" s="27" t="s">
        <v>96</v>
      </c>
      <c r="I1174">
        <v>1</v>
      </c>
    </row>
    <row r="1175" spans="1:9">
      <c r="A1175" t="s">
        <v>1590</v>
      </c>
      <c r="B1175" s="27" t="s">
        <v>3223</v>
      </c>
      <c r="C1175" s="27" t="s">
        <v>5769</v>
      </c>
      <c r="D1175">
        <f>VLOOKUP(tblTargetMedicos[[#This Row],[codigo_id]],[1]DIM_REPRESENTANTE_MEDICO!$C:$F,4,0)</f>
        <v>12</v>
      </c>
      <c r="E1175">
        <f>VLOOKUP(tblTargetMedicos[[#This Row],[codigo_id]],[1]DIM_REPRESENTANTE_MEDICO!$C:$F,3,0)</f>
        <v>5</v>
      </c>
      <c r="F1175" s="27" t="s">
        <v>5796</v>
      </c>
      <c r="G1175" s="27" t="s">
        <v>5782</v>
      </c>
      <c r="H1175" s="27" t="s">
        <v>97</v>
      </c>
      <c r="I1175">
        <v>1</v>
      </c>
    </row>
    <row r="1176" spans="1:9">
      <c r="A1176" t="s">
        <v>1591</v>
      </c>
      <c r="B1176" s="27" t="s">
        <v>3223</v>
      </c>
      <c r="C1176" s="27" t="s">
        <v>5769</v>
      </c>
      <c r="D1176">
        <f>VLOOKUP(tblTargetMedicos[[#This Row],[codigo_id]],[1]DIM_REPRESENTANTE_MEDICO!$C:$F,4,0)</f>
        <v>12</v>
      </c>
      <c r="E1176">
        <f>VLOOKUP(tblTargetMedicos[[#This Row],[codigo_id]],[1]DIM_REPRESENTANTE_MEDICO!$C:$F,3,0)</f>
        <v>5</v>
      </c>
      <c r="F1176" s="27" t="s">
        <v>5796</v>
      </c>
      <c r="G1176" s="27" t="s">
        <v>5781</v>
      </c>
      <c r="H1176" s="27" t="s">
        <v>96</v>
      </c>
      <c r="I1176">
        <v>1</v>
      </c>
    </row>
    <row r="1177" spans="1:9">
      <c r="A1177" t="s">
        <v>1592</v>
      </c>
      <c r="B1177" s="27" t="s">
        <v>3223</v>
      </c>
      <c r="C1177" s="27" t="s">
        <v>5769</v>
      </c>
      <c r="D1177">
        <f>VLOOKUP(tblTargetMedicos[[#This Row],[codigo_id]],[1]DIM_REPRESENTANTE_MEDICO!$C:$F,4,0)</f>
        <v>12</v>
      </c>
      <c r="E1177">
        <f>VLOOKUP(tblTargetMedicos[[#This Row],[codigo_id]],[1]DIM_REPRESENTANTE_MEDICO!$C:$F,3,0)</f>
        <v>5</v>
      </c>
      <c r="F1177" s="27" t="s">
        <v>5796</v>
      </c>
      <c r="G1177" s="27" t="s">
        <v>5785</v>
      </c>
      <c r="H1177" s="27" t="s">
        <v>97</v>
      </c>
      <c r="I1177">
        <v>1</v>
      </c>
    </row>
    <row r="1178" spans="1:9">
      <c r="A1178" t="s">
        <v>1593</v>
      </c>
      <c r="B1178" s="27" t="s">
        <v>3223</v>
      </c>
      <c r="C1178" s="27" t="s">
        <v>5769</v>
      </c>
      <c r="D1178">
        <f>VLOOKUP(tblTargetMedicos[[#This Row],[codigo_id]],[1]DIM_REPRESENTANTE_MEDICO!$C:$F,4,0)</f>
        <v>12</v>
      </c>
      <c r="E1178">
        <f>VLOOKUP(tblTargetMedicos[[#This Row],[codigo_id]],[1]DIM_REPRESENTANTE_MEDICO!$C:$F,3,0)</f>
        <v>5</v>
      </c>
      <c r="F1178" s="27" t="s">
        <v>5796</v>
      </c>
      <c r="G1178" s="27" t="s">
        <v>5779</v>
      </c>
      <c r="H1178" s="27" t="s">
        <v>96</v>
      </c>
      <c r="I1178">
        <v>1</v>
      </c>
    </row>
    <row r="1179" spans="1:9">
      <c r="A1179" t="s">
        <v>1594</v>
      </c>
      <c r="B1179" s="27" t="s">
        <v>3223</v>
      </c>
      <c r="C1179" s="27" t="s">
        <v>5769</v>
      </c>
      <c r="D1179">
        <f>VLOOKUP(tblTargetMedicos[[#This Row],[codigo_id]],[1]DIM_REPRESENTANTE_MEDICO!$C:$F,4,0)</f>
        <v>12</v>
      </c>
      <c r="E1179">
        <f>VLOOKUP(tblTargetMedicos[[#This Row],[codigo_id]],[1]DIM_REPRESENTANTE_MEDICO!$C:$F,3,0)</f>
        <v>5</v>
      </c>
      <c r="F1179" s="27" t="s">
        <v>5796</v>
      </c>
      <c r="G1179" s="27" t="s">
        <v>5789</v>
      </c>
      <c r="H1179" s="27" t="s">
        <v>97</v>
      </c>
      <c r="I1179">
        <v>1</v>
      </c>
    </row>
    <row r="1180" spans="1:9">
      <c r="A1180" t="s">
        <v>1595</v>
      </c>
      <c r="B1180" s="27" t="s">
        <v>3223</v>
      </c>
      <c r="C1180" s="27" t="s">
        <v>5769</v>
      </c>
      <c r="D1180">
        <f>VLOOKUP(tblTargetMedicos[[#This Row],[codigo_id]],[1]DIM_REPRESENTANTE_MEDICO!$C:$F,4,0)</f>
        <v>12</v>
      </c>
      <c r="E1180">
        <f>VLOOKUP(tblTargetMedicos[[#This Row],[codigo_id]],[1]DIM_REPRESENTANTE_MEDICO!$C:$F,3,0)</f>
        <v>5</v>
      </c>
      <c r="F1180" s="27" t="s">
        <v>5796</v>
      </c>
      <c r="G1180" s="27" t="s">
        <v>5782</v>
      </c>
      <c r="H1180" s="27" t="s">
        <v>97</v>
      </c>
      <c r="I1180">
        <v>1</v>
      </c>
    </row>
    <row r="1181" spans="1:9">
      <c r="A1181" t="s">
        <v>1596</v>
      </c>
      <c r="B1181" s="27" t="s">
        <v>3223</v>
      </c>
      <c r="C1181" s="27" t="s">
        <v>5769</v>
      </c>
      <c r="D1181">
        <f>VLOOKUP(tblTargetMedicos[[#This Row],[codigo_id]],[1]DIM_REPRESENTANTE_MEDICO!$C:$F,4,0)</f>
        <v>12</v>
      </c>
      <c r="E1181">
        <f>VLOOKUP(tblTargetMedicos[[#This Row],[codigo_id]],[1]DIM_REPRESENTANTE_MEDICO!$C:$F,3,0)</f>
        <v>5</v>
      </c>
      <c r="F1181" s="27" t="s">
        <v>5796</v>
      </c>
      <c r="G1181" s="27" t="s">
        <v>5783</v>
      </c>
      <c r="H1181" s="27" t="s">
        <v>97</v>
      </c>
      <c r="I1181">
        <v>1</v>
      </c>
    </row>
    <row r="1182" spans="1:9">
      <c r="A1182" t="s">
        <v>1597</v>
      </c>
      <c r="B1182" s="27" t="s">
        <v>3223</v>
      </c>
      <c r="C1182" s="27" t="s">
        <v>5769</v>
      </c>
      <c r="D1182">
        <f>VLOOKUP(tblTargetMedicos[[#This Row],[codigo_id]],[1]DIM_REPRESENTANTE_MEDICO!$C:$F,4,0)</f>
        <v>12</v>
      </c>
      <c r="E1182">
        <f>VLOOKUP(tblTargetMedicos[[#This Row],[codigo_id]],[1]DIM_REPRESENTANTE_MEDICO!$C:$F,3,0)</f>
        <v>5</v>
      </c>
      <c r="F1182" s="27" t="s">
        <v>5796</v>
      </c>
      <c r="G1182" s="27" t="s">
        <v>5789</v>
      </c>
      <c r="H1182" s="27" t="s">
        <v>97</v>
      </c>
      <c r="I1182">
        <v>1</v>
      </c>
    </row>
    <row r="1183" spans="1:9">
      <c r="A1183" t="s">
        <v>1598</v>
      </c>
      <c r="B1183" s="27" t="s">
        <v>3223</v>
      </c>
      <c r="C1183" s="27" t="s">
        <v>5769</v>
      </c>
      <c r="D1183">
        <f>VLOOKUP(tblTargetMedicos[[#This Row],[codigo_id]],[1]DIM_REPRESENTANTE_MEDICO!$C:$F,4,0)</f>
        <v>12</v>
      </c>
      <c r="E1183">
        <f>VLOOKUP(tblTargetMedicos[[#This Row],[codigo_id]],[1]DIM_REPRESENTANTE_MEDICO!$C:$F,3,0)</f>
        <v>5</v>
      </c>
      <c r="F1183" s="27" t="s">
        <v>5796</v>
      </c>
      <c r="G1183" s="27" t="s">
        <v>5789</v>
      </c>
      <c r="H1183" s="27" t="s">
        <v>97</v>
      </c>
      <c r="I1183">
        <v>1</v>
      </c>
    </row>
    <row r="1184" spans="1:9">
      <c r="A1184" t="s">
        <v>1599</v>
      </c>
      <c r="B1184" s="27" t="s">
        <v>3223</v>
      </c>
      <c r="C1184" s="27" t="s">
        <v>5769</v>
      </c>
      <c r="D1184">
        <f>VLOOKUP(tblTargetMedicos[[#This Row],[codigo_id]],[1]DIM_REPRESENTANTE_MEDICO!$C:$F,4,0)</f>
        <v>12</v>
      </c>
      <c r="E1184">
        <f>VLOOKUP(tblTargetMedicos[[#This Row],[codigo_id]],[1]DIM_REPRESENTANTE_MEDICO!$C:$F,3,0)</f>
        <v>5</v>
      </c>
      <c r="F1184" s="27" t="s">
        <v>5796</v>
      </c>
      <c r="G1184" s="27" t="s">
        <v>5783</v>
      </c>
      <c r="H1184" s="27" t="s">
        <v>96</v>
      </c>
      <c r="I1184">
        <v>1</v>
      </c>
    </row>
    <row r="1185" spans="1:9">
      <c r="A1185" t="s">
        <v>1600</v>
      </c>
      <c r="B1185" s="27" t="s">
        <v>3223</v>
      </c>
      <c r="C1185" s="27" t="s">
        <v>5769</v>
      </c>
      <c r="D1185">
        <f>VLOOKUP(tblTargetMedicos[[#This Row],[codigo_id]],[1]DIM_REPRESENTANTE_MEDICO!$C:$F,4,0)</f>
        <v>12</v>
      </c>
      <c r="E1185">
        <f>VLOOKUP(tblTargetMedicos[[#This Row],[codigo_id]],[1]DIM_REPRESENTANTE_MEDICO!$C:$F,3,0)</f>
        <v>5</v>
      </c>
      <c r="F1185" s="27" t="s">
        <v>5796</v>
      </c>
      <c r="G1185" s="27" t="s">
        <v>5781</v>
      </c>
      <c r="H1185" s="27" t="s">
        <v>97</v>
      </c>
      <c r="I1185">
        <v>1</v>
      </c>
    </row>
    <row r="1186" spans="1:9">
      <c r="A1186" t="s">
        <v>1601</v>
      </c>
      <c r="B1186" s="27" t="s">
        <v>3223</v>
      </c>
      <c r="C1186" s="27" t="s">
        <v>5769</v>
      </c>
      <c r="D1186">
        <f>VLOOKUP(tblTargetMedicos[[#This Row],[codigo_id]],[1]DIM_REPRESENTANTE_MEDICO!$C:$F,4,0)</f>
        <v>12</v>
      </c>
      <c r="E1186">
        <f>VLOOKUP(tblTargetMedicos[[#This Row],[codigo_id]],[1]DIM_REPRESENTANTE_MEDICO!$C:$F,3,0)</f>
        <v>5</v>
      </c>
      <c r="F1186" s="27" t="s">
        <v>5796</v>
      </c>
      <c r="G1186" s="27" t="s">
        <v>5781</v>
      </c>
      <c r="H1186" s="27" t="s">
        <v>97</v>
      </c>
      <c r="I1186">
        <v>1</v>
      </c>
    </row>
    <row r="1187" spans="1:9">
      <c r="A1187" t="s">
        <v>1602</v>
      </c>
      <c r="B1187" s="27" t="s">
        <v>3223</v>
      </c>
      <c r="C1187" s="27" t="s">
        <v>5769</v>
      </c>
      <c r="D1187">
        <f>VLOOKUP(tblTargetMedicos[[#This Row],[codigo_id]],[1]DIM_REPRESENTANTE_MEDICO!$C:$F,4,0)</f>
        <v>12</v>
      </c>
      <c r="E1187">
        <f>VLOOKUP(tblTargetMedicos[[#This Row],[codigo_id]],[1]DIM_REPRESENTANTE_MEDICO!$C:$F,3,0)</f>
        <v>5</v>
      </c>
      <c r="F1187" s="27" t="s">
        <v>5796</v>
      </c>
      <c r="G1187" s="27" t="s">
        <v>5781</v>
      </c>
      <c r="H1187" s="27" t="s">
        <v>96</v>
      </c>
      <c r="I1187">
        <v>1</v>
      </c>
    </row>
    <row r="1188" spans="1:9">
      <c r="A1188" t="s">
        <v>1603</v>
      </c>
      <c r="B1188" s="27" t="s">
        <v>3223</v>
      </c>
      <c r="C1188" s="27" t="s">
        <v>5769</v>
      </c>
      <c r="D1188">
        <f>VLOOKUP(tblTargetMedicos[[#This Row],[codigo_id]],[1]DIM_REPRESENTANTE_MEDICO!$C:$F,4,0)</f>
        <v>12</v>
      </c>
      <c r="E1188">
        <f>VLOOKUP(tblTargetMedicos[[#This Row],[codigo_id]],[1]DIM_REPRESENTANTE_MEDICO!$C:$F,3,0)</f>
        <v>5</v>
      </c>
      <c r="F1188" s="27" t="s">
        <v>5796</v>
      </c>
      <c r="G1188" s="27" t="s">
        <v>5783</v>
      </c>
      <c r="H1188" s="27" t="s">
        <v>96</v>
      </c>
      <c r="I1188">
        <v>1</v>
      </c>
    </row>
    <row r="1189" spans="1:9">
      <c r="A1189" t="s">
        <v>1604</v>
      </c>
      <c r="B1189" s="27" t="s">
        <v>3223</v>
      </c>
      <c r="C1189" s="27" t="s">
        <v>5769</v>
      </c>
      <c r="D1189">
        <f>VLOOKUP(tblTargetMedicos[[#This Row],[codigo_id]],[1]DIM_REPRESENTANTE_MEDICO!$C:$F,4,0)</f>
        <v>12</v>
      </c>
      <c r="E1189">
        <f>VLOOKUP(tblTargetMedicos[[#This Row],[codigo_id]],[1]DIM_REPRESENTANTE_MEDICO!$C:$F,3,0)</f>
        <v>5</v>
      </c>
      <c r="F1189" s="27" t="s">
        <v>5796</v>
      </c>
      <c r="G1189" s="27" t="s">
        <v>5783</v>
      </c>
      <c r="H1189" s="27" t="s">
        <v>97</v>
      </c>
      <c r="I1189">
        <v>1</v>
      </c>
    </row>
    <row r="1190" spans="1:9">
      <c r="A1190" t="s">
        <v>1605</v>
      </c>
      <c r="B1190" s="27" t="s">
        <v>3223</v>
      </c>
      <c r="C1190" s="27" t="s">
        <v>5769</v>
      </c>
      <c r="D1190">
        <f>VLOOKUP(tblTargetMedicos[[#This Row],[codigo_id]],[1]DIM_REPRESENTANTE_MEDICO!$C:$F,4,0)</f>
        <v>12</v>
      </c>
      <c r="E1190">
        <f>VLOOKUP(tblTargetMedicos[[#This Row],[codigo_id]],[1]DIM_REPRESENTANTE_MEDICO!$C:$F,3,0)</f>
        <v>5</v>
      </c>
      <c r="F1190" s="27" t="s">
        <v>5796</v>
      </c>
      <c r="G1190" s="27" t="s">
        <v>5783</v>
      </c>
      <c r="H1190" s="27" t="s">
        <v>95</v>
      </c>
      <c r="I1190">
        <v>1</v>
      </c>
    </row>
    <row r="1191" spans="1:9">
      <c r="A1191" t="s">
        <v>1606</v>
      </c>
      <c r="B1191" s="27" t="s">
        <v>3223</v>
      </c>
      <c r="C1191" s="27" t="s">
        <v>5769</v>
      </c>
      <c r="D1191">
        <f>VLOOKUP(tblTargetMedicos[[#This Row],[codigo_id]],[1]DIM_REPRESENTANTE_MEDICO!$C:$F,4,0)</f>
        <v>12</v>
      </c>
      <c r="E1191">
        <f>VLOOKUP(tblTargetMedicos[[#This Row],[codigo_id]],[1]DIM_REPRESENTANTE_MEDICO!$C:$F,3,0)</f>
        <v>5</v>
      </c>
      <c r="F1191" s="27" t="s">
        <v>5796</v>
      </c>
      <c r="G1191" s="27" t="s">
        <v>5784</v>
      </c>
      <c r="H1191" s="27" t="s">
        <v>96</v>
      </c>
      <c r="I1191">
        <v>1</v>
      </c>
    </row>
    <row r="1192" spans="1:9">
      <c r="A1192" t="s">
        <v>1607</v>
      </c>
      <c r="B1192" s="27" t="s">
        <v>3223</v>
      </c>
      <c r="C1192" s="27" t="s">
        <v>5769</v>
      </c>
      <c r="D1192">
        <f>VLOOKUP(tblTargetMedicos[[#This Row],[codigo_id]],[1]DIM_REPRESENTANTE_MEDICO!$C:$F,4,0)</f>
        <v>12</v>
      </c>
      <c r="E1192">
        <f>VLOOKUP(tblTargetMedicos[[#This Row],[codigo_id]],[1]DIM_REPRESENTANTE_MEDICO!$C:$F,3,0)</f>
        <v>5</v>
      </c>
      <c r="F1192" s="27" t="s">
        <v>5796</v>
      </c>
      <c r="G1192" s="27" t="s">
        <v>5785</v>
      </c>
      <c r="H1192" s="27" t="s">
        <v>97</v>
      </c>
      <c r="I1192">
        <v>1</v>
      </c>
    </row>
    <row r="1193" spans="1:9">
      <c r="A1193" t="s">
        <v>1608</v>
      </c>
      <c r="B1193" s="27" t="s">
        <v>3223</v>
      </c>
      <c r="C1193" s="27" t="s">
        <v>5769</v>
      </c>
      <c r="D1193">
        <f>VLOOKUP(tblTargetMedicos[[#This Row],[codigo_id]],[1]DIM_REPRESENTANTE_MEDICO!$C:$F,4,0)</f>
        <v>12</v>
      </c>
      <c r="E1193">
        <f>VLOOKUP(tblTargetMedicos[[#This Row],[codigo_id]],[1]DIM_REPRESENTANTE_MEDICO!$C:$F,3,0)</f>
        <v>5</v>
      </c>
      <c r="F1193" s="27" t="s">
        <v>5796</v>
      </c>
      <c r="G1193" s="27" t="s">
        <v>5784</v>
      </c>
      <c r="H1193" s="27" t="s">
        <v>95</v>
      </c>
      <c r="I1193">
        <v>1</v>
      </c>
    </row>
    <row r="1194" spans="1:9">
      <c r="A1194" t="s">
        <v>1609</v>
      </c>
      <c r="B1194" s="27" t="s">
        <v>3223</v>
      </c>
      <c r="C1194" s="27" t="s">
        <v>5769</v>
      </c>
      <c r="D1194">
        <f>VLOOKUP(tblTargetMedicos[[#This Row],[codigo_id]],[1]DIM_REPRESENTANTE_MEDICO!$C:$F,4,0)</f>
        <v>12</v>
      </c>
      <c r="E1194">
        <f>VLOOKUP(tblTargetMedicos[[#This Row],[codigo_id]],[1]DIM_REPRESENTANTE_MEDICO!$C:$F,3,0)</f>
        <v>5</v>
      </c>
      <c r="F1194" s="27" t="s">
        <v>5796</v>
      </c>
      <c r="G1194" s="27" t="s">
        <v>5781</v>
      </c>
      <c r="H1194" s="27" t="s">
        <v>97</v>
      </c>
      <c r="I1194">
        <v>1</v>
      </c>
    </row>
    <row r="1195" spans="1:9">
      <c r="A1195" t="s">
        <v>1610</v>
      </c>
      <c r="B1195" s="27" t="s">
        <v>3223</v>
      </c>
      <c r="C1195" s="27" t="s">
        <v>5769</v>
      </c>
      <c r="D1195">
        <f>VLOOKUP(tblTargetMedicos[[#This Row],[codigo_id]],[1]DIM_REPRESENTANTE_MEDICO!$C:$F,4,0)</f>
        <v>12</v>
      </c>
      <c r="E1195">
        <f>VLOOKUP(tblTargetMedicos[[#This Row],[codigo_id]],[1]DIM_REPRESENTANTE_MEDICO!$C:$F,3,0)</f>
        <v>5</v>
      </c>
      <c r="F1195" s="27" t="s">
        <v>5796</v>
      </c>
      <c r="G1195" s="27" t="s">
        <v>5784</v>
      </c>
      <c r="H1195" s="27" t="s">
        <v>95</v>
      </c>
      <c r="I1195">
        <v>1</v>
      </c>
    </row>
    <row r="1196" spans="1:9">
      <c r="A1196" t="s">
        <v>1611</v>
      </c>
      <c r="B1196" s="27" t="s">
        <v>3223</v>
      </c>
      <c r="C1196" s="27" t="s">
        <v>5769</v>
      </c>
      <c r="D1196">
        <f>VLOOKUP(tblTargetMedicos[[#This Row],[codigo_id]],[1]DIM_REPRESENTANTE_MEDICO!$C:$F,4,0)</f>
        <v>12</v>
      </c>
      <c r="E1196">
        <f>VLOOKUP(tblTargetMedicos[[#This Row],[codigo_id]],[1]DIM_REPRESENTANTE_MEDICO!$C:$F,3,0)</f>
        <v>5</v>
      </c>
      <c r="F1196" s="27" t="s">
        <v>5796</v>
      </c>
      <c r="G1196" s="27" t="s">
        <v>5785</v>
      </c>
      <c r="H1196" s="27" t="s">
        <v>96</v>
      </c>
      <c r="I1196">
        <v>1</v>
      </c>
    </row>
    <row r="1197" spans="1:9">
      <c r="A1197" t="s">
        <v>1612</v>
      </c>
      <c r="B1197" s="27" t="s">
        <v>3223</v>
      </c>
      <c r="C1197" s="27" t="s">
        <v>5769</v>
      </c>
      <c r="D1197">
        <f>VLOOKUP(tblTargetMedicos[[#This Row],[codigo_id]],[1]DIM_REPRESENTANTE_MEDICO!$C:$F,4,0)</f>
        <v>12</v>
      </c>
      <c r="E1197">
        <f>VLOOKUP(tblTargetMedicos[[#This Row],[codigo_id]],[1]DIM_REPRESENTANTE_MEDICO!$C:$F,3,0)</f>
        <v>5</v>
      </c>
      <c r="F1197" s="27" t="s">
        <v>5796</v>
      </c>
      <c r="G1197" s="27" t="s">
        <v>5786</v>
      </c>
      <c r="H1197" s="27" t="s">
        <v>97</v>
      </c>
      <c r="I1197">
        <v>1</v>
      </c>
    </row>
    <row r="1198" spans="1:9">
      <c r="A1198" t="s">
        <v>1613</v>
      </c>
      <c r="B1198" s="27" t="s">
        <v>3223</v>
      </c>
      <c r="C1198" s="27" t="s">
        <v>5769</v>
      </c>
      <c r="D1198">
        <f>VLOOKUP(tblTargetMedicos[[#This Row],[codigo_id]],[1]DIM_REPRESENTANTE_MEDICO!$C:$F,4,0)</f>
        <v>12</v>
      </c>
      <c r="E1198">
        <f>VLOOKUP(tblTargetMedicos[[#This Row],[codigo_id]],[1]DIM_REPRESENTANTE_MEDICO!$C:$F,3,0)</f>
        <v>5</v>
      </c>
      <c r="F1198" s="27" t="s">
        <v>5796</v>
      </c>
      <c r="G1198" s="27" t="s">
        <v>5784</v>
      </c>
      <c r="H1198" s="27" t="s">
        <v>97</v>
      </c>
      <c r="I1198">
        <v>1</v>
      </c>
    </row>
    <row r="1199" spans="1:9">
      <c r="A1199" t="s">
        <v>1614</v>
      </c>
      <c r="B1199" s="27" t="s">
        <v>3223</v>
      </c>
      <c r="C1199" s="27" t="s">
        <v>5769</v>
      </c>
      <c r="D1199">
        <f>VLOOKUP(tblTargetMedicos[[#This Row],[codigo_id]],[1]DIM_REPRESENTANTE_MEDICO!$C:$F,4,0)</f>
        <v>12</v>
      </c>
      <c r="E1199">
        <f>VLOOKUP(tblTargetMedicos[[#This Row],[codigo_id]],[1]DIM_REPRESENTANTE_MEDICO!$C:$F,3,0)</f>
        <v>5</v>
      </c>
      <c r="F1199" s="27" t="s">
        <v>5796</v>
      </c>
      <c r="G1199" s="27" t="s">
        <v>5783</v>
      </c>
      <c r="H1199" s="27" t="s">
        <v>95</v>
      </c>
      <c r="I1199">
        <v>1</v>
      </c>
    </row>
    <row r="1200" spans="1:9">
      <c r="A1200" t="s">
        <v>1615</v>
      </c>
      <c r="B1200" s="27" t="s">
        <v>3223</v>
      </c>
      <c r="C1200" s="27" t="s">
        <v>5769</v>
      </c>
      <c r="D1200">
        <f>VLOOKUP(tblTargetMedicos[[#This Row],[codigo_id]],[1]DIM_REPRESENTANTE_MEDICO!$C:$F,4,0)</f>
        <v>12</v>
      </c>
      <c r="E1200">
        <f>VLOOKUP(tblTargetMedicos[[#This Row],[codigo_id]],[1]DIM_REPRESENTANTE_MEDICO!$C:$F,3,0)</f>
        <v>5</v>
      </c>
      <c r="F1200" s="27" t="s">
        <v>5796</v>
      </c>
      <c r="G1200" s="27" t="s">
        <v>5787</v>
      </c>
      <c r="H1200" s="27" t="s">
        <v>97</v>
      </c>
      <c r="I1200">
        <v>1</v>
      </c>
    </row>
    <row r="1201" spans="1:9">
      <c r="A1201" t="s">
        <v>1616</v>
      </c>
      <c r="B1201" s="27" t="s">
        <v>3223</v>
      </c>
      <c r="C1201" s="27" t="s">
        <v>5769</v>
      </c>
      <c r="D1201">
        <f>VLOOKUP(tblTargetMedicos[[#This Row],[codigo_id]],[1]DIM_REPRESENTANTE_MEDICO!$C:$F,4,0)</f>
        <v>12</v>
      </c>
      <c r="E1201">
        <f>VLOOKUP(tblTargetMedicos[[#This Row],[codigo_id]],[1]DIM_REPRESENTANTE_MEDICO!$C:$F,3,0)</f>
        <v>5</v>
      </c>
      <c r="F1201" s="27" t="s">
        <v>5796</v>
      </c>
      <c r="G1201" s="27" t="s">
        <v>5779</v>
      </c>
      <c r="H1201" s="27" t="s">
        <v>96</v>
      </c>
      <c r="I1201">
        <v>1</v>
      </c>
    </row>
    <row r="1202" spans="1:9">
      <c r="A1202" t="s">
        <v>1617</v>
      </c>
      <c r="B1202" s="27" t="s">
        <v>3223</v>
      </c>
      <c r="C1202" s="27" t="s">
        <v>5769</v>
      </c>
      <c r="D1202">
        <f>VLOOKUP(tblTargetMedicos[[#This Row],[codigo_id]],[1]DIM_REPRESENTANTE_MEDICO!$C:$F,4,0)</f>
        <v>12</v>
      </c>
      <c r="E1202">
        <f>VLOOKUP(tblTargetMedicos[[#This Row],[codigo_id]],[1]DIM_REPRESENTANTE_MEDICO!$C:$F,3,0)</f>
        <v>5</v>
      </c>
      <c r="F1202" s="27" t="s">
        <v>5796</v>
      </c>
      <c r="G1202" s="27" t="s">
        <v>5782</v>
      </c>
      <c r="H1202" s="27" t="s">
        <v>96</v>
      </c>
      <c r="I1202">
        <v>1</v>
      </c>
    </row>
    <row r="1203" spans="1:9">
      <c r="A1203" t="s">
        <v>1618</v>
      </c>
      <c r="B1203" s="27" t="s">
        <v>3223</v>
      </c>
      <c r="C1203" s="27" t="s">
        <v>5769</v>
      </c>
      <c r="D1203">
        <f>VLOOKUP(tblTargetMedicos[[#This Row],[codigo_id]],[1]DIM_REPRESENTANTE_MEDICO!$C:$F,4,0)</f>
        <v>12</v>
      </c>
      <c r="E1203">
        <f>VLOOKUP(tblTargetMedicos[[#This Row],[codigo_id]],[1]DIM_REPRESENTANTE_MEDICO!$C:$F,3,0)</f>
        <v>5</v>
      </c>
      <c r="F1203" s="27" t="s">
        <v>5796</v>
      </c>
      <c r="G1203" s="27" t="s">
        <v>5786</v>
      </c>
      <c r="H1203" s="27" t="s">
        <v>95</v>
      </c>
      <c r="I1203">
        <v>1</v>
      </c>
    </row>
    <row r="1204" spans="1:9">
      <c r="A1204" t="s">
        <v>1619</v>
      </c>
      <c r="B1204" s="27" t="s">
        <v>3223</v>
      </c>
      <c r="C1204" s="27" t="s">
        <v>5769</v>
      </c>
      <c r="D1204">
        <f>VLOOKUP(tblTargetMedicos[[#This Row],[codigo_id]],[1]DIM_REPRESENTANTE_MEDICO!$C:$F,4,0)</f>
        <v>12</v>
      </c>
      <c r="E1204">
        <f>VLOOKUP(tblTargetMedicos[[#This Row],[codigo_id]],[1]DIM_REPRESENTANTE_MEDICO!$C:$F,3,0)</f>
        <v>5</v>
      </c>
      <c r="F1204" s="27" t="s">
        <v>5796</v>
      </c>
      <c r="G1204" s="27" t="s">
        <v>5786</v>
      </c>
      <c r="H1204" s="27" t="s">
        <v>95</v>
      </c>
      <c r="I1204">
        <v>1</v>
      </c>
    </row>
    <row r="1205" spans="1:9">
      <c r="A1205" t="s">
        <v>1620</v>
      </c>
      <c r="B1205" s="27" t="s">
        <v>3223</v>
      </c>
      <c r="C1205" s="27" t="s">
        <v>5769</v>
      </c>
      <c r="D1205">
        <f>VLOOKUP(tblTargetMedicos[[#This Row],[codigo_id]],[1]DIM_REPRESENTANTE_MEDICO!$C:$F,4,0)</f>
        <v>12</v>
      </c>
      <c r="E1205">
        <f>VLOOKUP(tblTargetMedicos[[#This Row],[codigo_id]],[1]DIM_REPRESENTANTE_MEDICO!$C:$F,3,0)</f>
        <v>5</v>
      </c>
      <c r="F1205" s="27" t="s">
        <v>5796</v>
      </c>
      <c r="G1205" s="27" t="s">
        <v>5785</v>
      </c>
      <c r="H1205" s="27" t="s">
        <v>96</v>
      </c>
      <c r="I1205">
        <v>1</v>
      </c>
    </row>
    <row r="1206" spans="1:9">
      <c r="A1206" t="s">
        <v>1621</v>
      </c>
      <c r="B1206" s="27" t="s">
        <v>3223</v>
      </c>
      <c r="C1206" s="27" t="s">
        <v>5769</v>
      </c>
      <c r="D1206">
        <f>VLOOKUP(tblTargetMedicos[[#This Row],[codigo_id]],[1]DIM_REPRESENTANTE_MEDICO!$C:$F,4,0)</f>
        <v>12</v>
      </c>
      <c r="E1206">
        <f>VLOOKUP(tblTargetMedicos[[#This Row],[codigo_id]],[1]DIM_REPRESENTANTE_MEDICO!$C:$F,3,0)</f>
        <v>5</v>
      </c>
      <c r="F1206" s="27" t="s">
        <v>5796</v>
      </c>
      <c r="G1206" s="27" t="s">
        <v>5784</v>
      </c>
      <c r="H1206" s="27" t="s">
        <v>95</v>
      </c>
      <c r="I1206">
        <v>1</v>
      </c>
    </row>
    <row r="1207" spans="1:9">
      <c r="A1207" t="s">
        <v>1622</v>
      </c>
      <c r="B1207" s="27" t="s">
        <v>3223</v>
      </c>
      <c r="C1207" s="27" t="s">
        <v>5769</v>
      </c>
      <c r="D1207">
        <f>VLOOKUP(tblTargetMedicos[[#This Row],[codigo_id]],[1]DIM_REPRESENTANTE_MEDICO!$C:$F,4,0)</f>
        <v>12</v>
      </c>
      <c r="E1207">
        <f>VLOOKUP(tblTargetMedicos[[#This Row],[codigo_id]],[1]DIM_REPRESENTANTE_MEDICO!$C:$F,3,0)</f>
        <v>5</v>
      </c>
      <c r="F1207" s="27" t="s">
        <v>5796</v>
      </c>
      <c r="G1207" s="27" t="s">
        <v>5787</v>
      </c>
      <c r="H1207" s="27" t="s">
        <v>95</v>
      </c>
      <c r="I1207">
        <v>1</v>
      </c>
    </row>
    <row r="1208" spans="1:9">
      <c r="A1208" t="s">
        <v>1623</v>
      </c>
      <c r="B1208" s="27" t="s">
        <v>3223</v>
      </c>
      <c r="C1208" s="27" t="s">
        <v>5769</v>
      </c>
      <c r="D1208">
        <f>VLOOKUP(tblTargetMedicos[[#This Row],[codigo_id]],[1]DIM_REPRESENTANTE_MEDICO!$C:$F,4,0)</f>
        <v>12</v>
      </c>
      <c r="E1208">
        <f>VLOOKUP(tblTargetMedicos[[#This Row],[codigo_id]],[1]DIM_REPRESENTANTE_MEDICO!$C:$F,3,0)</f>
        <v>5</v>
      </c>
      <c r="F1208" s="27" t="s">
        <v>5796</v>
      </c>
      <c r="G1208" s="27" t="s">
        <v>5783</v>
      </c>
      <c r="H1208" s="27" t="s">
        <v>96</v>
      </c>
      <c r="I1208">
        <v>1</v>
      </c>
    </row>
    <row r="1209" spans="1:9">
      <c r="A1209" t="s">
        <v>1624</v>
      </c>
      <c r="B1209" s="27" t="s">
        <v>3223</v>
      </c>
      <c r="C1209" s="27" t="s">
        <v>5769</v>
      </c>
      <c r="D1209">
        <f>VLOOKUP(tblTargetMedicos[[#This Row],[codigo_id]],[1]DIM_REPRESENTANTE_MEDICO!$C:$F,4,0)</f>
        <v>12</v>
      </c>
      <c r="E1209">
        <f>VLOOKUP(tblTargetMedicos[[#This Row],[codigo_id]],[1]DIM_REPRESENTANTE_MEDICO!$C:$F,3,0)</f>
        <v>5</v>
      </c>
      <c r="F1209" s="27" t="s">
        <v>5796</v>
      </c>
      <c r="G1209" s="27" t="s">
        <v>5783</v>
      </c>
      <c r="H1209" s="27" t="s">
        <v>96</v>
      </c>
      <c r="I1209">
        <v>1</v>
      </c>
    </row>
    <row r="1210" spans="1:9">
      <c r="A1210" t="s">
        <v>1625</v>
      </c>
      <c r="B1210" s="27" t="s">
        <v>3223</v>
      </c>
      <c r="C1210" s="27" t="s">
        <v>5769</v>
      </c>
      <c r="D1210">
        <f>VLOOKUP(tblTargetMedicos[[#This Row],[codigo_id]],[1]DIM_REPRESENTANTE_MEDICO!$C:$F,4,0)</f>
        <v>12</v>
      </c>
      <c r="E1210">
        <f>VLOOKUP(tblTargetMedicos[[#This Row],[codigo_id]],[1]DIM_REPRESENTANTE_MEDICO!$C:$F,3,0)</f>
        <v>5</v>
      </c>
      <c r="F1210" s="27" t="s">
        <v>5796</v>
      </c>
      <c r="G1210" s="27" t="s">
        <v>5785</v>
      </c>
      <c r="H1210" s="27" t="s">
        <v>97</v>
      </c>
      <c r="I1210">
        <v>1</v>
      </c>
    </row>
    <row r="1211" spans="1:9">
      <c r="A1211" t="s">
        <v>1626</v>
      </c>
      <c r="B1211" s="27" t="s">
        <v>3223</v>
      </c>
      <c r="C1211" s="27" t="s">
        <v>5769</v>
      </c>
      <c r="D1211">
        <f>VLOOKUP(tblTargetMedicos[[#This Row],[codigo_id]],[1]DIM_REPRESENTANTE_MEDICO!$C:$F,4,0)</f>
        <v>12</v>
      </c>
      <c r="E1211">
        <f>VLOOKUP(tblTargetMedicos[[#This Row],[codigo_id]],[1]DIM_REPRESENTANTE_MEDICO!$C:$F,3,0)</f>
        <v>5</v>
      </c>
      <c r="F1211" s="27" t="s">
        <v>5796</v>
      </c>
      <c r="G1211" s="27" t="s">
        <v>5781</v>
      </c>
      <c r="H1211" s="27" t="s">
        <v>97</v>
      </c>
      <c r="I1211">
        <v>1</v>
      </c>
    </row>
    <row r="1212" spans="1:9">
      <c r="A1212" t="s">
        <v>1627</v>
      </c>
      <c r="B1212" s="27" t="s">
        <v>3223</v>
      </c>
      <c r="C1212" s="27" t="s">
        <v>5769</v>
      </c>
      <c r="D1212">
        <f>VLOOKUP(tblTargetMedicos[[#This Row],[codigo_id]],[1]DIM_REPRESENTANTE_MEDICO!$C:$F,4,0)</f>
        <v>12</v>
      </c>
      <c r="E1212">
        <f>VLOOKUP(tblTargetMedicos[[#This Row],[codigo_id]],[1]DIM_REPRESENTANTE_MEDICO!$C:$F,3,0)</f>
        <v>5</v>
      </c>
      <c r="F1212" s="27" t="s">
        <v>5796</v>
      </c>
      <c r="G1212" s="27" t="s">
        <v>5783</v>
      </c>
      <c r="H1212" s="27" t="s">
        <v>97</v>
      </c>
      <c r="I1212">
        <v>1</v>
      </c>
    </row>
    <row r="1213" spans="1:9">
      <c r="A1213" t="s">
        <v>1628</v>
      </c>
      <c r="B1213" s="27" t="s">
        <v>3223</v>
      </c>
      <c r="C1213" s="27" t="s">
        <v>5769</v>
      </c>
      <c r="D1213">
        <f>VLOOKUP(tblTargetMedicos[[#This Row],[codigo_id]],[1]DIM_REPRESENTANTE_MEDICO!$C:$F,4,0)</f>
        <v>12</v>
      </c>
      <c r="E1213">
        <f>VLOOKUP(tblTargetMedicos[[#This Row],[codigo_id]],[1]DIM_REPRESENTANTE_MEDICO!$C:$F,3,0)</f>
        <v>5</v>
      </c>
      <c r="F1213" s="27" t="s">
        <v>5796</v>
      </c>
      <c r="G1213" s="27" t="s">
        <v>5785</v>
      </c>
      <c r="H1213" s="27" t="s">
        <v>95</v>
      </c>
      <c r="I1213">
        <v>1</v>
      </c>
    </row>
    <row r="1214" spans="1:9">
      <c r="A1214" t="s">
        <v>1629</v>
      </c>
      <c r="B1214" s="27" t="s">
        <v>3223</v>
      </c>
      <c r="C1214" s="27" t="s">
        <v>5769</v>
      </c>
      <c r="D1214">
        <f>VLOOKUP(tblTargetMedicos[[#This Row],[codigo_id]],[1]DIM_REPRESENTANTE_MEDICO!$C:$F,4,0)</f>
        <v>12</v>
      </c>
      <c r="E1214">
        <f>VLOOKUP(tblTargetMedicos[[#This Row],[codigo_id]],[1]DIM_REPRESENTANTE_MEDICO!$C:$F,3,0)</f>
        <v>5</v>
      </c>
      <c r="F1214" s="27" t="s">
        <v>5796</v>
      </c>
      <c r="G1214" s="27" t="s">
        <v>5786</v>
      </c>
      <c r="H1214" s="27" t="s">
        <v>95</v>
      </c>
      <c r="I1214">
        <v>1</v>
      </c>
    </row>
    <row r="1215" spans="1:9">
      <c r="A1215" t="s">
        <v>1630</v>
      </c>
      <c r="B1215" s="27" t="s">
        <v>3223</v>
      </c>
      <c r="C1215" s="27" t="s">
        <v>5769</v>
      </c>
      <c r="D1215">
        <f>VLOOKUP(tblTargetMedicos[[#This Row],[codigo_id]],[1]DIM_REPRESENTANTE_MEDICO!$C:$F,4,0)</f>
        <v>12</v>
      </c>
      <c r="E1215">
        <f>VLOOKUP(tblTargetMedicos[[#This Row],[codigo_id]],[1]DIM_REPRESENTANTE_MEDICO!$C:$F,3,0)</f>
        <v>5</v>
      </c>
      <c r="F1215" s="27" t="s">
        <v>5796</v>
      </c>
      <c r="G1215" s="27" t="s">
        <v>5781</v>
      </c>
      <c r="H1215" s="27" t="s">
        <v>96</v>
      </c>
      <c r="I1215">
        <v>1</v>
      </c>
    </row>
    <row r="1216" spans="1:9">
      <c r="A1216" t="s">
        <v>1631</v>
      </c>
      <c r="B1216" s="27" t="s">
        <v>3223</v>
      </c>
      <c r="C1216" s="27" t="s">
        <v>5769</v>
      </c>
      <c r="D1216">
        <f>VLOOKUP(tblTargetMedicos[[#This Row],[codigo_id]],[1]DIM_REPRESENTANTE_MEDICO!$C:$F,4,0)</f>
        <v>12</v>
      </c>
      <c r="E1216">
        <f>VLOOKUP(tblTargetMedicos[[#This Row],[codigo_id]],[1]DIM_REPRESENTANTE_MEDICO!$C:$F,3,0)</f>
        <v>5</v>
      </c>
      <c r="F1216" s="27" t="s">
        <v>5796</v>
      </c>
      <c r="G1216" s="27" t="s">
        <v>5785</v>
      </c>
      <c r="H1216" s="27" t="s">
        <v>97</v>
      </c>
      <c r="I1216">
        <v>1</v>
      </c>
    </row>
    <row r="1217" spans="1:9">
      <c r="A1217" t="s">
        <v>1632</v>
      </c>
      <c r="B1217" s="27" t="s">
        <v>3223</v>
      </c>
      <c r="C1217" s="27" t="s">
        <v>5769</v>
      </c>
      <c r="D1217">
        <f>VLOOKUP(tblTargetMedicos[[#This Row],[codigo_id]],[1]DIM_REPRESENTANTE_MEDICO!$C:$F,4,0)</f>
        <v>12</v>
      </c>
      <c r="E1217">
        <f>VLOOKUP(tblTargetMedicos[[#This Row],[codigo_id]],[1]DIM_REPRESENTANTE_MEDICO!$C:$F,3,0)</f>
        <v>5</v>
      </c>
      <c r="F1217" s="27" t="s">
        <v>5796</v>
      </c>
      <c r="G1217" s="27" t="s">
        <v>5783</v>
      </c>
      <c r="H1217" s="27" t="s">
        <v>97</v>
      </c>
      <c r="I1217">
        <v>1</v>
      </c>
    </row>
    <row r="1218" spans="1:9">
      <c r="A1218" t="s">
        <v>1633</v>
      </c>
      <c r="B1218" s="27" t="s">
        <v>3223</v>
      </c>
      <c r="C1218" s="27" t="s">
        <v>5769</v>
      </c>
      <c r="D1218">
        <f>VLOOKUP(tblTargetMedicos[[#This Row],[codigo_id]],[1]DIM_REPRESENTANTE_MEDICO!$C:$F,4,0)</f>
        <v>12</v>
      </c>
      <c r="E1218">
        <f>VLOOKUP(tblTargetMedicos[[#This Row],[codigo_id]],[1]DIM_REPRESENTANTE_MEDICO!$C:$F,3,0)</f>
        <v>5</v>
      </c>
      <c r="F1218" s="27" t="s">
        <v>5796</v>
      </c>
      <c r="G1218" s="27" t="s">
        <v>5783</v>
      </c>
      <c r="H1218" s="27" t="s">
        <v>96</v>
      </c>
      <c r="I1218">
        <v>1</v>
      </c>
    </row>
    <row r="1219" spans="1:9">
      <c r="A1219" t="s">
        <v>1634</v>
      </c>
      <c r="B1219" s="27" t="s">
        <v>3223</v>
      </c>
      <c r="C1219" s="27" t="s">
        <v>5769</v>
      </c>
      <c r="D1219">
        <f>VLOOKUP(tblTargetMedicos[[#This Row],[codigo_id]],[1]DIM_REPRESENTANTE_MEDICO!$C:$F,4,0)</f>
        <v>12</v>
      </c>
      <c r="E1219">
        <f>VLOOKUP(tblTargetMedicos[[#This Row],[codigo_id]],[1]DIM_REPRESENTANTE_MEDICO!$C:$F,3,0)</f>
        <v>5</v>
      </c>
      <c r="F1219" s="27" t="s">
        <v>5796</v>
      </c>
      <c r="G1219" s="27" t="s">
        <v>5786</v>
      </c>
      <c r="H1219" s="27" t="s">
        <v>95</v>
      </c>
      <c r="I1219">
        <v>1</v>
      </c>
    </row>
    <row r="1220" spans="1:9">
      <c r="A1220" t="s">
        <v>1635</v>
      </c>
      <c r="B1220" s="27" t="s">
        <v>3223</v>
      </c>
      <c r="C1220" s="27" t="s">
        <v>5769</v>
      </c>
      <c r="D1220">
        <f>VLOOKUP(tblTargetMedicos[[#This Row],[codigo_id]],[1]DIM_REPRESENTANTE_MEDICO!$C:$F,4,0)</f>
        <v>12</v>
      </c>
      <c r="E1220">
        <f>VLOOKUP(tblTargetMedicos[[#This Row],[codigo_id]],[1]DIM_REPRESENTANTE_MEDICO!$C:$F,3,0)</f>
        <v>5</v>
      </c>
      <c r="F1220" s="27" t="s">
        <v>5796</v>
      </c>
      <c r="G1220" s="27" t="s">
        <v>5781</v>
      </c>
      <c r="H1220" s="27" t="s">
        <v>96</v>
      </c>
      <c r="I1220">
        <v>1</v>
      </c>
    </row>
    <row r="1221" spans="1:9">
      <c r="A1221" t="s">
        <v>1636</v>
      </c>
      <c r="B1221" s="27" t="s">
        <v>3223</v>
      </c>
      <c r="C1221" s="27" t="s">
        <v>5769</v>
      </c>
      <c r="D1221">
        <f>VLOOKUP(tblTargetMedicos[[#This Row],[codigo_id]],[1]DIM_REPRESENTANTE_MEDICO!$C:$F,4,0)</f>
        <v>12</v>
      </c>
      <c r="E1221">
        <f>VLOOKUP(tblTargetMedicos[[#This Row],[codigo_id]],[1]DIM_REPRESENTANTE_MEDICO!$C:$F,3,0)</f>
        <v>5</v>
      </c>
      <c r="F1221" s="27" t="s">
        <v>5796</v>
      </c>
      <c r="G1221" s="27" t="s">
        <v>5783</v>
      </c>
      <c r="H1221" s="27" t="s">
        <v>96</v>
      </c>
      <c r="I1221">
        <v>1</v>
      </c>
    </row>
    <row r="1222" spans="1:9">
      <c r="A1222" t="s">
        <v>1637</v>
      </c>
      <c r="B1222" s="27" t="s">
        <v>3223</v>
      </c>
      <c r="C1222" s="27" t="s">
        <v>5769</v>
      </c>
      <c r="D1222">
        <f>VLOOKUP(tblTargetMedicos[[#This Row],[codigo_id]],[1]DIM_REPRESENTANTE_MEDICO!$C:$F,4,0)</f>
        <v>12</v>
      </c>
      <c r="E1222">
        <f>VLOOKUP(tblTargetMedicos[[#This Row],[codigo_id]],[1]DIM_REPRESENTANTE_MEDICO!$C:$F,3,0)</f>
        <v>5</v>
      </c>
      <c r="F1222" s="27" t="s">
        <v>5796</v>
      </c>
      <c r="G1222" s="27" t="s">
        <v>5784</v>
      </c>
      <c r="H1222" s="27" t="s">
        <v>95</v>
      </c>
      <c r="I1222">
        <v>1</v>
      </c>
    </row>
    <row r="1223" spans="1:9">
      <c r="A1223" t="s">
        <v>1638</v>
      </c>
      <c r="B1223" s="27" t="s">
        <v>3223</v>
      </c>
      <c r="C1223" s="27" t="s">
        <v>5769</v>
      </c>
      <c r="D1223">
        <f>VLOOKUP(tblTargetMedicos[[#This Row],[codigo_id]],[1]DIM_REPRESENTANTE_MEDICO!$C:$F,4,0)</f>
        <v>12</v>
      </c>
      <c r="E1223">
        <f>VLOOKUP(tblTargetMedicos[[#This Row],[codigo_id]],[1]DIM_REPRESENTANTE_MEDICO!$C:$F,3,0)</f>
        <v>5</v>
      </c>
      <c r="F1223" s="27" t="s">
        <v>5796</v>
      </c>
      <c r="G1223" s="27" t="s">
        <v>5786</v>
      </c>
      <c r="H1223" s="27" t="s">
        <v>95</v>
      </c>
      <c r="I1223">
        <v>1</v>
      </c>
    </row>
    <row r="1224" spans="1:9">
      <c r="A1224" t="s">
        <v>1639</v>
      </c>
      <c r="B1224" s="27" t="s">
        <v>3223</v>
      </c>
      <c r="C1224" s="27" t="s">
        <v>5769</v>
      </c>
      <c r="D1224">
        <f>VLOOKUP(tblTargetMedicos[[#This Row],[codigo_id]],[1]DIM_REPRESENTANTE_MEDICO!$C:$F,4,0)</f>
        <v>12</v>
      </c>
      <c r="E1224">
        <f>VLOOKUP(tblTargetMedicos[[#This Row],[codigo_id]],[1]DIM_REPRESENTANTE_MEDICO!$C:$F,3,0)</f>
        <v>5</v>
      </c>
      <c r="F1224" s="27" t="s">
        <v>5796</v>
      </c>
      <c r="G1224" s="27" t="s">
        <v>5782</v>
      </c>
      <c r="H1224" s="27" t="s">
        <v>96</v>
      </c>
      <c r="I1224">
        <v>1</v>
      </c>
    </row>
    <row r="1225" spans="1:9">
      <c r="A1225" t="s">
        <v>1640</v>
      </c>
      <c r="B1225" s="27" t="s">
        <v>3223</v>
      </c>
      <c r="C1225" s="27" t="s">
        <v>5769</v>
      </c>
      <c r="D1225">
        <f>VLOOKUP(tblTargetMedicos[[#This Row],[codigo_id]],[1]DIM_REPRESENTANTE_MEDICO!$C:$F,4,0)</f>
        <v>12</v>
      </c>
      <c r="E1225">
        <f>VLOOKUP(tblTargetMedicos[[#This Row],[codigo_id]],[1]DIM_REPRESENTANTE_MEDICO!$C:$F,3,0)</f>
        <v>5</v>
      </c>
      <c r="F1225" s="27" t="s">
        <v>5796</v>
      </c>
      <c r="G1225" s="27" t="s">
        <v>5784</v>
      </c>
      <c r="H1225" s="27" t="s">
        <v>96</v>
      </c>
      <c r="I1225">
        <v>1</v>
      </c>
    </row>
    <row r="1226" spans="1:9">
      <c r="A1226" t="s">
        <v>1641</v>
      </c>
      <c r="B1226" s="27" t="s">
        <v>3223</v>
      </c>
      <c r="C1226" s="27" t="s">
        <v>5769</v>
      </c>
      <c r="D1226">
        <f>VLOOKUP(tblTargetMedicos[[#This Row],[codigo_id]],[1]DIM_REPRESENTANTE_MEDICO!$C:$F,4,0)</f>
        <v>12</v>
      </c>
      <c r="E1226">
        <f>VLOOKUP(tblTargetMedicos[[#This Row],[codigo_id]],[1]DIM_REPRESENTANTE_MEDICO!$C:$F,3,0)</f>
        <v>5</v>
      </c>
      <c r="F1226" s="27" t="s">
        <v>5796</v>
      </c>
      <c r="G1226" s="27" t="s">
        <v>5784</v>
      </c>
      <c r="H1226" s="27" t="s">
        <v>97</v>
      </c>
      <c r="I1226">
        <v>1</v>
      </c>
    </row>
    <row r="1227" spans="1:9">
      <c r="A1227" t="s">
        <v>1642</v>
      </c>
      <c r="B1227" s="27" t="s">
        <v>3223</v>
      </c>
      <c r="C1227" s="27" t="s">
        <v>5769</v>
      </c>
      <c r="D1227">
        <f>VLOOKUP(tblTargetMedicos[[#This Row],[codigo_id]],[1]DIM_REPRESENTANTE_MEDICO!$C:$F,4,0)</f>
        <v>12</v>
      </c>
      <c r="E1227">
        <f>VLOOKUP(tblTargetMedicos[[#This Row],[codigo_id]],[1]DIM_REPRESENTANTE_MEDICO!$C:$F,3,0)</f>
        <v>5</v>
      </c>
      <c r="F1227" s="27" t="s">
        <v>5796</v>
      </c>
      <c r="G1227" s="27" t="s">
        <v>5782</v>
      </c>
      <c r="H1227" s="27" t="s">
        <v>95</v>
      </c>
      <c r="I1227">
        <v>1</v>
      </c>
    </row>
    <row r="1228" spans="1:9">
      <c r="A1228" t="s">
        <v>1643</v>
      </c>
      <c r="B1228" s="27" t="s">
        <v>3223</v>
      </c>
      <c r="C1228" s="27" t="s">
        <v>5769</v>
      </c>
      <c r="D1228">
        <f>VLOOKUP(tblTargetMedicos[[#This Row],[codigo_id]],[1]DIM_REPRESENTANTE_MEDICO!$C:$F,4,0)</f>
        <v>12</v>
      </c>
      <c r="E1228">
        <f>VLOOKUP(tblTargetMedicos[[#This Row],[codigo_id]],[1]DIM_REPRESENTANTE_MEDICO!$C:$F,3,0)</f>
        <v>5</v>
      </c>
      <c r="F1228" s="27" t="s">
        <v>5796</v>
      </c>
      <c r="G1228" s="27" t="s">
        <v>5786</v>
      </c>
      <c r="H1228" s="27" t="s">
        <v>96</v>
      </c>
      <c r="I1228">
        <v>1</v>
      </c>
    </row>
    <row r="1229" spans="1:9">
      <c r="A1229" t="s">
        <v>1644</v>
      </c>
      <c r="B1229" s="27" t="s">
        <v>3223</v>
      </c>
      <c r="C1229" s="27" t="s">
        <v>5769</v>
      </c>
      <c r="D1229">
        <f>VLOOKUP(tblTargetMedicos[[#This Row],[codigo_id]],[1]DIM_REPRESENTANTE_MEDICO!$C:$F,4,0)</f>
        <v>12</v>
      </c>
      <c r="E1229">
        <f>VLOOKUP(tblTargetMedicos[[#This Row],[codigo_id]],[1]DIM_REPRESENTANTE_MEDICO!$C:$F,3,0)</f>
        <v>5</v>
      </c>
      <c r="F1229" s="27" t="s">
        <v>5796</v>
      </c>
      <c r="G1229" s="27" t="s">
        <v>5782</v>
      </c>
      <c r="H1229" s="27" t="s">
        <v>97</v>
      </c>
      <c r="I1229">
        <v>1</v>
      </c>
    </row>
    <row r="1230" spans="1:9">
      <c r="A1230" t="s">
        <v>1645</v>
      </c>
      <c r="B1230" s="27" t="s">
        <v>3223</v>
      </c>
      <c r="C1230" s="27" t="s">
        <v>5769</v>
      </c>
      <c r="D1230">
        <f>VLOOKUP(tblTargetMedicos[[#This Row],[codigo_id]],[1]DIM_REPRESENTANTE_MEDICO!$C:$F,4,0)</f>
        <v>12</v>
      </c>
      <c r="E1230">
        <f>VLOOKUP(tblTargetMedicos[[#This Row],[codigo_id]],[1]DIM_REPRESENTANTE_MEDICO!$C:$F,3,0)</f>
        <v>5</v>
      </c>
      <c r="F1230" s="27" t="s">
        <v>5796</v>
      </c>
      <c r="G1230" s="27" t="s">
        <v>5781</v>
      </c>
      <c r="H1230" s="27" t="s">
        <v>96</v>
      </c>
      <c r="I1230">
        <v>1</v>
      </c>
    </row>
    <row r="1231" spans="1:9">
      <c r="A1231" t="s">
        <v>1646</v>
      </c>
      <c r="B1231" s="27" t="s">
        <v>3224</v>
      </c>
      <c r="C1231" s="27" t="s">
        <v>5770</v>
      </c>
      <c r="D1231">
        <f>VLOOKUP(tblTargetMedicos[[#This Row],[codigo_id]],[1]DIM_REPRESENTANTE_MEDICO!$C:$F,4,0)</f>
        <v>2</v>
      </c>
      <c r="E1231">
        <f>VLOOKUP(tblTargetMedicos[[#This Row],[codigo_id]],[1]DIM_REPRESENTANTE_MEDICO!$C:$F,3,0)</f>
        <v>6</v>
      </c>
      <c r="F1231" s="27" t="s">
        <v>5796</v>
      </c>
      <c r="G1231" s="27" t="s">
        <v>5779</v>
      </c>
      <c r="H1231" s="27" t="s">
        <v>96</v>
      </c>
      <c r="I1231">
        <v>1</v>
      </c>
    </row>
    <row r="1232" spans="1:9">
      <c r="A1232" t="s">
        <v>1647</v>
      </c>
      <c r="B1232" s="27" t="s">
        <v>3224</v>
      </c>
      <c r="C1232" s="27" t="s">
        <v>5770</v>
      </c>
      <c r="D1232">
        <f>VLOOKUP(tblTargetMedicos[[#This Row],[codigo_id]],[1]DIM_REPRESENTANTE_MEDICO!$C:$F,4,0)</f>
        <v>2</v>
      </c>
      <c r="E1232">
        <f>VLOOKUP(tblTargetMedicos[[#This Row],[codigo_id]],[1]DIM_REPRESENTANTE_MEDICO!$C:$F,3,0)</f>
        <v>6</v>
      </c>
      <c r="F1232" s="27" t="s">
        <v>5796</v>
      </c>
      <c r="G1232" s="27" t="s">
        <v>5785</v>
      </c>
      <c r="H1232" s="27" t="s">
        <v>96</v>
      </c>
      <c r="I1232">
        <v>1</v>
      </c>
    </row>
    <row r="1233" spans="1:9">
      <c r="A1233" t="s">
        <v>1648</v>
      </c>
      <c r="B1233" s="27" t="s">
        <v>3224</v>
      </c>
      <c r="C1233" s="27" t="s">
        <v>5770</v>
      </c>
      <c r="D1233">
        <f>VLOOKUP(tblTargetMedicos[[#This Row],[codigo_id]],[1]DIM_REPRESENTANTE_MEDICO!$C:$F,4,0)</f>
        <v>2</v>
      </c>
      <c r="E1233">
        <f>VLOOKUP(tblTargetMedicos[[#This Row],[codigo_id]],[1]DIM_REPRESENTANTE_MEDICO!$C:$F,3,0)</f>
        <v>6</v>
      </c>
      <c r="F1233" s="27" t="s">
        <v>5796</v>
      </c>
      <c r="G1233" s="27" t="s">
        <v>5783</v>
      </c>
      <c r="H1233" s="27" t="s">
        <v>96</v>
      </c>
      <c r="I1233">
        <v>1</v>
      </c>
    </row>
    <row r="1234" spans="1:9">
      <c r="A1234" t="s">
        <v>1649</v>
      </c>
      <c r="B1234" s="27" t="s">
        <v>3224</v>
      </c>
      <c r="C1234" s="27" t="s">
        <v>5770</v>
      </c>
      <c r="D1234">
        <f>VLOOKUP(tblTargetMedicos[[#This Row],[codigo_id]],[1]DIM_REPRESENTANTE_MEDICO!$C:$F,4,0)</f>
        <v>2</v>
      </c>
      <c r="E1234">
        <f>VLOOKUP(tblTargetMedicos[[#This Row],[codigo_id]],[1]DIM_REPRESENTANTE_MEDICO!$C:$F,3,0)</f>
        <v>6</v>
      </c>
      <c r="F1234" s="27" t="s">
        <v>5796</v>
      </c>
      <c r="G1234" s="27" t="s">
        <v>5779</v>
      </c>
      <c r="H1234" s="27" t="s">
        <v>96</v>
      </c>
      <c r="I1234">
        <v>1</v>
      </c>
    </row>
    <row r="1235" spans="1:9">
      <c r="A1235" t="s">
        <v>1650</v>
      </c>
      <c r="B1235" s="27" t="s">
        <v>3224</v>
      </c>
      <c r="C1235" s="27" t="s">
        <v>5770</v>
      </c>
      <c r="D1235">
        <f>VLOOKUP(tblTargetMedicos[[#This Row],[codigo_id]],[1]DIM_REPRESENTANTE_MEDICO!$C:$F,4,0)</f>
        <v>2</v>
      </c>
      <c r="E1235">
        <f>VLOOKUP(tblTargetMedicos[[#This Row],[codigo_id]],[1]DIM_REPRESENTANTE_MEDICO!$C:$F,3,0)</f>
        <v>6</v>
      </c>
      <c r="F1235" s="27" t="s">
        <v>5796</v>
      </c>
      <c r="G1235" s="27" t="s">
        <v>5785</v>
      </c>
      <c r="H1235" s="27" t="s">
        <v>96</v>
      </c>
      <c r="I1235">
        <v>1</v>
      </c>
    </row>
    <row r="1236" spans="1:9">
      <c r="A1236" t="s">
        <v>1651</v>
      </c>
      <c r="B1236" s="27" t="s">
        <v>3224</v>
      </c>
      <c r="C1236" s="27" t="s">
        <v>5770</v>
      </c>
      <c r="D1236">
        <f>VLOOKUP(tblTargetMedicos[[#This Row],[codigo_id]],[1]DIM_REPRESENTANTE_MEDICO!$C:$F,4,0)</f>
        <v>2</v>
      </c>
      <c r="E1236">
        <f>VLOOKUP(tblTargetMedicos[[#This Row],[codigo_id]],[1]DIM_REPRESENTANTE_MEDICO!$C:$F,3,0)</f>
        <v>6</v>
      </c>
      <c r="F1236" s="27" t="s">
        <v>5796</v>
      </c>
      <c r="G1236" s="27" t="s">
        <v>5784</v>
      </c>
      <c r="H1236" s="27" t="s">
        <v>95</v>
      </c>
      <c r="I1236">
        <v>1</v>
      </c>
    </row>
    <row r="1237" spans="1:9">
      <c r="A1237" t="s">
        <v>1652</v>
      </c>
      <c r="B1237" s="27" t="s">
        <v>3224</v>
      </c>
      <c r="C1237" s="27" t="s">
        <v>5770</v>
      </c>
      <c r="D1237">
        <f>VLOOKUP(tblTargetMedicos[[#This Row],[codigo_id]],[1]DIM_REPRESENTANTE_MEDICO!$C:$F,4,0)</f>
        <v>2</v>
      </c>
      <c r="E1237">
        <f>VLOOKUP(tblTargetMedicos[[#This Row],[codigo_id]],[1]DIM_REPRESENTANTE_MEDICO!$C:$F,3,0)</f>
        <v>6</v>
      </c>
      <c r="F1237" s="27" t="s">
        <v>5796</v>
      </c>
      <c r="G1237" s="27" t="s">
        <v>5783</v>
      </c>
      <c r="H1237" s="27" t="s">
        <v>97</v>
      </c>
      <c r="I1237">
        <v>1</v>
      </c>
    </row>
    <row r="1238" spans="1:9">
      <c r="A1238" t="s">
        <v>1653</v>
      </c>
      <c r="B1238" s="27" t="s">
        <v>3224</v>
      </c>
      <c r="C1238" s="27" t="s">
        <v>5770</v>
      </c>
      <c r="D1238">
        <f>VLOOKUP(tblTargetMedicos[[#This Row],[codigo_id]],[1]DIM_REPRESENTANTE_MEDICO!$C:$F,4,0)</f>
        <v>2</v>
      </c>
      <c r="E1238">
        <f>VLOOKUP(tblTargetMedicos[[#This Row],[codigo_id]],[1]DIM_REPRESENTANTE_MEDICO!$C:$F,3,0)</f>
        <v>6</v>
      </c>
      <c r="F1238" s="27" t="s">
        <v>5796</v>
      </c>
      <c r="G1238" s="27" t="s">
        <v>5785</v>
      </c>
      <c r="H1238" s="27" t="s">
        <v>96</v>
      </c>
      <c r="I1238">
        <v>1</v>
      </c>
    </row>
    <row r="1239" spans="1:9">
      <c r="A1239" t="s">
        <v>1654</v>
      </c>
      <c r="B1239" s="27" t="s">
        <v>3224</v>
      </c>
      <c r="C1239" s="27" t="s">
        <v>5770</v>
      </c>
      <c r="D1239">
        <f>VLOOKUP(tblTargetMedicos[[#This Row],[codigo_id]],[1]DIM_REPRESENTANTE_MEDICO!$C:$F,4,0)</f>
        <v>2</v>
      </c>
      <c r="E1239">
        <f>VLOOKUP(tblTargetMedicos[[#This Row],[codigo_id]],[1]DIM_REPRESENTANTE_MEDICO!$C:$F,3,0)</f>
        <v>6</v>
      </c>
      <c r="F1239" s="27" t="s">
        <v>5796</v>
      </c>
      <c r="G1239" s="27" t="s">
        <v>5783</v>
      </c>
      <c r="H1239" s="27" t="s">
        <v>96</v>
      </c>
      <c r="I1239">
        <v>1</v>
      </c>
    </row>
    <row r="1240" spans="1:9">
      <c r="A1240" t="s">
        <v>1655</v>
      </c>
      <c r="B1240" s="27" t="s">
        <v>3224</v>
      </c>
      <c r="C1240" s="27" t="s">
        <v>5770</v>
      </c>
      <c r="D1240">
        <f>VLOOKUP(tblTargetMedicos[[#This Row],[codigo_id]],[1]DIM_REPRESENTANTE_MEDICO!$C:$F,4,0)</f>
        <v>2</v>
      </c>
      <c r="E1240">
        <f>VLOOKUP(tblTargetMedicos[[#This Row],[codigo_id]],[1]DIM_REPRESENTANTE_MEDICO!$C:$F,3,0)</f>
        <v>6</v>
      </c>
      <c r="F1240" s="27" t="s">
        <v>5796</v>
      </c>
      <c r="G1240" s="27" t="s">
        <v>5788</v>
      </c>
      <c r="H1240" s="27" t="s">
        <v>96</v>
      </c>
      <c r="I1240">
        <v>1</v>
      </c>
    </row>
    <row r="1241" spans="1:9">
      <c r="A1241" t="s">
        <v>1656</v>
      </c>
      <c r="B1241" s="27" t="s">
        <v>3224</v>
      </c>
      <c r="C1241" s="27" t="s">
        <v>5770</v>
      </c>
      <c r="D1241">
        <f>VLOOKUP(tblTargetMedicos[[#This Row],[codigo_id]],[1]DIM_REPRESENTANTE_MEDICO!$C:$F,4,0)</f>
        <v>2</v>
      </c>
      <c r="E1241">
        <f>VLOOKUP(tblTargetMedicos[[#This Row],[codigo_id]],[1]DIM_REPRESENTANTE_MEDICO!$C:$F,3,0)</f>
        <v>6</v>
      </c>
      <c r="F1241" s="27" t="s">
        <v>5796</v>
      </c>
      <c r="G1241" s="27" t="s">
        <v>5786</v>
      </c>
      <c r="H1241" s="27" t="s">
        <v>95</v>
      </c>
      <c r="I1241">
        <v>1</v>
      </c>
    </row>
    <row r="1242" spans="1:9">
      <c r="A1242" t="s">
        <v>1657</v>
      </c>
      <c r="B1242" s="27" t="s">
        <v>3224</v>
      </c>
      <c r="C1242" s="27" t="s">
        <v>5770</v>
      </c>
      <c r="D1242">
        <f>VLOOKUP(tblTargetMedicos[[#This Row],[codigo_id]],[1]DIM_REPRESENTANTE_MEDICO!$C:$F,4,0)</f>
        <v>2</v>
      </c>
      <c r="E1242">
        <f>VLOOKUP(tblTargetMedicos[[#This Row],[codigo_id]],[1]DIM_REPRESENTANTE_MEDICO!$C:$F,3,0)</f>
        <v>6</v>
      </c>
      <c r="F1242" s="27" t="s">
        <v>5796</v>
      </c>
      <c r="G1242" s="27" t="s">
        <v>5783</v>
      </c>
      <c r="H1242" s="27" t="s">
        <v>96</v>
      </c>
      <c r="I1242">
        <v>1</v>
      </c>
    </row>
    <row r="1243" spans="1:9">
      <c r="A1243" t="s">
        <v>1658</v>
      </c>
      <c r="B1243" s="27" t="s">
        <v>3224</v>
      </c>
      <c r="C1243" s="27" t="s">
        <v>5770</v>
      </c>
      <c r="D1243">
        <f>VLOOKUP(tblTargetMedicos[[#This Row],[codigo_id]],[1]DIM_REPRESENTANTE_MEDICO!$C:$F,4,0)</f>
        <v>2</v>
      </c>
      <c r="E1243">
        <f>VLOOKUP(tblTargetMedicos[[#This Row],[codigo_id]],[1]DIM_REPRESENTANTE_MEDICO!$C:$F,3,0)</f>
        <v>6</v>
      </c>
      <c r="F1243" s="27" t="s">
        <v>5796</v>
      </c>
      <c r="G1243" s="27" t="s">
        <v>5786</v>
      </c>
      <c r="H1243" s="27" t="s">
        <v>96</v>
      </c>
      <c r="I1243">
        <v>1</v>
      </c>
    </row>
    <row r="1244" spans="1:9">
      <c r="A1244" t="s">
        <v>1659</v>
      </c>
      <c r="B1244" s="27" t="s">
        <v>3224</v>
      </c>
      <c r="C1244" s="27" t="s">
        <v>5770</v>
      </c>
      <c r="D1244">
        <f>VLOOKUP(tblTargetMedicos[[#This Row],[codigo_id]],[1]DIM_REPRESENTANTE_MEDICO!$C:$F,4,0)</f>
        <v>2</v>
      </c>
      <c r="E1244">
        <f>VLOOKUP(tblTargetMedicos[[#This Row],[codigo_id]],[1]DIM_REPRESENTANTE_MEDICO!$C:$F,3,0)</f>
        <v>6</v>
      </c>
      <c r="F1244" s="27" t="s">
        <v>5796</v>
      </c>
      <c r="G1244" s="27" t="s">
        <v>5784</v>
      </c>
      <c r="H1244" s="27" t="s">
        <v>97</v>
      </c>
      <c r="I1244">
        <v>1</v>
      </c>
    </row>
    <row r="1245" spans="1:9">
      <c r="A1245" t="s">
        <v>1660</v>
      </c>
      <c r="B1245" s="27" t="s">
        <v>3224</v>
      </c>
      <c r="C1245" s="27" t="s">
        <v>5770</v>
      </c>
      <c r="D1245">
        <f>VLOOKUP(tblTargetMedicos[[#This Row],[codigo_id]],[1]DIM_REPRESENTANTE_MEDICO!$C:$F,4,0)</f>
        <v>2</v>
      </c>
      <c r="E1245">
        <f>VLOOKUP(tblTargetMedicos[[#This Row],[codigo_id]],[1]DIM_REPRESENTANTE_MEDICO!$C:$F,3,0)</f>
        <v>6</v>
      </c>
      <c r="F1245" s="27" t="s">
        <v>5796</v>
      </c>
      <c r="G1245" s="27" t="s">
        <v>5783</v>
      </c>
      <c r="H1245" s="27" t="s">
        <v>97</v>
      </c>
      <c r="I1245">
        <v>1</v>
      </c>
    </row>
    <row r="1246" spans="1:9">
      <c r="A1246" t="s">
        <v>1661</v>
      </c>
      <c r="B1246" s="27" t="s">
        <v>3225</v>
      </c>
      <c r="C1246" s="27" t="s">
        <v>5771</v>
      </c>
      <c r="D1246">
        <f>VLOOKUP(tblTargetMedicos[[#This Row],[codigo_id]],[1]DIM_REPRESENTANTE_MEDICO!$C:$F,4,0)</f>
        <v>12</v>
      </c>
      <c r="E1246">
        <f>VLOOKUP(tblTargetMedicos[[#This Row],[codigo_id]],[1]DIM_REPRESENTANTE_MEDICO!$C:$F,3,0)</f>
        <v>1</v>
      </c>
      <c r="F1246" s="27" t="s">
        <v>5796</v>
      </c>
      <c r="G1246" s="27" t="s">
        <v>5779</v>
      </c>
      <c r="H1246" s="27" t="s">
        <v>96</v>
      </c>
      <c r="I1246">
        <v>1</v>
      </c>
    </row>
    <row r="1247" spans="1:9">
      <c r="A1247" t="s">
        <v>1662</v>
      </c>
      <c r="B1247" s="27" t="s">
        <v>3224</v>
      </c>
      <c r="C1247" s="27" t="s">
        <v>5770</v>
      </c>
      <c r="D1247">
        <f>VLOOKUP(tblTargetMedicos[[#This Row],[codigo_id]],[1]DIM_REPRESENTANTE_MEDICO!$C:$F,4,0)</f>
        <v>2</v>
      </c>
      <c r="E1247">
        <f>VLOOKUP(tblTargetMedicos[[#This Row],[codigo_id]],[1]DIM_REPRESENTANTE_MEDICO!$C:$F,3,0)</f>
        <v>6</v>
      </c>
      <c r="F1247" s="27" t="s">
        <v>5796</v>
      </c>
      <c r="G1247" s="27" t="s">
        <v>5784</v>
      </c>
      <c r="H1247" s="27" t="s">
        <v>95</v>
      </c>
      <c r="I1247">
        <v>1</v>
      </c>
    </row>
    <row r="1248" spans="1:9">
      <c r="A1248" t="s">
        <v>1663</v>
      </c>
      <c r="B1248" s="27" t="s">
        <v>3224</v>
      </c>
      <c r="C1248" s="27" t="s">
        <v>5770</v>
      </c>
      <c r="D1248">
        <f>VLOOKUP(tblTargetMedicos[[#This Row],[codigo_id]],[1]DIM_REPRESENTANTE_MEDICO!$C:$F,4,0)</f>
        <v>2</v>
      </c>
      <c r="E1248">
        <f>VLOOKUP(tblTargetMedicos[[#This Row],[codigo_id]],[1]DIM_REPRESENTANTE_MEDICO!$C:$F,3,0)</f>
        <v>6</v>
      </c>
      <c r="F1248" s="27" t="s">
        <v>5796</v>
      </c>
      <c r="G1248" s="27" t="s">
        <v>5783</v>
      </c>
      <c r="H1248" s="27" t="s">
        <v>96</v>
      </c>
      <c r="I1248">
        <v>1</v>
      </c>
    </row>
    <row r="1249" spans="1:9">
      <c r="A1249" t="s">
        <v>1664</v>
      </c>
      <c r="B1249" s="27" t="s">
        <v>3224</v>
      </c>
      <c r="C1249" s="27" t="s">
        <v>5770</v>
      </c>
      <c r="D1249">
        <f>VLOOKUP(tblTargetMedicos[[#This Row],[codigo_id]],[1]DIM_REPRESENTANTE_MEDICO!$C:$F,4,0)</f>
        <v>2</v>
      </c>
      <c r="E1249">
        <f>VLOOKUP(tblTargetMedicos[[#This Row],[codigo_id]],[1]DIM_REPRESENTANTE_MEDICO!$C:$F,3,0)</f>
        <v>6</v>
      </c>
      <c r="F1249" s="27" t="s">
        <v>5796</v>
      </c>
      <c r="G1249" s="27" t="s">
        <v>5785</v>
      </c>
      <c r="H1249" s="27" t="s">
        <v>96</v>
      </c>
      <c r="I1249">
        <v>1</v>
      </c>
    </row>
    <row r="1250" spans="1:9">
      <c r="A1250" t="s">
        <v>1665</v>
      </c>
      <c r="B1250" s="27" t="s">
        <v>3224</v>
      </c>
      <c r="C1250" s="27" t="s">
        <v>5770</v>
      </c>
      <c r="D1250">
        <f>VLOOKUP(tblTargetMedicos[[#This Row],[codigo_id]],[1]DIM_REPRESENTANTE_MEDICO!$C:$F,4,0)</f>
        <v>2</v>
      </c>
      <c r="E1250">
        <f>VLOOKUP(tblTargetMedicos[[#This Row],[codigo_id]],[1]DIM_REPRESENTANTE_MEDICO!$C:$F,3,0)</f>
        <v>6</v>
      </c>
      <c r="F1250" s="27" t="s">
        <v>5796</v>
      </c>
      <c r="G1250" s="27" t="s">
        <v>5779</v>
      </c>
      <c r="H1250" s="27" t="s">
        <v>96</v>
      </c>
      <c r="I1250">
        <v>1</v>
      </c>
    </row>
    <row r="1251" spans="1:9">
      <c r="A1251" t="s">
        <v>1666</v>
      </c>
      <c r="B1251" s="27" t="s">
        <v>3224</v>
      </c>
      <c r="C1251" s="27" t="s">
        <v>5770</v>
      </c>
      <c r="D1251">
        <f>VLOOKUP(tblTargetMedicos[[#This Row],[codigo_id]],[1]DIM_REPRESENTANTE_MEDICO!$C:$F,4,0)</f>
        <v>2</v>
      </c>
      <c r="E1251">
        <f>VLOOKUP(tblTargetMedicos[[#This Row],[codigo_id]],[1]DIM_REPRESENTANTE_MEDICO!$C:$F,3,0)</f>
        <v>6</v>
      </c>
      <c r="F1251" s="27" t="s">
        <v>5796</v>
      </c>
      <c r="G1251" s="27" t="s">
        <v>5784</v>
      </c>
      <c r="H1251" s="27" t="s">
        <v>96</v>
      </c>
      <c r="I1251">
        <v>1</v>
      </c>
    </row>
    <row r="1252" spans="1:9">
      <c r="A1252" t="s">
        <v>1667</v>
      </c>
      <c r="B1252" s="27" t="s">
        <v>3224</v>
      </c>
      <c r="C1252" s="27" t="s">
        <v>5770</v>
      </c>
      <c r="D1252">
        <f>VLOOKUP(tblTargetMedicos[[#This Row],[codigo_id]],[1]DIM_REPRESENTANTE_MEDICO!$C:$F,4,0)</f>
        <v>2</v>
      </c>
      <c r="E1252">
        <f>VLOOKUP(tblTargetMedicos[[#This Row],[codigo_id]],[1]DIM_REPRESENTANTE_MEDICO!$C:$F,3,0)</f>
        <v>6</v>
      </c>
      <c r="F1252" s="27" t="s">
        <v>5796</v>
      </c>
      <c r="G1252" s="27" t="s">
        <v>5779</v>
      </c>
      <c r="H1252" s="27" t="s">
        <v>95</v>
      </c>
      <c r="I1252">
        <v>1</v>
      </c>
    </row>
    <row r="1253" spans="1:9">
      <c r="A1253" t="s">
        <v>1668</v>
      </c>
      <c r="B1253" s="27" t="s">
        <v>3224</v>
      </c>
      <c r="C1253" s="27" t="s">
        <v>5770</v>
      </c>
      <c r="D1253">
        <f>VLOOKUP(tblTargetMedicos[[#This Row],[codigo_id]],[1]DIM_REPRESENTANTE_MEDICO!$C:$F,4,0)</f>
        <v>2</v>
      </c>
      <c r="E1253">
        <f>VLOOKUP(tblTargetMedicos[[#This Row],[codigo_id]],[1]DIM_REPRESENTANTE_MEDICO!$C:$F,3,0)</f>
        <v>6</v>
      </c>
      <c r="F1253" s="27" t="s">
        <v>5796</v>
      </c>
      <c r="G1253" s="27" t="s">
        <v>5787</v>
      </c>
      <c r="H1253" s="27" t="s">
        <v>95</v>
      </c>
      <c r="I1253">
        <v>1</v>
      </c>
    </row>
    <row r="1254" spans="1:9">
      <c r="A1254" t="s">
        <v>1669</v>
      </c>
      <c r="B1254" s="27" t="s">
        <v>3224</v>
      </c>
      <c r="C1254" s="27" t="s">
        <v>5770</v>
      </c>
      <c r="D1254">
        <f>VLOOKUP(tblTargetMedicos[[#This Row],[codigo_id]],[1]DIM_REPRESENTANTE_MEDICO!$C:$F,4,0)</f>
        <v>2</v>
      </c>
      <c r="E1254">
        <f>VLOOKUP(tblTargetMedicos[[#This Row],[codigo_id]],[1]DIM_REPRESENTANTE_MEDICO!$C:$F,3,0)</f>
        <v>6</v>
      </c>
      <c r="F1254" s="27" t="s">
        <v>5796</v>
      </c>
      <c r="G1254" s="27" t="s">
        <v>5782</v>
      </c>
      <c r="H1254" s="27" t="s">
        <v>97</v>
      </c>
      <c r="I1254">
        <v>1</v>
      </c>
    </row>
    <row r="1255" spans="1:9">
      <c r="A1255" t="s">
        <v>1670</v>
      </c>
      <c r="B1255" s="27" t="s">
        <v>3224</v>
      </c>
      <c r="C1255" s="27" t="s">
        <v>5770</v>
      </c>
      <c r="D1255">
        <f>VLOOKUP(tblTargetMedicos[[#This Row],[codigo_id]],[1]DIM_REPRESENTANTE_MEDICO!$C:$F,4,0)</f>
        <v>2</v>
      </c>
      <c r="E1255">
        <f>VLOOKUP(tblTargetMedicos[[#This Row],[codigo_id]],[1]DIM_REPRESENTANTE_MEDICO!$C:$F,3,0)</f>
        <v>6</v>
      </c>
      <c r="F1255" s="27" t="s">
        <v>5796</v>
      </c>
      <c r="G1255" s="27" t="s">
        <v>5779</v>
      </c>
      <c r="H1255" s="27" t="s">
        <v>96</v>
      </c>
      <c r="I1255">
        <v>1</v>
      </c>
    </row>
    <row r="1256" spans="1:9">
      <c r="A1256" t="s">
        <v>1671</v>
      </c>
      <c r="B1256" s="27" t="s">
        <v>3224</v>
      </c>
      <c r="C1256" s="27" t="s">
        <v>5770</v>
      </c>
      <c r="D1256">
        <f>VLOOKUP(tblTargetMedicos[[#This Row],[codigo_id]],[1]DIM_REPRESENTANTE_MEDICO!$C:$F,4,0)</f>
        <v>2</v>
      </c>
      <c r="E1256">
        <f>VLOOKUP(tblTargetMedicos[[#This Row],[codigo_id]],[1]DIM_REPRESENTANTE_MEDICO!$C:$F,3,0)</f>
        <v>6</v>
      </c>
      <c r="F1256" s="27" t="s">
        <v>5796</v>
      </c>
      <c r="G1256" s="27" t="s">
        <v>5779</v>
      </c>
      <c r="H1256" s="27" t="s">
        <v>96</v>
      </c>
      <c r="I1256">
        <v>1</v>
      </c>
    </row>
    <row r="1257" spans="1:9">
      <c r="A1257" t="s">
        <v>1672</v>
      </c>
      <c r="B1257" s="27" t="s">
        <v>3224</v>
      </c>
      <c r="C1257" s="27" t="s">
        <v>5770</v>
      </c>
      <c r="D1257">
        <f>VLOOKUP(tblTargetMedicos[[#This Row],[codigo_id]],[1]DIM_REPRESENTANTE_MEDICO!$C:$F,4,0)</f>
        <v>2</v>
      </c>
      <c r="E1257">
        <f>VLOOKUP(tblTargetMedicos[[#This Row],[codigo_id]],[1]DIM_REPRESENTANTE_MEDICO!$C:$F,3,0)</f>
        <v>6</v>
      </c>
      <c r="F1257" s="27" t="s">
        <v>5796</v>
      </c>
      <c r="G1257" s="27" t="s">
        <v>5784</v>
      </c>
      <c r="H1257" s="27" t="s">
        <v>96</v>
      </c>
      <c r="I1257">
        <v>1</v>
      </c>
    </row>
    <row r="1258" spans="1:9">
      <c r="A1258" t="s">
        <v>1673</v>
      </c>
      <c r="B1258" s="27" t="s">
        <v>3224</v>
      </c>
      <c r="C1258" s="27" t="s">
        <v>5770</v>
      </c>
      <c r="D1258">
        <f>VLOOKUP(tblTargetMedicos[[#This Row],[codigo_id]],[1]DIM_REPRESENTANTE_MEDICO!$C:$F,4,0)</f>
        <v>2</v>
      </c>
      <c r="E1258">
        <f>VLOOKUP(tblTargetMedicos[[#This Row],[codigo_id]],[1]DIM_REPRESENTANTE_MEDICO!$C:$F,3,0)</f>
        <v>6</v>
      </c>
      <c r="F1258" s="27" t="s">
        <v>5796</v>
      </c>
      <c r="G1258" s="27" t="s">
        <v>5785</v>
      </c>
      <c r="H1258" s="27" t="s">
        <v>96</v>
      </c>
      <c r="I1258">
        <v>1</v>
      </c>
    </row>
    <row r="1259" spans="1:9">
      <c r="A1259" t="s">
        <v>1674</v>
      </c>
      <c r="B1259" s="27" t="s">
        <v>3224</v>
      </c>
      <c r="C1259" s="27" t="s">
        <v>5770</v>
      </c>
      <c r="D1259">
        <f>VLOOKUP(tblTargetMedicos[[#This Row],[codigo_id]],[1]DIM_REPRESENTANTE_MEDICO!$C:$F,4,0)</f>
        <v>2</v>
      </c>
      <c r="E1259">
        <f>VLOOKUP(tblTargetMedicos[[#This Row],[codigo_id]],[1]DIM_REPRESENTANTE_MEDICO!$C:$F,3,0)</f>
        <v>6</v>
      </c>
      <c r="F1259" s="27" t="s">
        <v>5796</v>
      </c>
      <c r="G1259" s="27" t="s">
        <v>5786</v>
      </c>
      <c r="H1259" s="27" t="s">
        <v>95</v>
      </c>
      <c r="I1259">
        <v>1</v>
      </c>
    </row>
    <row r="1260" spans="1:9">
      <c r="A1260" t="s">
        <v>1675</v>
      </c>
      <c r="B1260" s="27" t="s">
        <v>3224</v>
      </c>
      <c r="C1260" s="27" t="s">
        <v>5770</v>
      </c>
      <c r="D1260">
        <f>VLOOKUP(tblTargetMedicos[[#This Row],[codigo_id]],[1]DIM_REPRESENTANTE_MEDICO!$C:$F,4,0)</f>
        <v>2</v>
      </c>
      <c r="E1260">
        <f>VLOOKUP(tblTargetMedicos[[#This Row],[codigo_id]],[1]DIM_REPRESENTANTE_MEDICO!$C:$F,3,0)</f>
        <v>6</v>
      </c>
      <c r="F1260" s="27" t="s">
        <v>5796</v>
      </c>
      <c r="G1260" s="27" t="s">
        <v>5784</v>
      </c>
      <c r="H1260" s="27" t="s">
        <v>95</v>
      </c>
      <c r="I1260">
        <v>1</v>
      </c>
    </row>
    <row r="1261" spans="1:9">
      <c r="A1261" t="s">
        <v>1676</v>
      </c>
      <c r="B1261" s="27" t="s">
        <v>3224</v>
      </c>
      <c r="C1261" s="27" t="s">
        <v>5770</v>
      </c>
      <c r="D1261">
        <f>VLOOKUP(tblTargetMedicos[[#This Row],[codigo_id]],[1]DIM_REPRESENTANTE_MEDICO!$C:$F,4,0)</f>
        <v>2</v>
      </c>
      <c r="E1261">
        <f>VLOOKUP(tblTargetMedicos[[#This Row],[codigo_id]],[1]DIM_REPRESENTANTE_MEDICO!$C:$F,3,0)</f>
        <v>6</v>
      </c>
      <c r="F1261" s="27" t="s">
        <v>5796</v>
      </c>
      <c r="G1261" s="27" t="s">
        <v>5786</v>
      </c>
      <c r="H1261" s="27" t="s">
        <v>96</v>
      </c>
      <c r="I1261">
        <v>1</v>
      </c>
    </row>
    <row r="1262" spans="1:9">
      <c r="A1262" t="s">
        <v>1677</v>
      </c>
      <c r="B1262" s="27" t="s">
        <v>3224</v>
      </c>
      <c r="C1262" s="27" t="s">
        <v>5770</v>
      </c>
      <c r="D1262">
        <f>VLOOKUP(tblTargetMedicos[[#This Row],[codigo_id]],[1]DIM_REPRESENTANTE_MEDICO!$C:$F,4,0)</f>
        <v>2</v>
      </c>
      <c r="E1262">
        <f>VLOOKUP(tblTargetMedicos[[#This Row],[codigo_id]],[1]DIM_REPRESENTANTE_MEDICO!$C:$F,3,0)</f>
        <v>6</v>
      </c>
      <c r="F1262" s="27" t="s">
        <v>5796</v>
      </c>
      <c r="G1262" s="27" t="s">
        <v>5784</v>
      </c>
      <c r="H1262" s="27" t="s">
        <v>96</v>
      </c>
      <c r="I1262">
        <v>1</v>
      </c>
    </row>
    <row r="1263" spans="1:9">
      <c r="A1263" t="s">
        <v>1678</v>
      </c>
      <c r="B1263" s="27" t="s">
        <v>3224</v>
      </c>
      <c r="C1263" s="27" t="s">
        <v>5770</v>
      </c>
      <c r="D1263">
        <f>VLOOKUP(tblTargetMedicos[[#This Row],[codigo_id]],[1]DIM_REPRESENTANTE_MEDICO!$C:$F,4,0)</f>
        <v>2</v>
      </c>
      <c r="E1263">
        <f>VLOOKUP(tblTargetMedicos[[#This Row],[codigo_id]],[1]DIM_REPRESENTANTE_MEDICO!$C:$F,3,0)</f>
        <v>6</v>
      </c>
      <c r="F1263" s="27" t="s">
        <v>5796</v>
      </c>
      <c r="G1263" s="27" t="s">
        <v>5779</v>
      </c>
      <c r="H1263" s="27" t="s">
        <v>96</v>
      </c>
      <c r="I1263">
        <v>1</v>
      </c>
    </row>
    <row r="1264" spans="1:9">
      <c r="A1264" t="s">
        <v>1679</v>
      </c>
      <c r="B1264" s="27" t="s">
        <v>3224</v>
      </c>
      <c r="C1264" s="27" t="s">
        <v>5770</v>
      </c>
      <c r="D1264">
        <f>VLOOKUP(tblTargetMedicos[[#This Row],[codigo_id]],[1]DIM_REPRESENTANTE_MEDICO!$C:$F,4,0)</f>
        <v>2</v>
      </c>
      <c r="E1264">
        <f>VLOOKUP(tblTargetMedicos[[#This Row],[codigo_id]],[1]DIM_REPRESENTANTE_MEDICO!$C:$F,3,0)</f>
        <v>6</v>
      </c>
      <c r="F1264" s="27" t="s">
        <v>5796</v>
      </c>
      <c r="G1264" s="27" t="s">
        <v>5783</v>
      </c>
      <c r="H1264" s="27" t="s">
        <v>97</v>
      </c>
      <c r="I1264">
        <v>1</v>
      </c>
    </row>
    <row r="1265" spans="1:9">
      <c r="A1265" t="s">
        <v>1680</v>
      </c>
      <c r="B1265" s="27" t="s">
        <v>3224</v>
      </c>
      <c r="C1265" s="27" t="s">
        <v>5770</v>
      </c>
      <c r="D1265">
        <f>VLOOKUP(tblTargetMedicos[[#This Row],[codigo_id]],[1]DIM_REPRESENTANTE_MEDICO!$C:$F,4,0)</f>
        <v>2</v>
      </c>
      <c r="E1265">
        <f>VLOOKUP(tblTargetMedicos[[#This Row],[codigo_id]],[1]DIM_REPRESENTANTE_MEDICO!$C:$F,3,0)</f>
        <v>6</v>
      </c>
      <c r="F1265" s="27" t="s">
        <v>5796</v>
      </c>
      <c r="G1265" s="27" t="s">
        <v>5784</v>
      </c>
      <c r="H1265" s="27" t="s">
        <v>96</v>
      </c>
      <c r="I1265">
        <v>1</v>
      </c>
    </row>
    <row r="1266" spans="1:9">
      <c r="A1266" t="s">
        <v>1681</v>
      </c>
      <c r="B1266" s="27" t="s">
        <v>3224</v>
      </c>
      <c r="C1266" s="27" t="s">
        <v>5770</v>
      </c>
      <c r="D1266">
        <f>VLOOKUP(tblTargetMedicos[[#This Row],[codigo_id]],[1]DIM_REPRESENTANTE_MEDICO!$C:$F,4,0)</f>
        <v>2</v>
      </c>
      <c r="E1266">
        <f>VLOOKUP(tblTargetMedicos[[#This Row],[codigo_id]],[1]DIM_REPRESENTANTE_MEDICO!$C:$F,3,0)</f>
        <v>6</v>
      </c>
      <c r="F1266" s="27" t="s">
        <v>5796</v>
      </c>
      <c r="G1266" s="27" t="s">
        <v>5780</v>
      </c>
      <c r="H1266" s="27" t="s">
        <v>96</v>
      </c>
      <c r="I1266">
        <v>1</v>
      </c>
    </row>
    <row r="1267" spans="1:9">
      <c r="A1267" t="s">
        <v>1682</v>
      </c>
      <c r="B1267" s="27" t="s">
        <v>3224</v>
      </c>
      <c r="C1267" s="27" t="s">
        <v>5770</v>
      </c>
      <c r="D1267">
        <f>VLOOKUP(tblTargetMedicos[[#This Row],[codigo_id]],[1]DIM_REPRESENTANTE_MEDICO!$C:$F,4,0)</f>
        <v>2</v>
      </c>
      <c r="E1267">
        <f>VLOOKUP(tblTargetMedicos[[#This Row],[codigo_id]],[1]DIM_REPRESENTANTE_MEDICO!$C:$F,3,0)</f>
        <v>6</v>
      </c>
      <c r="F1267" s="27" t="s">
        <v>5796</v>
      </c>
      <c r="G1267" s="27" t="s">
        <v>5785</v>
      </c>
      <c r="H1267" s="27" t="s">
        <v>96</v>
      </c>
      <c r="I1267">
        <v>1</v>
      </c>
    </row>
    <row r="1268" spans="1:9">
      <c r="A1268" t="s">
        <v>1683</v>
      </c>
      <c r="B1268" s="27" t="s">
        <v>3224</v>
      </c>
      <c r="C1268" s="27" t="s">
        <v>5770</v>
      </c>
      <c r="D1268">
        <f>VLOOKUP(tblTargetMedicos[[#This Row],[codigo_id]],[1]DIM_REPRESENTANTE_MEDICO!$C:$F,4,0)</f>
        <v>2</v>
      </c>
      <c r="E1268">
        <f>VLOOKUP(tblTargetMedicos[[#This Row],[codigo_id]],[1]DIM_REPRESENTANTE_MEDICO!$C:$F,3,0)</f>
        <v>6</v>
      </c>
      <c r="F1268" s="27" t="s">
        <v>5796</v>
      </c>
      <c r="G1268" s="27" t="s">
        <v>5779</v>
      </c>
      <c r="H1268" s="27" t="s">
        <v>95</v>
      </c>
      <c r="I1268">
        <v>1</v>
      </c>
    </row>
    <row r="1269" spans="1:9">
      <c r="A1269" t="s">
        <v>1684</v>
      </c>
      <c r="B1269" s="27" t="s">
        <v>3224</v>
      </c>
      <c r="C1269" s="27" t="s">
        <v>5770</v>
      </c>
      <c r="D1269">
        <f>VLOOKUP(tblTargetMedicos[[#This Row],[codigo_id]],[1]DIM_REPRESENTANTE_MEDICO!$C:$F,4,0)</f>
        <v>2</v>
      </c>
      <c r="E1269">
        <f>VLOOKUP(tblTargetMedicos[[#This Row],[codigo_id]],[1]DIM_REPRESENTANTE_MEDICO!$C:$F,3,0)</f>
        <v>6</v>
      </c>
      <c r="F1269" s="27" t="s">
        <v>5796</v>
      </c>
      <c r="G1269" s="27" t="s">
        <v>5783</v>
      </c>
      <c r="H1269" s="27" t="s">
        <v>96</v>
      </c>
      <c r="I1269">
        <v>1</v>
      </c>
    </row>
    <row r="1270" spans="1:9">
      <c r="A1270" t="s">
        <v>1685</v>
      </c>
      <c r="B1270" s="27" t="s">
        <v>3224</v>
      </c>
      <c r="C1270" s="27" t="s">
        <v>5770</v>
      </c>
      <c r="D1270">
        <f>VLOOKUP(tblTargetMedicos[[#This Row],[codigo_id]],[1]DIM_REPRESENTANTE_MEDICO!$C:$F,4,0)</f>
        <v>2</v>
      </c>
      <c r="E1270">
        <f>VLOOKUP(tblTargetMedicos[[#This Row],[codigo_id]],[1]DIM_REPRESENTANTE_MEDICO!$C:$F,3,0)</f>
        <v>6</v>
      </c>
      <c r="F1270" s="27" t="s">
        <v>5796</v>
      </c>
      <c r="G1270" s="27" t="s">
        <v>5790</v>
      </c>
      <c r="H1270" s="27" t="s">
        <v>97</v>
      </c>
      <c r="I1270">
        <v>1</v>
      </c>
    </row>
    <row r="1271" spans="1:9">
      <c r="A1271" t="s">
        <v>1686</v>
      </c>
      <c r="B1271" s="27" t="s">
        <v>3224</v>
      </c>
      <c r="C1271" s="27" t="s">
        <v>5770</v>
      </c>
      <c r="D1271">
        <f>VLOOKUP(tblTargetMedicos[[#This Row],[codigo_id]],[1]DIM_REPRESENTANTE_MEDICO!$C:$F,4,0)</f>
        <v>2</v>
      </c>
      <c r="E1271">
        <f>VLOOKUP(tblTargetMedicos[[#This Row],[codigo_id]],[1]DIM_REPRESENTANTE_MEDICO!$C:$F,3,0)</f>
        <v>6</v>
      </c>
      <c r="F1271" s="27" t="s">
        <v>5796</v>
      </c>
      <c r="G1271" s="27" t="s">
        <v>5784</v>
      </c>
      <c r="H1271" s="27" t="s">
        <v>96</v>
      </c>
      <c r="I1271">
        <v>1</v>
      </c>
    </row>
    <row r="1272" spans="1:9">
      <c r="A1272" t="s">
        <v>1687</v>
      </c>
      <c r="B1272" s="27" t="s">
        <v>3224</v>
      </c>
      <c r="C1272" s="27" t="s">
        <v>5770</v>
      </c>
      <c r="D1272">
        <f>VLOOKUP(tblTargetMedicos[[#This Row],[codigo_id]],[1]DIM_REPRESENTANTE_MEDICO!$C:$F,4,0)</f>
        <v>2</v>
      </c>
      <c r="E1272">
        <f>VLOOKUP(tblTargetMedicos[[#This Row],[codigo_id]],[1]DIM_REPRESENTANTE_MEDICO!$C:$F,3,0)</f>
        <v>6</v>
      </c>
      <c r="F1272" s="27" t="s">
        <v>5796</v>
      </c>
      <c r="G1272" s="27" t="s">
        <v>5783</v>
      </c>
      <c r="H1272" s="27" t="s">
        <v>95</v>
      </c>
      <c r="I1272">
        <v>1</v>
      </c>
    </row>
    <row r="1273" spans="1:9">
      <c r="A1273" t="s">
        <v>1688</v>
      </c>
      <c r="B1273" s="27" t="s">
        <v>3224</v>
      </c>
      <c r="C1273" s="27" t="s">
        <v>5770</v>
      </c>
      <c r="D1273">
        <f>VLOOKUP(tblTargetMedicos[[#This Row],[codigo_id]],[1]DIM_REPRESENTANTE_MEDICO!$C:$F,4,0)</f>
        <v>2</v>
      </c>
      <c r="E1273">
        <f>VLOOKUP(tblTargetMedicos[[#This Row],[codigo_id]],[1]DIM_REPRESENTANTE_MEDICO!$C:$F,3,0)</f>
        <v>6</v>
      </c>
      <c r="F1273" s="27" t="s">
        <v>5796</v>
      </c>
      <c r="G1273" s="27" t="s">
        <v>5782</v>
      </c>
      <c r="H1273" s="27" t="s">
        <v>96</v>
      </c>
      <c r="I1273">
        <v>1</v>
      </c>
    </row>
    <row r="1274" spans="1:9">
      <c r="A1274" t="s">
        <v>1689</v>
      </c>
      <c r="B1274" s="27" t="s">
        <v>3224</v>
      </c>
      <c r="C1274" s="27" t="s">
        <v>5770</v>
      </c>
      <c r="D1274">
        <f>VLOOKUP(tblTargetMedicos[[#This Row],[codigo_id]],[1]DIM_REPRESENTANTE_MEDICO!$C:$F,4,0)</f>
        <v>2</v>
      </c>
      <c r="E1274">
        <f>VLOOKUP(tblTargetMedicos[[#This Row],[codigo_id]],[1]DIM_REPRESENTANTE_MEDICO!$C:$F,3,0)</f>
        <v>6</v>
      </c>
      <c r="F1274" s="27" t="s">
        <v>5796</v>
      </c>
      <c r="G1274" s="27" t="s">
        <v>5784</v>
      </c>
      <c r="H1274" s="27" t="s">
        <v>95</v>
      </c>
      <c r="I1274">
        <v>1</v>
      </c>
    </row>
    <row r="1275" spans="1:9">
      <c r="A1275" t="s">
        <v>1690</v>
      </c>
      <c r="B1275" s="27" t="s">
        <v>3224</v>
      </c>
      <c r="C1275" s="27" t="s">
        <v>5770</v>
      </c>
      <c r="D1275">
        <f>VLOOKUP(tblTargetMedicos[[#This Row],[codigo_id]],[1]DIM_REPRESENTANTE_MEDICO!$C:$F,4,0)</f>
        <v>2</v>
      </c>
      <c r="E1275">
        <f>VLOOKUP(tblTargetMedicos[[#This Row],[codigo_id]],[1]DIM_REPRESENTANTE_MEDICO!$C:$F,3,0)</f>
        <v>6</v>
      </c>
      <c r="F1275" s="27" t="s">
        <v>5796</v>
      </c>
      <c r="G1275" s="27" t="s">
        <v>5779</v>
      </c>
      <c r="H1275" s="27" t="s">
        <v>96</v>
      </c>
      <c r="I1275">
        <v>1</v>
      </c>
    </row>
    <row r="1276" spans="1:9">
      <c r="A1276" t="s">
        <v>1691</v>
      </c>
      <c r="B1276" s="27" t="s">
        <v>3224</v>
      </c>
      <c r="C1276" s="27" t="s">
        <v>5770</v>
      </c>
      <c r="D1276">
        <f>VLOOKUP(tblTargetMedicos[[#This Row],[codigo_id]],[1]DIM_REPRESENTANTE_MEDICO!$C:$F,4,0)</f>
        <v>2</v>
      </c>
      <c r="E1276">
        <f>VLOOKUP(tblTargetMedicos[[#This Row],[codigo_id]],[1]DIM_REPRESENTANTE_MEDICO!$C:$F,3,0)</f>
        <v>6</v>
      </c>
      <c r="F1276" s="27" t="s">
        <v>5796</v>
      </c>
      <c r="G1276" s="27" t="s">
        <v>5782</v>
      </c>
      <c r="H1276" s="27" t="s">
        <v>96</v>
      </c>
      <c r="I1276">
        <v>1</v>
      </c>
    </row>
    <row r="1277" spans="1:9">
      <c r="A1277" t="s">
        <v>1692</v>
      </c>
      <c r="B1277" s="27" t="s">
        <v>3224</v>
      </c>
      <c r="C1277" s="27" t="s">
        <v>5770</v>
      </c>
      <c r="D1277">
        <f>VLOOKUP(tblTargetMedicos[[#This Row],[codigo_id]],[1]DIM_REPRESENTANTE_MEDICO!$C:$F,4,0)</f>
        <v>2</v>
      </c>
      <c r="E1277">
        <f>VLOOKUP(tblTargetMedicos[[#This Row],[codigo_id]],[1]DIM_REPRESENTANTE_MEDICO!$C:$F,3,0)</f>
        <v>6</v>
      </c>
      <c r="F1277" s="27" t="s">
        <v>5796</v>
      </c>
      <c r="G1277" s="27" t="s">
        <v>5784</v>
      </c>
      <c r="H1277" s="27" t="s">
        <v>95</v>
      </c>
      <c r="I1277">
        <v>1</v>
      </c>
    </row>
    <row r="1278" spans="1:9">
      <c r="A1278" t="s">
        <v>1693</v>
      </c>
      <c r="B1278" s="27" t="s">
        <v>3224</v>
      </c>
      <c r="C1278" s="27" t="s">
        <v>5770</v>
      </c>
      <c r="D1278">
        <f>VLOOKUP(tblTargetMedicos[[#This Row],[codigo_id]],[1]DIM_REPRESENTANTE_MEDICO!$C:$F,4,0)</f>
        <v>2</v>
      </c>
      <c r="E1278">
        <f>VLOOKUP(tblTargetMedicos[[#This Row],[codigo_id]],[1]DIM_REPRESENTANTE_MEDICO!$C:$F,3,0)</f>
        <v>6</v>
      </c>
      <c r="F1278" s="27" t="s">
        <v>5796</v>
      </c>
      <c r="G1278" s="27" t="s">
        <v>5779</v>
      </c>
      <c r="H1278" s="27" t="s">
        <v>95</v>
      </c>
      <c r="I1278">
        <v>1</v>
      </c>
    </row>
    <row r="1279" spans="1:9">
      <c r="A1279" t="s">
        <v>1694</v>
      </c>
      <c r="B1279" s="27" t="s">
        <v>3224</v>
      </c>
      <c r="C1279" s="27" t="s">
        <v>5770</v>
      </c>
      <c r="D1279">
        <f>VLOOKUP(tblTargetMedicos[[#This Row],[codigo_id]],[1]DIM_REPRESENTANTE_MEDICO!$C:$F,4,0)</f>
        <v>2</v>
      </c>
      <c r="E1279">
        <f>VLOOKUP(tblTargetMedicos[[#This Row],[codigo_id]],[1]DIM_REPRESENTANTE_MEDICO!$C:$F,3,0)</f>
        <v>6</v>
      </c>
      <c r="F1279" s="27" t="s">
        <v>5796</v>
      </c>
      <c r="G1279" s="27" t="s">
        <v>5784</v>
      </c>
      <c r="H1279" s="27" t="s">
        <v>97</v>
      </c>
      <c r="I1279">
        <v>1</v>
      </c>
    </row>
    <row r="1280" spans="1:9">
      <c r="A1280" t="s">
        <v>1695</v>
      </c>
      <c r="B1280" s="27" t="s">
        <v>3224</v>
      </c>
      <c r="C1280" s="27" t="s">
        <v>5770</v>
      </c>
      <c r="D1280">
        <f>VLOOKUP(tblTargetMedicos[[#This Row],[codigo_id]],[1]DIM_REPRESENTANTE_MEDICO!$C:$F,4,0)</f>
        <v>2</v>
      </c>
      <c r="E1280">
        <f>VLOOKUP(tblTargetMedicos[[#This Row],[codigo_id]],[1]DIM_REPRESENTANTE_MEDICO!$C:$F,3,0)</f>
        <v>6</v>
      </c>
      <c r="F1280" s="27" t="s">
        <v>5796</v>
      </c>
      <c r="G1280" s="27" t="s">
        <v>5784</v>
      </c>
      <c r="H1280" s="27" t="s">
        <v>96</v>
      </c>
      <c r="I1280">
        <v>1</v>
      </c>
    </row>
    <row r="1281" spans="1:9">
      <c r="A1281" t="s">
        <v>1696</v>
      </c>
      <c r="B1281" s="27" t="s">
        <v>3224</v>
      </c>
      <c r="C1281" s="27" t="s">
        <v>5770</v>
      </c>
      <c r="D1281">
        <f>VLOOKUP(tblTargetMedicos[[#This Row],[codigo_id]],[1]DIM_REPRESENTANTE_MEDICO!$C:$F,4,0)</f>
        <v>2</v>
      </c>
      <c r="E1281">
        <f>VLOOKUP(tblTargetMedicos[[#This Row],[codigo_id]],[1]DIM_REPRESENTANTE_MEDICO!$C:$F,3,0)</f>
        <v>6</v>
      </c>
      <c r="F1281" s="27" t="s">
        <v>5796</v>
      </c>
      <c r="G1281" s="27" t="s">
        <v>5787</v>
      </c>
      <c r="H1281" s="27" t="s">
        <v>96</v>
      </c>
      <c r="I1281">
        <v>1</v>
      </c>
    </row>
    <row r="1282" spans="1:9">
      <c r="A1282" t="s">
        <v>1697</v>
      </c>
      <c r="B1282" s="27" t="s">
        <v>3224</v>
      </c>
      <c r="C1282" s="27" t="s">
        <v>5770</v>
      </c>
      <c r="D1282">
        <f>VLOOKUP(tblTargetMedicos[[#This Row],[codigo_id]],[1]DIM_REPRESENTANTE_MEDICO!$C:$F,4,0)</f>
        <v>2</v>
      </c>
      <c r="E1282">
        <f>VLOOKUP(tblTargetMedicos[[#This Row],[codigo_id]],[1]DIM_REPRESENTANTE_MEDICO!$C:$F,3,0)</f>
        <v>6</v>
      </c>
      <c r="F1282" s="27" t="s">
        <v>5796</v>
      </c>
      <c r="G1282" s="27" t="s">
        <v>5783</v>
      </c>
      <c r="H1282" s="27" t="s">
        <v>96</v>
      </c>
      <c r="I1282">
        <v>1</v>
      </c>
    </row>
    <row r="1283" spans="1:9">
      <c r="A1283" t="s">
        <v>1698</v>
      </c>
      <c r="B1283" s="27" t="s">
        <v>3224</v>
      </c>
      <c r="C1283" s="27" t="s">
        <v>5770</v>
      </c>
      <c r="D1283">
        <f>VLOOKUP(tblTargetMedicos[[#This Row],[codigo_id]],[1]DIM_REPRESENTANTE_MEDICO!$C:$F,4,0)</f>
        <v>2</v>
      </c>
      <c r="E1283">
        <f>VLOOKUP(tblTargetMedicos[[#This Row],[codigo_id]],[1]DIM_REPRESENTANTE_MEDICO!$C:$F,3,0)</f>
        <v>6</v>
      </c>
      <c r="F1283" s="27" t="s">
        <v>5796</v>
      </c>
      <c r="G1283" s="27" t="s">
        <v>5784</v>
      </c>
      <c r="H1283" s="27" t="s">
        <v>96</v>
      </c>
      <c r="I1283">
        <v>1</v>
      </c>
    </row>
    <row r="1284" spans="1:9">
      <c r="A1284" t="s">
        <v>1699</v>
      </c>
      <c r="B1284" s="27" t="s">
        <v>3224</v>
      </c>
      <c r="C1284" s="27" t="s">
        <v>5770</v>
      </c>
      <c r="D1284">
        <f>VLOOKUP(tblTargetMedicos[[#This Row],[codigo_id]],[1]DIM_REPRESENTANTE_MEDICO!$C:$F,4,0)</f>
        <v>2</v>
      </c>
      <c r="E1284">
        <f>VLOOKUP(tblTargetMedicos[[#This Row],[codigo_id]],[1]DIM_REPRESENTANTE_MEDICO!$C:$F,3,0)</f>
        <v>6</v>
      </c>
      <c r="F1284" s="27" t="s">
        <v>5796</v>
      </c>
      <c r="G1284" s="27" t="s">
        <v>5788</v>
      </c>
      <c r="H1284" s="27" t="s">
        <v>96</v>
      </c>
      <c r="I1284">
        <v>1</v>
      </c>
    </row>
    <row r="1285" spans="1:9">
      <c r="A1285" t="s">
        <v>1700</v>
      </c>
      <c r="B1285" s="27" t="s">
        <v>3224</v>
      </c>
      <c r="C1285" s="27" t="s">
        <v>5770</v>
      </c>
      <c r="D1285">
        <f>VLOOKUP(tblTargetMedicos[[#This Row],[codigo_id]],[1]DIM_REPRESENTANTE_MEDICO!$C:$F,4,0)</f>
        <v>2</v>
      </c>
      <c r="E1285">
        <f>VLOOKUP(tblTargetMedicos[[#This Row],[codigo_id]],[1]DIM_REPRESENTANTE_MEDICO!$C:$F,3,0)</f>
        <v>6</v>
      </c>
      <c r="F1285" s="27" t="s">
        <v>5796</v>
      </c>
      <c r="G1285" s="27" t="s">
        <v>5779</v>
      </c>
      <c r="H1285" s="27" t="s">
        <v>96</v>
      </c>
      <c r="I1285">
        <v>1</v>
      </c>
    </row>
    <row r="1286" spans="1:9">
      <c r="A1286" t="s">
        <v>1701</v>
      </c>
      <c r="B1286" s="27" t="s">
        <v>3224</v>
      </c>
      <c r="C1286" s="27" t="s">
        <v>5770</v>
      </c>
      <c r="D1286">
        <f>VLOOKUP(tblTargetMedicos[[#This Row],[codigo_id]],[1]DIM_REPRESENTANTE_MEDICO!$C:$F,4,0)</f>
        <v>2</v>
      </c>
      <c r="E1286">
        <f>VLOOKUP(tblTargetMedicos[[#This Row],[codigo_id]],[1]DIM_REPRESENTANTE_MEDICO!$C:$F,3,0)</f>
        <v>6</v>
      </c>
      <c r="F1286" s="27" t="s">
        <v>5796</v>
      </c>
      <c r="G1286" s="27" t="s">
        <v>5786</v>
      </c>
      <c r="H1286" s="27" t="s">
        <v>95</v>
      </c>
      <c r="I1286">
        <v>1</v>
      </c>
    </row>
    <row r="1287" spans="1:9">
      <c r="A1287" t="s">
        <v>1702</v>
      </c>
      <c r="B1287" s="27" t="s">
        <v>3224</v>
      </c>
      <c r="C1287" s="27" t="s">
        <v>5770</v>
      </c>
      <c r="D1287">
        <f>VLOOKUP(tblTargetMedicos[[#This Row],[codigo_id]],[1]DIM_REPRESENTANTE_MEDICO!$C:$F,4,0)</f>
        <v>2</v>
      </c>
      <c r="E1287">
        <f>VLOOKUP(tblTargetMedicos[[#This Row],[codigo_id]],[1]DIM_REPRESENTANTE_MEDICO!$C:$F,3,0)</f>
        <v>6</v>
      </c>
      <c r="F1287" s="27" t="s">
        <v>5796</v>
      </c>
      <c r="G1287" s="27" t="s">
        <v>5783</v>
      </c>
      <c r="H1287" s="27" t="s">
        <v>95</v>
      </c>
      <c r="I1287">
        <v>1</v>
      </c>
    </row>
    <row r="1288" spans="1:9">
      <c r="A1288" t="s">
        <v>1703</v>
      </c>
      <c r="B1288" s="27" t="s">
        <v>3224</v>
      </c>
      <c r="C1288" s="27" t="s">
        <v>5770</v>
      </c>
      <c r="D1288">
        <f>VLOOKUP(tblTargetMedicos[[#This Row],[codigo_id]],[1]DIM_REPRESENTANTE_MEDICO!$C:$F,4,0)</f>
        <v>2</v>
      </c>
      <c r="E1288">
        <f>VLOOKUP(tblTargetMedicos[[#This Row],[codigo_id]],[1]DIM_REPRESENTANTE_MEDICO!$C:$F,3,0)</f>
        <v>6</v>
      </c>
      <c r="F1288" s="27" t="s">
        <v>5796</v>
      </c>
      <c r="G1288" s="27" t="s">
        <v>5785</v>
      </c>
      <c r="H1288" s="27" t="s">
        <v>96</v>
      </c>
      <c r="I1288">
        <v>1</v>
      </c>
    </row>
    <row r="1289" spans="1:9">
      <c r="A1289" t="s">
        <v>1704</v>
      </c>
      <c r="B1289" s="27" t="s">
        <v>3224</v>
      </c>
      <c r="C1289" s="27" t="s">
        <v>5770</v>
      </c>
      <c r="D1289">
        <f>VLOOKUP(tblTargetMedicos[[#This Row],[codigo_id]],[1]DIM_REPRESENTANTE_MEDICO!$C:$F,4,0)</f>
        <v>2</v>
      </c>
      <c r="E1289">
        <f>VLOOKUP(tblTargetMedicos[[#This Row],[codigo_id]],[1]DIM_REPRESENTANTE_MEDICO!$C:$F,3,0)</f>
        <v>6</v>
      </c>
      <c r="F1289" s="27" t="s">
        <v>5796</v>
      </c>
      <c r="G1289" s="27" t="s">
        <v>5779</v>
      </c>
      <c r="H1289" s="27" t="s">
        <v>96</v>
      </c>
      <c r="I1289">
        <v>1</v>
      </c>
    </row>
    <row r="1290" spans="1:9">
      <c r="A1290" t="s">
        <v>1705</v>
      </c>
      <c r="B1290" s="27" t="s">
        <v>3224</v>
      </c>
      <c r="C1290" s="27" t="s">
        <v>5770</v>
      </c>
      <c r="D1290">
        <f>VLOOKUP(tblTargetMedicos[[#This Row],[codigo_id]],[1]DIM_REPRESENTANTE_MEDICO!$C:$F,4,0)</f>
        <v>2</v>
      </c>
      <c r="E1290">
        <f>VLOOKUP(tblTargetMedicos[[#This Row],[codigo_id]],[1]DIM_REPRESENTANTE_MEDICO!$C:$F,3,0)</f>
        <v>6</v>
      </c>
      <c r="F1290" s="27" t="s">
        <v>5796</v>
      </c>
      <c r="G1290" s="27" t="s">
        <v>5782</v>
      </c>
      <c r="H1290" s="27" t="s">
        <v>96</v>
      </c>
      <c r="I1290">
        <v>1</v>
      </c>
    </row>
    <row r="1291" spans="1:9">
      <c r="A1291" t="s">
        <v>1706</v>
      </c>
      <c r="B1291" s="27" t="s">
        <v>3224</v>
      </c>
      <c r="C1291" s="27" t="s">
        <v>5770</v>
      </c>
      <c r="D1291">
        <f>VLOOKUP(tblTargetMedicos[[#This Row],[codigo_id]],[1]DIM_REPRESENTANTE_MEDICO!$C:$F,4,0)</f>
        <v>2</v>
      </c>
      <c r="E1291">
        <f>VLOOKUP(tblTargetMedicos[[#This Row],[codigo_id]],[1]DIM_REPRESENTANTE_MEDICO!$C:$F,3,0)</f>
        <v>6</v>
      </c>
      <c r="F1291" s="27" t="s">
        <v>5796</v>
      </c>
      <c r="G1291" s="27" t="s">
        <v>5783</v>
      </c>
      <c r="H1291" s="27" t="s">
        <v>96</v>
      </c>
      <c r="I1291">
        <v>1</v>
      </c>
    </row>
    <row r="1292" spans="1:9">
      <c r="A1292" t="s">
        <v>1707</v>
      </c>
      <c r="B1292" s="27" t="s">
        <v>3225</v>
      </c>
      <c r="C1292" s="27" t="s">
        <v>5771</v>
      </c>
      <c r="D1292">
        <f>VLOOKUP(tblTargetMedicos[[#This Row],[codigo_id]],[1]DIM_REPRESENTANTE_MEDICO!$C:$F,4,0)</f>
        <v>12</v>
      </c>
      <c r="E1292">
        <f>VLOOKUP(tblTargetMedicos[[#This Row],[codigo_id]],[1]DIM_REPRESENTANTE_MEDICO!$C:$F,3,0)</f>
        <v>1</v>
      </c>
      <c r="F1292" s="27" t="s">
        <v>5796</v>
      </c>
      <c r="G1292" s="27" t="s">
        <v>5780</v>
      </c>
      <c r="H1292" s="27" t="s">
        <v>96</v>
      </c>
      <c r="I1292">
        <v>1</v>
      </c>
    </row>
    <row r="1293" spans="1:9">
      <c r="A1293" t="s">
        <v>1708</v>
      </c>
      <c r="B1293" s="27" t="s">
        <v>3224</v>
      </c>
      <c r="C1293" s="27" t="s">
        <v>5770</v>
      </c>
      <c r="D1293">
        <f>VLOOKUP(tblTargetMedicos[[#This Row],[codigo_id]],[1]DIM_REPRESENTANTE_MEDICO!$C:$F,4,0)</f>
        <v>2</v>
      </c>
      <c r="E1293">
        <f>VLOOKUP(tblTargetMedicos[[#This Row],[codigo_id]],[1]DIM_REPRESENTANTE_MEDICO!$C:$F,3,0)</f>
        <v>6</v>
      </c>
      <c r="F1293" s="27" t="s">
        <v>5796</v>
      </c>
      <c r="G1293" s="27" t="s">
        <v>5784</v>
      </c>
      <c r="H1293" s="27" t="s">
        <v>96</v>
      </c>
      <c r="I1293">
        <v>1</v>
      </c>
    </row>
    <row r="1294" spans="1:9">
      <c r="A1294" t="s">
        <v>1709</v>
      </c>
      <c r="B1294" s="27" t="s">
        <v>3224</v>
      </c>
      <c r="C1294" s="27" t="s">
        <v>5770</v>
      </c>
      <c r="D1294">
        <f>VLOOKUP(tblTargetMedicos[[#This Row],[codigo_id]],[1]DIM_REPRESENTANTE_MEDICO!$C:$F,4,0)</f>
        <v>2</v>
      </c>
      <c r="E1294">
        <f>VLOOKUP(tblTargetMedicos[[#This Row],[codigo_id]],[1]DIM_REPRESENTANTE_MEDICO!$C:$F,3,0)</f>
        <v>6</v>
      </c>
      <c r="F1294" s="27" t="s">
        <v>5796</v>
      </c>
      <c r="G1294" s="27" t="s">
        <v>5784</v>
      </c>
      <c r="H1294" s="27" t="s">
        <v>95</v>
      </c>
      <c r="I1294">
        <v>1</v>
      </c>
    </row>
    <row r="1295" spans="1:9">
      <c r="A1295" t="s">
        <v>1710</v>
      </c>
      <c r="B1295" s="27" t="s">
        <v>3224</v>
      </c>
      <c r="C1295" s="27" t="s">
        <v>5770</v>
      </c>
      <c r="D1295">
        <f>VLOOKUP(tblTargetMedicos[[#This Row],[codigo_id]],[1]DIM_REPRESENTANTE_MEDICO!$C:$F,4,0)</f>
        <v>2</v>
      </c>
      <c r="E1295">
        <f>VLOOKUP(tblTargetMedicos[[#This Row],[codigo_id]],[1]DIM_REPRESENTANTE_MEDICO!$C:$F,3,0)</f>
        <v>6</v>
      </c>
      <c r="F1295" s="27" t="s">
        <v>5796</v>
      </c>
      <c r="G1295" s="27" t="s">
        <v>5784</v>
      </c>
      <c r="H1295" s="27" t="s">
        <v>96</v>
      </c>
      <c r="I1295">
        <v>1</v>
      </c>
    </row>
    <row r="1296" spans="1:9">
      <c r="A1296" t="s">
        <v>1711</v>
      </c>
      <c r="B1296" s="27" t="s">
        <v>3224</v>
      </c>
      <c r="C1296" s="27" t="s">
        <v>5770</v>
      </c>
      <c r="D1296">
        <f>VLOOKUP(tblTargetMedicos[[#This Row],[codigo_id]],[1]DIM_REPRESENTANTE_MEDICO!$C:$F,4,0)</f>
        <v>2</v>
      </c>
      <c r="E1296">
        <f>VLOOKUP(tblTargetMedicos[[#This Row],[codigo_id]],[1]DIM_REPRESENTANTE_MEDICO!$C:$F,3,0)</f>
        <v>6</v>
      </c>
      <c r="F1296" s="27" t="s">
        <v>5796</v>
      </c>
      <c r="G1296" s="27" t="s">
        <v>5784</v>
      </c>
      <c r="H1296" s="27" t="s">
        <v>95</v>
      </c>
      <c r="I1296">
        <v>1</v>
      </c>
    </row>
    <row r="1297" spans="1:9">
      <c r="A1297" t="s">
        <v>1712</v>
      </c>
      <c r="B1297" s="27" t="s">
        <v>3224</v>
      </c>
      <c r="C1297" s="27" t="s">
        <v>5770</v>
      </c>
      <c r="D1297">
        <f>VLOOKUP(tblTargetMedicos[[#This Row],[codigo_id]],[1]DIM_REPRESENTANTE_MEDICO!$C:$F,4,0)</f>
        <v>2</v>
      </c>
      <c r="E1297">
        <f>VLOOKUP(tblTargetMedicos[[#This Row],[codigo_id]],[1]DIM_REPRESENTANTE_MEDICO!$C:$F,3,0)</f>
        <v>6</v>
      </c>
      <c r="F1297" s="27" t="s">
        <v>5796</v>
      </c>
      <c r="G1297" s="27" t="s">
        <v>5782</v>
      </c>
      <c r="H1297" s="27" t="s">
        <v>96</v>
      </c>
      <c r="I1297">
        <v>1</v>
      </c>
    </row>
    <row r="1298" spans="1:9">
      <c r="A1298" t="s">
        <v>1713</v>
      </c>
      <c r="B1298" s="27" t="s">
        <v>3224</v>
      </c>
      <c r="C1298" s="27" t="s">
        <v>5770</v>
      </c>
      <c r="D1298">
        <f>VLOOKUP(tblTargetMedicos[[#This Row],[codigo_id]],[1]DIM_REPRESENTANTE_MEDICO!$C:$F,4,0)</f>
        <v>2</v>
      </c>
      <c r="E1298">
        <f>VLOOKUP(tblTargetMedicos[[#This Row],[codigo_id]],[1]DIM_REPRESENTANTE_MEDICO!$C:$F,3,0)</f>
        <v>6</v>
      </c>
      <c r="F1298" s="27" t="s">
        <v>5796</v>
      </c>
      <c r="G1298" s="27" t="s">
        <v>5785</v>
      </c>
      <c r="H1298" s="27" t="s">
        <v>96</v>
      </c>
      <c r="I1298">
        <v>1</v>
      </c>
    </row>
    <row r="1299" spans="1:9">
      <c r="A1299" t="s">
        <v>1714</v>
      </c>
      <c r="B1299" s="27" t="s">
        <v>3224</v>
      </c>
      <c r="C1299" s="27" t="s">
        <v>5770</v>
      </c>
      <c r="D1299">
        <f>VLOOKUP(tblTargetMedicos[[#This Row],[codigo_id]],[1]DIM_REPRESENTANTE_MEDICO!$C:$F,4,0)</f>
        <v>2</v>
      </c>
      <c r="E1299">
        <f>VLOOKUP(tblTargetMedicos[[#This Row],[codigo_id]],[1]DIM_REPRESENTANTE_MEDICO!$C:$F,3,0)</f>
        <v>6</v>
      </c>
      <c r="F1299" s="27" t="s">
        <v>5796</v>
      </c>
      <c r="G1299" s="27" t="s">
        <v>5783</v>
      </c>
      <c r="H1299" s="27" t="s">
        <v>96</v>
      </c>
      <c r="I1299">
        <v>1</v>
      </c>
    </row>
    <row r="1300" spans="1:9">
      <c r="A1300" t="s">
        <v>1715</v>
      </c>
      <c r="B1300" s="27" t="s">
        <v>3224</v>
      </c>
      <c r="C1300" s="27" t="s">
        <v>5770</v>
      </c>
      <c r="D1300">
        <f>VLOOKUP(tblTargetMedicos[[#This Row],[codigo_id]],[1]DIM_REPRESENTANTE_MEDICO!$C:$F,4,0)</f>
        <v>2</v>
      </c>
      <c r="E1300">
        <f>VLOOKUP(tblTargetMedicos[[#This Row],[codigo_id]],[1]DIM_REPRESENTANTE_MEDICO!$C:$F,3,0)</f>
        <v>6</v>
      </c>
      <c r="F1300" s="27" t="s">
        <v>5796</v>
      </c>
      <c r="G1300" s="27" t="s">
        <v>5779</v>
      </c>
      <c r="H1300" s="27" t="s">
        <v>96</v>
      </c>
      <c r="I1300">
        <v>1</v>
      </c>
    </row>
    <row r="1301" spans="1:9">
      <c r="A1301" t="s">
        <v>1716</v>
      </c>
      <c r="B1301" s="27" t="s">
        <v>3224</v>
      </c>
      <c r="C1301" s="27" t="s">
        <v>5770</v>
      </c>
      <c r="D1301">
        <f>VLOOKUP(tblTargetMedicos[[#This Row],[codigo_id]],[1]DIM_REPRESENTANTE_MEDICO!$C:$F,4,0)</f>
        <v>2</v>
      </c>
      <c r="E1301">
        <f>VLOOKUP(tblTargetMedicos[[#This Row],[codigo_id]],[1]DIM_REPRESENTANTE_MEDICO!$C:$F,3,0)</f>
        <v>6</v>
      </c>
      <c r="F1301" s="27" t="s">
        <v>5796</v>
      </c>
      <c r="G1301" s="27" t="s">
        <v>5786</v>
      </c>
      <c r="H1301" s="27" t="s">
        <v>96</v>
      </c>
      <c r="I1301">
        <v>1</v>
      </c>
    </row>
    <row r="1302" spans="1:9">
      <c r="A1302" t="s">
        <v>1717</v>
      </c>
      <c r="B1302" s="27" t="s">
        <v>3224</v>
      </c>
      <c r="C1302" s="27" t="s">
        <v>5770</v>
      </c>
      <c r="D1302">
        <f>VLOOKUP(tblTargetMedicos[[#This Row],[codigo_id]],[1]DIM_REPRESENTANTE_MEDICO!$C:$F,4,0)</f>
        <v>2</v>
      </c>
      <c r="E1302">
        <f>VLOOKUP(tblTargetMedicos[[#This Row],[codigo_id]],[1]DIM_REPRESENTANTE_MEDICO!$C:$F,3,0)</f>
        <v>6</v>
      </c>
      <c r="F1302" s="27" t="s">
        <v>5796</v>
      </c>
      <c r="G1302" s="27" t="s">
        <v>5784</v>
      </c>
      <c r="H1302" s="27" t="s">
        <v>96</v>
      </c>
      <c r="I1302">
        <v>1</v>
      </c>
    </row>
    <row r="1303" spans="1:9">
      <c r="A1303" t="s">
        <v>1718</v>
      </c>
      <c r="B1303" s="27" t="s">
        <v>3224</v>
      </c>
      <c r="C1303" s="27" t="s">
        <v>5770</v>
      </c>
      <c r="D1303">
        <f>VLOOKUP(tblTargetMedicos[[#This Row],[codigo_id]],[1]DIM_REPRESENTANTE_MEDICO!$C:$F,4,0)</f>
        <v>2</v>
      </c>
      <c r="E1303">
        <f>VLOOKUP(tblTargetMedicos[[#This Row],[codigo_id]],[1]DIM_REPRESENTANTE_MEDICO!$C:$F,3,0)</f>
        <v>6</v>
      </c>
      <c r="F1303" s="27" t="s">
        <v>5796</v>
      </c>
      <c r="G1303" s="27" t="s">
        <v>5786</v>
      </c>
      <c r="H1303" s="27" t="s">
        <v>96</v>
      </c>
      <c r="I1303">
        <v>1</v>
      </c>
    </row>
    <row r="1304" spans="1:9">
      <c r="A1304" t="s">
        <v>1719</v>
      </c>
      <c r="B1304" s="27" t="s">
        <v>3224</v>
      </c>
      <c r="C1304" s="27" t="s">
        <v>5770</v>
      </c>
      <c r="D1304">
        <f>VLOOKUP(tblTargetMedicos[[#This Row],[codigo_id]],[1]DIM_REPRESENTANTE_MEDICO!$C:$F,4,0)</f>
        <v>2</v>
      </c>
      <c r="E1304">
        <f>VLOOKUP(tblTargetMedicos[[#This Row],[codigo_id]],[1]DIM_REPRESENTANTE_MEDICO!$C:$F,3,0)</f>
        <v>6</v>
      </c>
      <c r="F1304" s="27" t="s">
        <v>5796</v>
      </c>
      <c r="G1304" s="27" t="s">
        <v>5784</v>
      </c>
      <c r="H1304" s="27" t="s">
        <v>96</v>
      </c>
      <c r="I1304">
        <v>1</v>
      </c>
    </row>
    <row r="1305" spans="1:9">
      <c r="A1305" t="s">
        <v>1720</v>
      </c>
      <c r="B1305" s="27" t="s">
        <v>3224</v>
      </c>
      <c r="C1305" s="27" t="s">
        <v>5770</v>
      </c>
      <c r="D1305">
        <f>VLOOKUP(tblTargetMedicos[[#This Row],[codigo_id]],[1]DIM_REPRESENTANTE_MEDICO!$C:$F,4,0)</f>
        <v>2</v>
      </c>
      <c r="E1305">
        <f>VLOOKUP(tblTargetMedicos[[#This Row],[codigo_id]],[1]DIM_REPRESENTANTE_MEDICO!$C:$F,3,0)</f>
        <v>6</v>
      </c>
      <c r="F1305" s="27" t="s">
        <v>5796</v>
      </c>
      <c r="G1305" s="27" t="s">
        <v>5781</v>
      </c>
      <c r="H1305" s="27" t="s">
        <v>97</v>
      </c>
      <c r="I1305">
        <v>1</v>
      </c>
    </row>
    <row r="1306" spans="1:9">
      <c r="A1306" t="s">
        <v>1721</v>
      </c>
      <c r="B1306" s="27" t="s">
        <v>3224</v>
      </c>
      <c r="C1306" s="27" t="s">
        <v>5770</v>
      </c>
      <c r="D1306">
        <f>VLOOKUP(tblTargetMedicos[[#This Row],[codigo_id]],[1]DIM_REPRESENTANTE_MEDICO!$C:$F,4,0)</f>
        <v>2</v>
      </c>
      <c r="E1306">
        <f>VLOOKUP(tblTargetMedicos[[#This Row],[codigo_id]],[1]DIM_REPRESENTANTE_MEDICO!$C:$F,3,0)</f>
        <v>6</v>
      </c>
      <c r="F1306" s="27" t="s">
        <v>5796</v>
      </c>
      <c r="G1306" s="27" t="s">
        <v>5779</v>
      </c>
      <c r="H1306" s="27" t="s">
        <v>96</v>
      </c>
      <c r="I1306">
        <v>1</v>
      </c>
    </row>
    <row r="1307" spans="1:9">
      <c r="A1307" t="s">
        <v>1722</v>
      </c>
      <c r="B1307" s="27" t="s">
        <v>3224</v>
      </c>
      <c r="C1307" s="27" t="s">
        <v>5770</v>
      </c>
      <c r="D1307">
        <f>VLOOKUP(tblTargetMedicos[[#This Row],[codigo_id]],[1]DIM_REPRESENTANTE_MEDICO!$C:$F,4,0)</f>
        <v>2</v>
      </c>
      <c r="E1307">
        <f>VLOOKUP(tblTargetMedicos[[#This Row],[codigo_id]],[1]DIM_REPRESENTANTE_MEDICO!$C:$F,3,0)</f>
        <v>6</v>
      </c>
      <c r="F1307" s="27" t="s">
        <v>5796</v>
      </c>
      <c r="G1307" s="27" t="s">
        <v>5784</v>
      </c>
      <c r="H1307" s="27" t="s">
        <v>96</v>
      </c>
      <c r="I1307">
        <v>1</v>
      </c>
    </row>
    <row r="1308" spans="1:9">
      <c r="A1308" t="s">
        <v>1723</v>
      </c>
      <c r="B1308" s="27" t="s">
        <v>3224</v>
      </c>
      <c r="C1308" s="27" t="s">
        <v>5770</v>
      </c>
      <c r="D1308">
        <f>VLOOKUP(tblTargetMedicos[[#This Row],[codigo_id]],[1]DIM_REPRESENTANTE_MEDICO!$C:$F,4,0)</f>
        <v>2</v>
      </c>
      <c r="E1308">
        <f>VLOOKUP(tblTargetMedicos[[#This Row],[codigo_id]],[1]DIM_REPRESENTANTE_MEDICO!$C:$F,3,0)</f>
        <v>6</v>
      </c>
      <c r="F1308" s="27" t="s">
        <v>5796</v>
      </c>
      <c r="G1308" s="27" t="s">
        <v>5783</v>
      </c>
      <c r="H1308" s="27" t="s">
        <v>96</v>
      </c>
      <c r="I1308">
        <v>1</v>
      </c>
    </row>
    <row r="1309" spans="1:9">
      <c r="A1309" t="s">
        <v>1724</v>
      </c>
      <c r="B1309" s="27" t="s">
        <v>3224</v>
      </c>
      <c r="C1309" s="27" t="s">
        <v>5770</v>
      </c>
      <c r="D1309">
        <f>VLOOKUP(tblTargetMedicos[[#This Row],[codigo_id]],[1]DIM_REPRESENTANTE_MEDICO!$C:$F,4,0)</f>
        <v>2</v>
      </c>
      <c r="E1309">
        <f>VLOOKUP(tblTargetMedicos[[#This Row],[codigo_id]],[1]DIM_REPRESENTANTE_MEDICO!$C:$F,3,0)</f>
        <v>6</v>
      </c>
      <c r="F1309" s="27" t="s">
        <v>5796</v>
      </c>
      <c r="G1309" s="27" t="s">
        <v>5784</v>
      </c>
      <c r="H1309" s="27" t="s">
        <v>96</v>
      </c>
      <c r="I1309">
        <v>1</v>
      </c>
    </row>
    <row r="1310" spans="1:9">
      <c r="A1310" t="s">
        <v>1725</v>
      </c>
      <c r="B1310" s="27" t="s">
        <v>3224</v>
      </c>
      <c r="C1310" s="27" t="s">
        <v>5770</v>
      </c>
      <c r="D1310">
        <f>VLOOKUP(tblTargetMedicos[[#This Row],[codigo_id]],[1]DIM_REPRESENTANTE_MEDICO!$C:$F,4,0)</f>
        <v>2</v>
      </c>
      <c r="E1310">
        <f>VLOOKUP(tblTargetMedicos[[#This Row],[codigo_id]],[1]DIM_REPRESENTANTE_MEDICO!$C:$F,3,0)</f>
        <v>6</v>
      </c>
      <c r="F1310" s="27" t="s">
        <v>5796</v>
      </c>
      <c r="G1310" s="27" t="s">
        <v>5784</v>
      </c>
      <c r="H1310" s="27" t="s">
        <v>96</v>
      </c>
      <c r="I1310">
        <v>1</v>
      </c>
    </row>
    <row r="1311" spans="1:9">
      <c r="A1311" t="s">
        <v>1726</v>
      </c>
      <c r="B1311" s="27" t="s">
        <v>3225</v>
      </c>
      <c r="C1311" s="27" t="s">
        <v>5771</v>
      </c>
      <c r="D1311">
        <f>VLOOKUP(tblTargetMedicos[[#This Row],[codigo_id]],[1]DIM_REPRESENTANTE_MEDICO!$C:$F,4,0)</f>
        <v>12</v>
      </c>
      <c r="E1311">
        <f>VLOOKUP(tblTargetMedicos[[#This Row],[codigo_id]],[1]DIM_REPRESENTANTE_MEDICO!$C:$F,3,0)</f>
        <v>1</v>
      </c>
      <c r="F1311" s="27" t="s">
        <v>5796</v>
      </c>
      <c r="G1311" s="27" t="s">
        <v>5781</v>
      </c>
      <c r="H1311" s="27" t="s">
        <v>96</v>
      </c>
      <c r="I1311">
        <v>1</v>
      </c>
    </row>
    <row r="1312" spans="1:9">
      <c r="A1312" t="s">
        <v>1727</v>
      </c>
      <c r="B1312" s="27" t="s">
        <v>3224</v>
      </c>
      <c r="C1312" s="27" t="s">
        <v>5770</v>
      </c>
      <c r="D1312">
        <f>VLOOKUP(tblTargetMedicos[[#This Row],[codigo_id]],[1]DIM_REPRESENTANTE_MEDICO!$C:$F,4,0)</f>
        <v>2</v>
      </c>
      <c r="E1312">
        <f>VLOOKUP(tblTargetMedicos[[#This Row],[codigo_id]],[1]DIM_REPRESENTANTE_MEDICO!$C:$F,3,0)</f>
        <v>6</v>
      </c>
      <c r="F1312" s="27" t="s">
        <v>5796</v>
      </c>
      <c r="G1312" s="27" t="s">
        <v>5788</v>
      </c>
      <c r="H1312" s="27" t="s">
        <v>95</v>
      </c>
      <c r="I1312">
        <v>1</v>
      </c>
    </row>
    <row r="1313" spans="1:9">
      <c r="A1313" t="s">
        <v>1728</v>
      </c>
      <c r="B1313" s="27" t="s">
        <v>3224</v>
      </c>
      <c r="C1313" s="27" t="s">
        <v>5770</v>
      </c>
      <c r="D1313">
        <f>VLOOKUP(tblTargetMedicos[[#This Row],[codigo_id]],[1]DIM_REPRESENTANTE_MEDICO!$C:$F,4,0)</f>
        <v>2</v>
      </c>
      <c r="E1313">
        <f>VLOOKUP(tblTargetMedicos[[#This Row],[codigo_id]],[1]DIM_REPRESENTANTE_MEDICO!$C:$F,3,0)</f>
        <v>6</v>
      </c>
      <c r="F1313" s="27" t="s">
        <v>5796</v>
      </c>
      <c r="G1313" s="27" t="s">
        <v>5783</v>
      </c>
      <c r="H1313" s="27" t="s">
        <v>96</v>
      </c>
      <c r="I1313">
        <v>1</v>
      </c>
    </row>
    <row r="1314" spans="1:9">
      <c r="A1314" t="s">
        <v>1729</v>
      </c>
      <c r="B1314" s="27" t="s">
        <v>3224</v>
      </c>
      <c r="C1314" s="27" t="s">
        <v>5770</v>
      </c>
      <c r="D1314">
        <f>VLOOKUP(tblTargetMedicos[[#This Row],[codigo_id]],[1]DIM_REPRESENTANTE_MEDICO!$C:$F,4,0)</f>
        <v>2</v>
      </c>
      <c r="E1314">
        <f>VLOOKUP(tblTargetMedicos[[#This Row],[codigo_id]],[1]DIM_REPRESENTANTE_MEDICO!$C:$F,3,0)</f>
        <v>6</v>
      </c>
      <c r="F1314" s="27" t="s">
        <v>5796</v>
      </c>
      <c r="G1314" s="27" t="s">
        <v>5784</v>
      </c>
      <c r="H1314" s="27" t="s">
        <v>96</v>
      </c>
      <c r="I1314">
        <v>1</v>
      </c>
    </row>
    <row r="1315" spans="1:9">
      <c r="A1315" t="s">
        <v>1730</v>
      </c>
      <c r="B1315" s="27" t="s">
        <v>3224</v>
      </c>
      <c r="C1315" s="27" t="s">
        <v>5770</v>
      </c>
      <c r="D1315">
        <f>VLOOKUP(tblTargetMedicos[[#This Row],[codigo_id]],[1]DIM_REPRESENTANTE_MEDICO!$C:$F,4,0)</f>
        <v>2</v>
      </c>
      <c r="E1315">
        <f>VLOOKUP(tblTargetMedicos[[#This Row],[codigo_id]],[1]DIM_REPRESENTANTE_MEDICO!$C:$F,3,0)</f>
        <v>6</v>
      </c>
      <c r="F1315" s="27" t="s">
        <v>5796</v>
      </c>
      <c r="G1315" s="27" t="s">
        <v>5784</v>
      </c>
      <c r="H1315" s="27" t="s">
        <v>96</v>
      </c>
      <c r="I1315">
        <v>1</v>
      </c>
    </row>
    <row r="1316" spans="1:9">
      <c r="A1316" t="s">
        <v>1731</v>
      </c>
      <c r="B1316" s="27" t="s">
        <v>3224</v>
      </c>
      <c r="C1316" s="27" t="s">
        <v>5770</v>
      </c>
      <c r="D1316">
        <f>VLOOKUP(tblTargetMedicos[[#This Row],[codigo_id]],[1]DIM_REPRESENTANTE_MEDICO!$C:$F,4,0)</f>
        <v>2</v>
      </c>
      <c r="E1316">
        <f>VLOOKUP(tblTargetMedicos[[#This Row],[codigo_id]],[1]DIM_REPRESENTANTE_MEDICO!$C:$F,3,0)</f>
        <v>6</v>
      </c>
      <c r="F1316" s="27" t="s">
        <v>5796</v>
      </c>
      <c r="G1316" s="27" t="s">
        <v>5785</v>
      </c>
      <c r="H1316" s="27" t="s">
        <v>95</v>
      </c>
      <c r="I1316">
        <v>1</v>
      </c>
    </row>
    <row r="1317" spans="1:9">
      <c r="A1317" t="s">
        <v>1732</v>
      </c>
      <c r="B1317" s="27" t="s">
        <v>3224</v>
      </c>
      <c r="C1317" s="27" t="s">
        <v>5770</v>
      </c>
      <c r="D1317">
        <f>VLOOKUP(tblTargetMedicos[[#This Row],[codigo_id]],[1]DIM_REPRESENTANTE_MEDICO!$C:$F,4,0)</f>
        <v>2</v>
      </c>
      <c r="E1317">
        <f>VLOOKUP(tblTargetMedicos[[#This Row],[codigo_id]],[1]DIM_REPRESENTANTE_MEDICO!$C:$F,3,0)</f>
        <v>6</v>
      </c>
      <c r="F1317" s="27" t="s">
        <v>5796</v>
      </c>
      <c r="G1317" s="27" t="s">
        <v>5783</v>
      </c>
      <c r="H1317" s="27" t="s">
        <v>96</v>
      </c>
      <c r="I1317">
        <v>1</v>
      </c>
    </row>
    <row r="1318" spans="1:9">
      <c r="A1318" t="s">
        <v>1733</v>
      </c>
      <c r="B1318" s="27" t="s">
        <v>3224</v>
      </c>
      <c r="C1318" s="27" t="s">
        <v>5770</v>
      </c>
      <c r="D1318">
        <f>VLOOKUP(tblTargetMedicos[[#This Row],[codigo_id]],[1]DIM_REPRESENTANTE_MEDICO!$C:$F,4,0)</f>
        <v>2</v>
      </c>
      <c r="E1318">
        <f>VLOOKUP(tblTargetMedicos[[#This Row],[codigo_id]],[1]DIM_REPRESENTANTE_MEDICO!$C:$F,3,0)</f>
        <v>6</v>
      </c>
      <c r="F1318" s="27" t="s">
        <v>5796</v>
      </c>
      <c r="G1318" s="27" t="s">
        <v>5786</v>
      </c>
      <c r="H1318" s="27" t="s">
        <v>96</v>
      </c>
      <c r="I1318">
        <v>1</v>
      </c>
    </row>
    <row r="1319" spans="1:9">
      <c r="A1319" t="s">
        <v>1734</v>
      </c>
      <c r="B1319" s="27" t="s">
        <v>3224</v>
      </c>
      <c r="C1319" s="27" t="s">
        <v>5770</v>
      </c>
      <c r="D1319">
        <f>VLOOKUP(tblTargetMedicos[[#This Row],[codigo_id]],[1]DIM_REPRESENTANTE_MEDICO!$C:$F,4,0)</f>
        <v>2</v>
      </c>
      <c r="E1319">
        <f>VLOOKUP(tblTargetMedicos[[#This Row],[codigo_id]],[1]DIM_REPRESENTANTE_MEDICO!$C:$F,3,0)</f>
        <v>6</v>
      </c>
      <c r="F1319" s="27" t="s">
        <v>5796</v>
      </c>
      <c r="G1319" s="27" t="s">
        <v>5787</v>
      </c>
      <c r="H1319" s="27" t="s">
        <v>95</v>
      </c>
      <c r="I1319">
        <v>1</v>
      </c>
    </row>
    <row r="1320" spans="1:9">
      <c r="A1320" t="s">
        <v>1735</v>
      </c>
      <c r="B1320" s="27" t="s">
        <v>3224</v>
      </c>
      <c r="C1320" s="27" t="s">
        <v>5770</v>
      </c>
      <c r="D1320">
        <f>VLOOKUP(tblTargetMedicos[[#This Row],[codigo_id]],[1]DIM_REPRESENTANTE_MEDICO!$C:$F,4,0)</f>
        <v>2</v>
      </c>
      <c r="E1320">
        <f>VLOOKUP(tblTargetMedicos[[#This Row],[codigo_id]],[1]DIM_REPRESENTANTE_MEDICO!$C:$F,3,0)</f>
        <v>6</v>
      </c>
      <c r="F1320" s="27" t="s">
        <v>5796</v>
      </c>
      <c r="G1320" s="27" t="s">
        <v>5783</v>
      </c>
      <c r="H1320" s="27" t="s">
        <v>96</v>
      </c>
      <c r="I1320">
        <v>1</v>
      </c>
    </row>
    <row r="1321" spans="1:9">
      <c r="A1321" t="s">
        <v>1736</v>
      </c>
      <c r="B1321" s="27" t="s">
        <v>3224</v>
      </c>
      <c r="C1321" s="27" t="s">
        <v>5770</v>
      </c>
      <c r="D1321">
        <f>VLOOKUP(tblTargetMedicos[[#This Row],[codigo_id]],[1]DIM_REPRESENTANTE_MEDICO!$C:$F,4,0)</f>
        <v>2</v>
      </c>
      <c r="E1321">
        <f>VLOOKUP(tblTargetMedicos[[#This Row],[codigo_id]],[1]DIM_REPRESENTANTE_MEDICO!$C:$F,3,0)</f>
        <v>6</v>
      </c>
      <c r="F1321" s="27" t="s">
        <v>5796</v>
      </c>
      <c r="G1321" s="27" t="s">
        <v>5783</v>
      </c>
      <c r="H1321" s="27" t="s">
        <v>96</v>
      </c>
      <c r="I1321">
        <v>1</v>
      </c>
    </row>
    <row r="1322" spans="1:9">
      <c r="A1322" t="s">
        <v>1737</v>
      </c>
      <c r="B1322" s="27" t="s">
        <v>3224</v>
      </c>
      <c r="C1322" s="27" t="s">
        <v>5770</v>
      </c>
      <c r="D1322">
        <f>VLOOKUP(tblTargetMedicos[[#This Row],[codigo_id]],[1]DIM_REPRESENTANTE_MEDICO!$C:$F,4,0)</f>
        <v>2</v>
      </c>
      <c r="E1322">
        <f>VLOOKUP(tblTargetMedicos[[#This Row],[codigo_id]],[1]DIM_REPRESENTANTE_MEDICO!$C:$F,3,0)</f>
        <v>6</v>
      </c>
      <c r="F1322" s="27" t="s">
        <v>5796</v>
      </c>
      <c r="G1322" s="27" t="s">
        <v>5785</v>
      </c>
      <c r="H1322" s="27" t="s">
        <v>96</v>
      </c>
      <c r="I1322">
        <v>1</v>
      </c>
    </row>
    <row r="1323" spans="1:9">
      <c r="A1323" t="s">
        <v>1738</v>
      </c>
      <c r="B1323" s="27" t="s">
        <v>3224</v>
      </c>
      <c r="C1323" s="27" t="s">
        <v>5770</v>
      </c>
      <c r="D1323">
        <f>VLOOKUP(tblTargetMedicos[[#This Row],[codigo_id]],[1]DIM_REPRESENTANTE_MEDICO!$C:$F,4,0)</f>
        <v>2</v>
      </c>
      <c r="E1323">
        <f>VLOOKUP(tblTargetMedicos[[#This Row],[codigo_id]],[1]DIM_REPRESENTANTE_MEDICO!$C:$F,3,0)</f>
        <v>6</v>
      </c>
      <c r="F1323" s="27" t="s">
        <v>5796</v>
      </c>
      <c r="G1323" s="27" t="s">
        <v>5780</v>
      </c>
      <c r="H1323" s="27" t="s">
        <v>96</v>
      </c>
      <c r="I1323">
        <v>1</v>
      </c>
    </row>
    <row r="1324" spans="1:9">
      <c r="A1324" t="s">
        <v>1739</v>
      </c>
      <c r="B1324" s="27" t="s">
        <v>3224</v>
      </c>
      <c r="C1324" s="27" t="s">
        <v>5770</v>
      </c>
      <c r="D1324">
        <f>VLOOKUP(tblTargetMedicos[[#This Row],[codigo_id]],[1]DIM_REPRESENTANTE_MEDICO!$C:$F,4,0)</f>
        <v>2</v>
      </c>
      <c r="E1324">
        <f>VLOOKUP(tblTargetMedicos[[#This Row],[codigo_id]],[1]DIM_REPRESENTANTE_MEDICO!$C:$F,3,0)</f>
        <v>6</v>
      </c>
      <c r="F1324" s="27" t="s">
        <v>5796</v>
      </c>
      <c r="G1324" s="27" t="s">
        <v>5779</v>
      </c>
      <c r="H1324" s="27" t="s">
        <v>96</v>
      </c>
      <c r="I1324">
        <v>1</v>
      </c>
    </row>
    <row r="1325" spans="1:9">
      <c r="A1325" t="s">
        <v>1740</v>
      </c>
      <c r="B1325" s="27" t="s">
        <v>3224</v>
      </c>
      <c r="C1325" s="27" t="s">
        <v>5770</v>
      </c>
      <c r="D1325">
        <f>VLOOKUP(tblTargetMedicos[[#This Row],[codigo_id]],[1]DIM_REPRESENTANTE_MEDICO!$C:$F,4,0)</f>
        <v>2</v>
      </c>
      <c r="E1325">
        <f>VLOOKUP(tblTargetMedicos[[#This Row],[codigo_id]],[1]DIM_REPRESENTANTE_MEDICO!$C:$F,3,0)</f>
        <v>6</v>
      </c>
      <c r="F1325" s="27" t="s">
        <v>5796</v>
      </c>
      <c r="G1325" s="27" t="s">
        <v>5787</v>
      </c>
      <c r="H1325" s="27" t="s">
        <v>95</v>
      </c>
      <c r="I1325">
        <v>1</v>
      </c>
    </row>
    <row r="1326" spans="1:9">
      <c r="A1326" t="s">
        <v>1741</v>
      </c>
      <c r="B1326" s="27" t="s">
        <v>3224</v>
      </c>
      <c r="C1326" s="27" t="s">
        <v>5770</v>
      </c>
      <c r="D1326">
        <f>VLOOKUP(tblTargetMedicos[[#This Row],[codigo_id]],[1]DIM_REPRESENTANTE_MEDICO!$C:$F,4,0)</f>
        <v>2</v>
      </c>
      <c r="E1326">
        <f>VLOOKUP(tblTargetMedicos[[#This Row],[codigo_id]],[1]DIM_REPRESENTANTE_MEDICO!$C:$F,3,0)</f>
        <v>6</v>
      </c>
      <c r="F1326" s="27" t="s">
        <v>5796</v>
      </c>
      <c r="G1326" s="27" t="s">
        <v>5783</v>
      </c>
      <c r="H1326" s="27" t="s">
        <v>97</v>
      </c>
      <c r="I1326">
        <v>1</v>
      </c>
    </row>
    <row r="1327" spans="1:9">
      <c r="A1327" t="s">
        <v>1742</v>
      </c>
      <c r="B1327" s="27" t="s">
        <v>3224</v>
      </c>
      <c r="C1327" s="27" t="s">
        <v>5770</v>
      </c>
      <c r="D1327">
        <f>VLOOKUP(tblTargetMedicos[[#This Row],[codigo_id]],[1]DIM_REPRESENTANTE_MEDICO!$C:$F,4,0)</f>
        <v>2</v>
      </c>
      <c r="E1327">
        <f>VLOOKUP(tblTargetMedicos[[#This Row],[codigo_id]],[1]DIM_REPRESENTANTE_MEDICO!$C:$F,3,0)</f>
        <v>6</v>
      </c>
      <c r="F1327" s="27" t="s">
        <v>5796</v>
      </c>
      <c r="G1327" s="27" t="s">
        <v>5785</v>
      </c>
      <c r="H1327" s="27" t="s">
        <v>96</v>
      </c>
      <c r="I1327">
        <v>1</v>
      </c>
    </row>
    <row r="1328" spans="1:9">
      <c r="A1328" t="s">
        <v>1743</v>
      </c>
      <c r="B1328" s="27" t="s">
        <v>3224</v>
      </c>
      <c r="C1328" s="27" t="s">
        <v>5770</v>
      </c>
      <c r="D1328">
        <f>VLOOKUP(tblTargetMedicos[[#This Row],[codigo_id]],[1]DIM_REPRESENTANTE_MEDICO!$C:$F,4,0)</f>
        <v>2</v>
      </c>
      <c r="E1328">
        <f>VLOOKUP(tblTargetMedicos[[#This Row],[codigo_id]],[1]DIM_REPRESENTANTE_MEDICO!$C:$F,3,0)</f>
        <v>6</v>
      </c>
      <c r="F1328" s="27" t="s">
        <v>5796</v>
      </c>
      <c r="G1328" s="27" t="s">
        <v>5786</v>
      </c>
      <c r="H1328" s="27" t="s">
        <v>97</v>
      </c>
      <c r="I1328">
        <v>1</v>
      </c>
    </row>
    <row r="1329" spans="1:9">
      <c r="A1329" t="s">
        <v>1744</v>
      </c>
      <c r="B1329" s="27" t="s">
        <v>3224</v>
      </c>
      <c r="C1329" s="27" t="s">
        <v>5770</v>
      </c>
      <c r="D1329">
        <f>VLOOKUP(tblTargetMedicos[[#This Row],[codigo_id]],[1]DIM_REPRESENTANTE_MEDICO!$C:$F,4,0)</f>
        <v>2</v>
      </c>
      <c r="E1329">
        <f>VLOOKUP(tblTargetMedicos[[#This Row],[codigo_id]],[1]DIM_REPRESENTANTE_MEDICO!$C:$F,3,0)</f>
        <v>6</v>
      </c>
      <c r="F1329" s="27" t="s">
        <v>5796</v>
      </c>
      <c r="G1329" s="27" t="s">
        <v>5784</v>
      </c>
      <c r="H1329" s="27" t="s">
        <v>97</v>
      </c>
      <c r="I1329">
        <v>1</v>
      </c>
    </row>
    <row r="1330" spans="1:9">
      <c r="A1330" t="s">
        <v>1745</v>
      </c>
      <c r="B1330" s="27" t="s">
        <v>3224</v>
      </c>
      <c r="C1330" s="27" t="s">
        <v>5770</v>
      </c>
      <c r="D1330">
        <f>VLOOKUP(tblTargetMedicos[[#This Row],[codigo_id]],[1]DIM_REPRESENTANTE_MEDICO!$C:$F,4,0)</f>
        <v>2</v>
      </c>
      <c r="E1330">
        <f>VLOOKUP(tblTargetMedicos[[#This Row],[codigo_id]],[1]DIM_REPRESENTANTE_MEDICO!$C:$F,3,0)</f>
        <v>6</v>
      </c>
      <c r="F1330" s="27" t="s">
        <v>5796</v>
      </c>
      <c r="G1330" s="27" t="s">
        <v>5783</v>
      </c>
      <c r="H1330" s="27" t="s">
        <v>96</v>
      </c>
      <c r="I1330">
        <v>1</v>
      </c>
    </row>
    <row r="1331" spans="1:9">
      <c r="A1331" t="s">
        <v>1746</v>
      </c>
      <c r="B1331" s="27" t="s">
        <v>3224</v>
      </c>
      <c r="C1331" s="27" t="s">
        <v>5770</v>
      </c>
      <c r="D1331">
        <f>VLOOKUP(tblTargetMedicos[[#This Row],[codigo_id]],[1]DIM_REPRESENTANTE_MEDICO!$C:$F,4,0)</f>
        <v>2</v>
      </c>
      <c r="E1331">
        <f>VLOOKUP(tblTargetMedicos[[#This Row],[codigo_id]],[1]DIM_REPRESENTANTE_MEDICO!$C:$F,3,0)</f>
        <v>6</v>
      </c>
      <c r="F1331" s="27" t="s">
        <v>5796</v>
      </c>
      <c r="G1331" s="27" t="s">
        <v>5784</v>
      </c>
      <c r="H1331" s="27" t="s">
        <v>96</v>
      </c>
      <c r="I1331">
        <v>1</v>
      </c>
    </row>
    <row r="1332" spans="1:9">
      <c r="A1332" t="s">
        <v>1747</v>
      </c>
      <c r="B1332" s="27" t="s">
        <v>3224</v>
      </c>
      <c r="C1332" s="27" t="s">
        <v>5770</v>
      </c>
      <c r="D1332">
        <f>VLOOKUP(tblTargetMedicos[[#This Row],[codigo_id]],[1]DIM_REPRESENTANTE_MEDICO!$C:$F,4,0)</f>
        <v>2</v>
      </c>
      <c r="E1332">
        <f>VLOOKUP(tblTargetMedicos[[#This Row],[codigo_id]],[1]DIM_REPRESENTANTE_MEDICO!$C:$F,3,0)</f>
        <v>6</v>
      </c>
      <c r="F1332" s="27" t="s">
        <v>5796</v>
      </c>
      <c r="G1332" s="27" t="s">
        <v>5783</v>
      </c>
      <c r="H1332" s="27" t="s">
        <v>96</v>
      </c>
      <c r="I1332">
        <v>1</v>
      </c>
    </row>
    <row r="1333" spans="1:9">
      <c r="A1333" t="s">
        <v>1748</v>
      </c>
      <c r="B1333" s="27" t="s">
        <v>3225</v>
      </c>
      <c r="C1333" s="27" t="s">
        <v>5771</v>
      </c>
      <c r="D1333">
        <f>VLOOKUP(tblTargetMedicos[[#This Row],[codigo_id]],[1]DIM_REPRESENTANTE_MEDICO!$C:$F,4,0)</f>
        <v>12</v>
      </c>
      <c r="E1333">
        <f>VLOOKUP(tblTargetMedicos[[#This Row],[codigo_id]],[1]DIM_REPRESENTANTE_MEDICO!$C:$F,3,0)</f>
        <v>1</v>
      </c>
      <c r="F1333" s="27" t="s">
        <v>5796</v>
      </c>
      <c r="G1333" s="27" t="s">
        <v>5781</v>
      </c>
      <c r="H1333" s="27" t="s">
        <v>96</v>
      </c>
      <c r="I1333">
        <v>1</v>
      </c>
    </row>
    <row r="1334" spans="1:9">
      <c r="A1334" t="s">
        <v>1749</v>
      </c>
      <c r="B1334" s="27" t="s">
        <v>3224</v>
      </c>
      <c r="C1334" s="27" t="s">
        <v>5770</v>
      </c>
      <c r="D1334">
        <f>VLOOKUP(tblTargetMedicos[[#This Row],[codigo_id]],[1]DIM_REPRESENTANTE_MEDICO!$C:$F,4,0)</f>
        <v>2</v>
      </c>
      <c r="E1334">
        <f>VLOOKUP(tblTargetMedicos[[#This Row],[codigo_id]],[1]DIM_REPRESENTANTE_MEDICO!$C:$F,3,0)</f>
        <v>6</v>
      </c>
      <c r="F1334" s="27" t="s">
        <v>5796</v>
      </c>
      <c r="G1334" s="27" t="s">
        <v>5785</v>
      </c>
      <c r="H1334" s="27" t="s">
        <v>95</v>
      </c>
      <c r="I1334">
        <v>1</v>
      </c>
    </row>
    <row r="1335" spans="1:9">
      <c r="A1335" t="s">
        <v>1750</v>
      </c>
      <c r="B1335" s="27" t="s">
        <v>3224</v>
      </c>
      <c r="C1335" s="27" t="s">
        <v>5770</v>
      </c>
      <c r="D1335">
        <f>VLOOKUP(tblTargetMedicos[[#This Row],[codigo_id]],[1]DIM_REPRESENTANTE_MEDICO!$C:$F,4,0)</f>
        <v>2</v>
      </c>
      <c r="E1335">
        <f>VLOOKUP(tblTargetMedicos[[#This Row],[codigo_id]],[1]DIM_REPRESENTANTE_MEDICO!$C:$F,3,0)</f>
        <v>6</v>
      </c>
      <c r="F1335" s="27" t="s">
        <v>5796</v>
      </c>
      <c r="G1335" s="27" t="s">
        <v>5781</v>
      </c>
      <c r="H1335" s="27" t="s">
        <v>97</v>
      </c>
      <c r="I1335">
        <v>1</v>
      </c>
    </row>
    <row r="1336" spans="1:9">
      <c r="A1336" t="s">
        <v>1751</v>
      </c>
      <c r="B1336" s="27" t="s">
        <v>3224</v>
      </c>
      <c r="C1336" s="27" t="s">
        <v>5770</v>
      </c>
      <c r="D1336">
        <f>VLOOKUP(tblTargetMedicos[[#This Row],[codigo_id]],[1]DIM_REPRESENTANTE_MEDICO!$C:$F,4,0)</f>
        <v>2</v>
      </c>
      <c r="E1336">
        <f>VLOOKUP(tblTargetMedicos[[#This Row],[codigo_id]],[1]DIM_REPRESENTANTE_MEDICO!$C:$F,3,0)</f>
        <v>6</v>
      </c>
      <c r="F1336" s="27" t="s">
        <v>5796</v>
      </c>
      <c r="G1336" s="27" t="s">
        <v>5783</v>
      </c>
      <c r="H1336" s="27" t="s">
        <v>96</v>
      </c>
      <c r="I1336">
        <v>1</v>
      </c>
    </row>
    <row r="1337" spans="1:9">
      <c r="A1337" t="s">
        <v>1752</v>
      </c>
      <c r="B1337" s="27" t="s">
        <v>3224</v>
      </c>
      <c r="C1337" s="27" t="s">
        <v>5770</v>
      </c>
      <c r="D1337">
        <f>VLOOKUP(tblTargetMedicos[[#This Row],[codigo_id]],[1]DIM_REPRESENTANTE_MEDICO!$C:$F,4,0)</f>
        <v>2</v>
      </c>
      <c r="E1337">
        <f>VLOOKUP(tblTargetMedicos[[#This Row],[codigo_id]],[1]DIM_REPRESENTANTE_MEDICO!$C:$F,3,0)</f>
        <v>6</v>
      </c>
      <c r="F1337" s="27" t="s">
        <v>5796</v>
      </c>
      <c r="G1337" s="27" t="s">
        <v>5779</v>
      </c>
      <c r="H1337" s="27" t="s">
        <v>95</v>
      </c>
      <c r="I1337">
        <v>1</v>
      </c>
    </row>
    <row r="1338" spans="1:9">
      <c r="A1338" t="s">
        <v>1753</v>
      </c>
      <c r="B1338" s="27" t="s">
        <v>3224</v>
      </c>
      <c r="C1338" s="27" t="s">
        <v>5770</v>
      </c>
      <c r="D1338">
        <f>VLOOKUP(tblTargetMedicos[[#This Row],[codigo_id]],[1]DIM_REPRESENTANTE_MEDICO!$C:$F,4,0)</f>
        <v>2</v>
      </c>
      <c r="E1338">
        <f>VLOOKUP(tblTargetMedicos[[#This Row],[codigo_id]],[1]DIM_REPRESENTANTE_MEDICO!$C:$F,3,0)</f>
        <v>6</v>
      </c>
      <c r="F1338" s="27" t="s">
        <v>5796</v>
      </c>
      <c r="G1338" s="27" t="s">
        <v>5784</v>
      </c>
      <c r="H1338" s="27" t="s">
        <v>96</v>
      </c>
      <c r="I1338">
        <v>1</v>
      </c>
    </row>
    <row r="1339" spans="1:9">
      <c r="A1339" t="s">
        <v>1754</v>
      </c>
      <c r="B1339" s="27" t="s">
        <v>3224</v>
      </c>
      <c r="C1339" s="27" t="s">
        <v>5770</v>
      </c>
      <c r="D1339">
        <f>VLOOKUP(tblTargetMedicos[[#This Row],[codigo_id]],[1]DIM_REPRESENTANTE_MEDICO!$C:$F,4,0)</f>
        <v>2</v>
      </c>
      <c r="E1339">
        <f>VLOOKUP(tblTargetMedicos[[#This Row],[codigo_id]],[1]DIM_REPRESENTANTE_MEDICO!$C:$F,3,0)</f>
        <v>6</v>
      </c>
      <c r="F1339" s="27" t="s">
        <v>5796</v>
      </c>
      <c r="G1339" s="27" t="s">
        <v>5783</v>
      </c>
      <c r="H1339" s="27" t="s">
        <v>95</v>
      </c>
      <c r="I1339">
        <v>1</v>
      </c>
    </row>
    <row r="1340" spans="1:9">
      <c r="A1340" t="s">
        <v>1755</v>
      </c>
      <c r="B1340" s="27" t="s">
        <v>3224</v>
      </c>
      <c r="C1340" s="27" t="s">
        <v>5770</v>
      </c>
      <c r="D1340">
        <f>VLOOKUP(tblTargetMedicos[[#This Row],[codigo_id]],[1]DIM_REPRESENTANTE_MEDICO!$C:$F,4,0)</f>
        <v>2</v>
      </c>
      <c r="E1340">
        <f>VLOOKUP(tblTargetMedicos[[#This Row],[codigo_id]],[1]DIM_REPRESENTANTE_MEDICO!$C:$F,3,0)</f>
        <v>6</v>
      </c>
      <c r="F1340" s="27" t="s">
        <v>5796</v>
      </c>
      <c r="G1340" s="27" t="s">
        <v>5779</v>
      </c>
      <c r="H1340" s="27" t="s">
        <v>96</v>
      </c>
      <c r="I1340">
        <v>1</v>
      </c>
    </row>
    <row r="1341" spans="1:9">
      <c r="A1341" t="s">
        <v>1756</v>
      </c>
      <c r="B1341" s="27" t="s">
        <v>3224</v>
      </c>
      <c r="C1341" s="27" t="s">
        <v>5770</v>
      </c>
      <c r="D1341">
        <f>VLOOKUP(tblTargetMedicos[[#This Row],[codigo_id]],[1]DIM_REPRESENTANTE_MEDICO!$C:$F,4,0)</f>
        <v>2</v>
      </c>
      <c r="E1341">
        <f>VLOOKUP(tblTargetMedicos[[#This Row],[codigo_id]],[1]DIM_REPRESENTANTE_MEDICO!$C:$F,3,0)</f>
        <v>6</v>
      </c>
      <c r="F1341" s="27" t="s">
        <v>5796</v>
      </c>
      <c r="G1341" s="27" t="s">
        <v>5779</v>
      </c>
      <c r="H1341" s="27" t="s">
        <v>96</v>
      </c>
      <c r="I1341">
        <v>1</v>
      </c>
    </row>
    <row r="1342" spans="1:9">
      <c r="A1342" t="s">
        <v>1757</v>
      </c>
      <c r="B1342" s="27" t="s">
        <v>3224</v>
      </c>
      <c r="C1342" s="27" t="s">
        <v>5770</v>
      </c>
      <c r="D1342">
        <f>VLOOKUP(tblTargetMedicos[[#This Row],[codigo_id]],[1]DIM_REPRESENTANTE_MEDICO!$C:$F,4,0)</f>
        <v>2</v>
      </c>
      <c r="E1342">
        <f>VLOOKUP(tblTargetMedicos[[#This Row],[codigo_id]],[1]DIM_REPRESENTANTE_MEDICO!$C:$F,3,0)</f>
        <v>6</v>
      </c>
      <c r="F1342" s="27" t="s">
        <v>5796</v>
      </c>
      <c r="G1342" s="27" t="s">
        <v>5784</v>
      </c>
      <c r="H1342" s="27" t="s">
        <v>96</v>
      </c>
      <c r="I1342">
        <v>1</v>
      </c>
    </row>
    <row r="1343" spans="1:9">
      <c r="A1343" t="s">
        <v>1758</v>
      </c>
      <c r="B1343" s="27" t="s">
        <v>3224</v>
      </c>
      <c r="C1343" s="27" t="s">
        <v>5770</v>
      </c>
      <c r="D1343">
        <f>VLOOKUP(tblTargetMedicos[[#This Row],[codigo_id]],[1]DIM_REPRESENTANTE_MEDICO!$C:$F,4,0)</f>
        <v>2</v>
      </c>
      <c r="E1343">
        <f>VLOOKUP(tblTargetMedicos[[#This Row],[codigo_id]],[1]DIM_REPRESENTANTE_MEDICO!$C:$F,3,0)</f>
        <v>6</v>
      </c>
      <c r="F1343" s="27" t="s">
        <v>5796</v>
      </c>
      <c r="G1343" s="27" t="s">
        <v>5785</v>
      </c>
      <c r="H1343" s="27" t="s">
        <v>96</v>
      </c>
      <c r="I1343">
        <v>1</v>
      </c>
    </row>
    <row r="1344" spans="1:9">
      <c r="A1344" t="s">
        <v>1759</v>
      </c>
      <c r="B1344" s="27" t="s">
        <v>3224</v>
      </c>
      <c r="C1344" s="27" t="s">
        <v>5770</v>
      </c>
      <c r="D1344">
        <f>VLOOKUP(tblTargetMedicos[[#This Row],[codigo_id]],[1]DIM_REPRESENTANTE_MEDICO!$C:$F,4,0)</f>
        <v>2</v>
      </c>
      <c r="E1344">
        <f>VLOOKUP(tblTargetMedicos[[#This Row],[codigo_id]],[1]DIM_REPRESENTANTE_MEDICO!$C:$F,3,0)</f>
        <v>6</v>
      </c>
      <c r="F1344" s="27" t="s">
        <v>5796</v>
      </c>
      <c r="G1344" s="27" t="s">
        <v>5783</v>
      </c>
      <c r="H1344" s="27" t="s">
        <v>96</v>
      </c>
      <c r="I1344">
        <v>1</v>
      </c>
    </row>
    <row r="1345" spans="1:9">
      <c r="A1345" t="s">
        <v>1760</v>
      </c>
      <c r="B1345" s="27" t="s">
        <v>3224</v>
      </c>
      <c r="C1345" s="27" t="s">
        <v>5770</v>
      </c>
      <c r="D1345">
        <f>VLOOKUP(tblTargetMedicos[[#This Row],[codigo_id]],[1]DIM_REPRESENTANTE_MEDICO!$C:$F,4,0)</f>
        <v>2</v>
      </c>
      <c r="E1345">
        <f>VLOOKUP(tblTargetMedicos[[#This Row],[codigo_id]],[1]DIM_REPRESENTANTE_MEDICO!$C:$F,3,0)</f>
        <v>6</v>
      </c>
      <c r="F1345" s="27" t="s">
        <v>5796</v>
      </c>
      <c r="G1345" s="27" t="s">
        <v>5784</v>
      </c>
      <c r="H1345" s="27" t="s">
        <v>95</v>
      </c>
      <c r="I1345">
        <v>1</v>
      </c>
    </row>
    <row r="1346" spans="1:9">
      <c r="A1346" t="s">
        <v>1761</v>
      </c>
      <c r="B1346" s="27" t="s">
        <v>3224</v>
      </c>
      <c r="C1346" s="27" t="s">
        <v>5770</v>
      </c>
      <c r="D1346">
        <f>VLOOKUP(tblTargetMedicos[[#This Row],[codigo_id]],[1]DIM_REPRESENTANTE_MEDICO!$C:$F,4,0)</f>
        <v>2</v>
      </c>
      <c r="E1346">
        <f>VLOOKUP(tblTargetMedicos[[#This Row],[codigo_id]],[1]DIM_REPRESENTANTE_MEDICO!$C:$F,3,0)</f>
        <v>6</v>
      </c>
      <c r="F1346" s="27" t="s">
        <v>5796</v>
      </c>
      <c r="G1346" s="27" t="s">
        <v>5785</v>
      </c>
      <c r="H1346" s="27" t="s">
        <v>96</v>
      </c>
      <c r="I1346">
        <v>1</v>
      </c>
    </row>
    <row r="1347" spans="1:9">
      <c r="A1347" t="s">
        <v>1762</v>
      </c>
      <c r="B1347" s="27" t="s">
        <v>3224</v>
      </c>
      <c r="C1347" s="27" t="s">
        <v>5770</v>
      </c>
      <c r="D1347">
        <f>VLOOKUP(tblTargetMedicos[[#This Row],[codigo_id]],[1]DIM_REPRESENTANTE_MEDICO!$C:$F,4,0)</f>
        <v>2</v>
      </c>
      <c r="E1347">
        <f>VLOOKUP(tblTargetMedicos[[#This Row],[codigo_id]],[1]DIM_REPRESENTANTE_MEDICO!$C:$F,3,0)</f>
        <v>6</v>
      </c>
      <c r="F1347" s="27" t="s">
        <v>5796</v>
      </c>
      <c r="G1347" s="27" t="s">
        <v>5783</v>
      </c>
      <c r="H1347" s="27" t="s">
        <v>95</v>
      </c>
      <c r="I1347">
        <v>1</v>
      </c>
    </row>
    <row r="1348" spans="1:9">
      <c r="A1348" t="s">
        <v>1763</v>
      </c>
      <c r="B1348" s="27" t="s">
        <v>3224</v>
      </c>
      <c r="C1348" s="27" t="s">
        <v>5770</v>
      </c>
      <c r="D1348">
        <f>VLOOKUP(tblTargetMedicos[[#This Row],[codigo_id]],[1]DIM_REPRESENTANTE_MEDICO!$C:$F,4,0)</f>
        <v>2</v>
      </c>
      <c r="E1348">
        <f>VLOOKUP(tblTargetMedicos[[#This Row],[codigo_id]],[1]DIM_REPRESENTANTE_MEDICO!$C:$F,3,0)</f>
        <v>6</v>
      </c>
      <c r="F1348" s="27" t="s">
        <v>5796</v>
      </c>
      <c r="G1348" s="27" t="s">
        <v>5780</v>
      </c>
      <c r="H1348" s="27" t="s">
        <v>96</v>
      </c>
      <c r="I1348">
        <v>1</v>
      </c>
    </row>
    <row r="1349" spans="1:9">
      <c r="A1349" t="s">
        <v>1764</v>
      </c>
      <c r="B1349" s="27" t="s">
        <v>3224</v>
      </c>
      <c r="C1349" s="27" t="s">
        <v>5770</v>
      </c>
      <c r="D1349">
        <f>VLOOKUP(tblTargetMedicos[[#This Row],[codigo_id]],[1]DIM_REPRESENTANTE_MEDICO!$C:$F,4,0)</f>
        <v>2</v>
      </c>
      <c r="E1349">
        <f>VLOOKUP(tblTargetMedicos[[#This Row],[codigo_id]],[1]DIM_REPRESENTANTE_MEDICO!$C:$F,3,0)</f>
        <v>6</v>
      </c>
      <c r="F1349" s="27" t="s">
        <v>5796</v>
      </c>
      <c r="G1349" s="27" t="s">
        <v>5784</v>
      </c>
      <c r="H1349" s="27" t="s">
        <v>96</v>
      </c>
      <c r="I1349">
        <v>1</v>
      </c>
    </row>
    <row r="1350" spans="1:9">
      <c r="A1350" t="s">
        <v>1765</v>
      </c>
      <c r="B1350" s="27" t="s">
        <v>3224</v>
      </c>
      <c r="C1350" s="27" t="s">
        <v>5770</v>
      </c>
      <c r="D1350">
        <f>VLOOKUP(tblTargetMedicos[[#This Row],[codigo_id]],[1]DIM_REPRESENTANTE_MEDICO!$C:$F,4,0)</f>
        <v>2</v>
      </c>
      <c r="E1350">
        <f>VLOOKUP(tblTargetMedicos[[#This Row],[codigo_id]],[1]DIM_REPRESENTANTE_MEDICO!$C:$F,3,0)</f>
        <v>6</v>
      </c>
      <c r="F1350" s="27" t="s">
        <v>5796</v>
      </c>
      <c r="G1350" s="27" t="s">
        <v>5784</v>
      </c>
      <c r="H1350" s="27" t="s">
        <v>95</v>
      </c>
      <c r="I1350">
        <v>1</v>
      </c>
    </row>
    <row r="1351" spans="1:9">
      <c r="A1351" t="s">
        <v>1766</v>
      </c>
      <c r="B1351" s="27" t="s">
        <v>3224</v>
      </c>
      <c r="C1351" s="27" t="s">
        <v>5770</v>
      </c>
      <c r="D1351">
        <f>VLOOKUP(tblTargetMedicos[[#This Row],[codigo_id]],[1]DIM_REPRESENTANTE_MEDICO!$C:$F,4,0)</f>
        <v>2</v>
      </c>
      <c r="E1351">
        <f>VLOOKUP(tblTargetMedicos[[#This Row],[codigo_id]],[1]DIM_REPRESENTANTE_MEDICO!$C:$F,3,0)</f>
        <v>6</v>
      </c>
      <c r="F1351" s="27" t="s">
        <v>5796</v>
      </c>
      <c r="G1351" s="27" t="s">
        <v>5791</v>
      </c>
      <c r="H1351" s="27" t="s">
        <v>96</v>
      </c>
      <c r="I1351">
        <v>1</v>
      </c>
    </row>
    <row r="1352" spans="1:9">
      <c r="A1352" t="s">
        <v>1767</v>
      </c>
      <c r="B1352" s="27" t="s">
        <v>3224</v>
      </c>
      <c r="C1352" s="27" t="s">
        <v>5770</v>
      </c>
      <c r="D1352">
        <f>VLOOKUP(tblTargetMedicos[[#This Row],[codigo_id]],[1]DIM_REPRESENTANTE_MEDICO!$C:$F,4,0)</f>
        <v>2</v>
      </c>
      <c r="E1352">
        <f>VLOOKUP(tblTargetMedicos[[#This Row],[codigo_id]],[1]DIM_REPRESENTANTE_MEDICO!$C:$F,3,0)</f>
        <v>6</v>
      </c>
      <c r="F1352" s="27" t="s">
        <v>5796</v>
      </c>
      <c r="G1352" s="27" t="s">
        <v>5786</v>
      </c>
      <c r="H1352" s="27" t="s">
        <v>95</v>
      </c>
      <c r="I1352">
        <v>1</v>
      </c>
    </row>
    <row r="1353" spans="1:9">
      <c r="A1353" t="s">
        <v>1768</v>
      </c>
      <c r="B1353" s="27" t="s">
        <v>3224</v>
      </c>
      <c r="C1353" s="27" t="s">
        <v>5770</v>
      </c>
      <c r="D1353">
        <f>VLOOKUP(tblTargetMedicos[[#This Row],[codigo_id]],[1]DIM_REPRESENTANTE_MEDICO!$C:$F,4,0)</f>
        <v>2</v>
      </c>
      <c r="E1353">
        <f>VLOOKUP(tblTargetMedicos[[#This Row],[codigo_id]],[1]DIM_REPRESENTANTE_MEDICO!$C:$F,3,0)</f>
        <v>6</v>
      </c>
      <c r="F1353" s="27" t="s">
        <v>5796</v>
      </c>
      <c r="G1353" s="27" t="s">
        <v>5784</v>
      </c>
      <c r="H1353" s="27" t="s">
        <v>96</v>
      </c>
      <c r="I1353">
        <v>1</v>
      </c>
    </row>
    <row r="1354" spans="1:9">
      <c r="A1354" t="s">
        <v>1769</v>
      </c>
      <c r="B1354" s="27" t="s">
        <v>3224</v>
      </c>
      <c r="C1354" s="27" t="s">
        <v>5770</v>
      </c>
      <c r="D1354">
        <f>VLOOKUP(tblTargetMedicos[[#This Row],[codigo_id]],[1]DIM_REPRESENTANTE_MEDICO!$C:$F,4,0)</f>
        <v>2</v>
      </c>
      <c r="E1354">
        <f>VLOOKUP(tblTargetMedicos[[#This Row],[codigo_id]],[1]DIM_REPRESENTANTE_MEDICO!$C:$F,3,0)</f>
        <v>6</v>
      </c>
      <c r="F1354" s="27" t="s">
        <v>5796</v>
      </c>
      <c r="G1354" s="27" t="s">
        <v>5787</v>
      </c>
      <c r="H1354" s="27" t="s">
        <v>96</v>
      </c>
      <c r="I1354">
        <v>1</v>
      </c>
    </row>
    <row r="1355" spans="1:9">
      <c r="A1355" t="s">
        <v>1770</v>
      </c>
      <c r="B1355" s="27" t="s">
        <v>3224</v>
      </c>
      <c r="C1355" s="27" t="s">
        <v>5770</v>
      </c>
      <c r="D1355">
        <f>VLOOKUP(tblTargetMedicos[[#This Row],[codigo_id]],[1]DIM_REPRESENTANTE_MEDICO!$C:$F,4,0)</f>
        <v>2</v>
      </c>
      <c r="E1355">
        <f>VLOOKUP(tblTargetMedicos[[#This Row],[codigo_id]],[1]DIM_REPRESENTANTE_MEDICO!$C:$F,3,0)</f>
        <v>6</v>
      </c>
      <c r="F1355" s="27" t="s">
        <v>5796</v>
      </c>
      <c r="G1355" s="27" t="s">
        <v>5781</v>
      </c>
      <c r="H1355" s="27" t="s">
        <v>96</v>
      </c>
      <c r="I1355">
        <v>1</v>
      </c>
    </row>
    <row r="1356" spans="1:9">
      <c r="A1356" t="s">
        <v>1771</v>
      </c>
      <c r="B1356" s="27" t="s">
        <v>3224</v>
      </c>
      <c r="C1356" s="27" t="s">
        <v>5770</v>
      </c>
      <c r="D1356">
        <f>VLOOKUP(tblTargetMedicos[[#This Row],[codigo_id]],[1]DIM_REPRESENTANTE_MEDICO!$C:$F,4,0)</f>
        <v>2</v>
      </c>
      <c r="E1356">
        <f>VLOOKUP(tblTargetMedicos[[#This Row],[codigo_id]],[1]DIM_REPRESENTANTE_MEDICO!$C:$F,3,0)</f>
        <v>6</v>
      </c>
      <c r="F1356" s="27" t="s">
        <v>5796</v>
      </c>
      <c r="G1356" s="27" t="s">
        <v>5780</v>
      </c>
      <c r="H1356" s="27" t="s">
        <v>96</v>
      </c>
      <c r="I1356">
        <v>1</v>
      </c>
    </row>
    <row r="1357" spans="1:9">
      <c r="A1357" t="s">
        <v>1772</v>
      </c>
      <c r="B1357" s="27" t="s">
        <v>3224</v>
      </c>
      <c r="C1357" s="27" t="s">
        <v>5770</v>
      </c>
      <c r="D1357">
        <f>VLOOKUP(tblTargetMedicos[[#This Row],[codigo_id]],[1]DIM_REPRESENTANTE_MEDICO!$C:$F,4,0)</f>
        <v>2</v>
      </c>
      <c r="E1357">
        <f>VLOOKUP(tblTargetMedicos[[#This Row],[codigo_id]],[1]DIM_REPRESENTANTE_MEDICO!$C:$F,3,0)</f>
        <v>6</v>
      </c>
      <c r="F1357" s="27" t="s">
        <v>5796</v>
      </c>
      <c r="G1357" s="27" t="s">
        <v>5784</v>
      </c>
      <c r="H1357" s="27" t="s">
        <v>95</v>
      </c>
      <c r="I1357">
        <v>1</v>
      </c>
    </row>
    <row r="1358" spans="1:9">
      <c r="A1358" t="s">
        <v>1773</v>
      </c>
      <c r="B1358" s="27" t="s">
        <v>3224</v>
      </c>
      <c r="C1358" s="27" t="s">
        <v>5770</v>
      </c>
      <c r="D1358">
        <f>VLOOKUP(tblTargetMedicos[[#This Row],[codigo_id]],[1]DIM_REPRESENTANTE_MEDICO!$C:$F,4,0)</f>
        <v>2</v>
      </c>
      <c r="E1358">
        <f>VLOOKUP(tblTargetMedicos[[#This Row],[codigo_id]],[1]DIM_REPRESENTANTE_MEDICO!$C:$F,3,0)</f>
        <v>6</v>
      </c>
      <c r="F1358" s="27" t="s">
        <v>5796</v>
      </c>
      <c r="G1358" s="27" t="s">
        <v>5784</v>
      </c>
      <c r="H1358" s="27" t="s">
        <v>95</v>
      </c>
      <c r="I1358">
        <v>1</v>
      </c>
    </row>
    <row r="1359" spans="1:9">
      <c r="A1359" t="s">
        <v>1774</v>
      </c>
      <c r="B1359" s="27" t="s">
        <v>3224</v>
      </c>
      <c r="C1359" s="27" t="s">
        <v>5770</v>
      </c>
      <c r="D1359">
        <f>VLOOKUP(tblTargetMedicos[[#This Row],[codigo_id]],[1]DIM_REPRESENTANTE_MEDICO!$C:$F,4,0)</f>
        <v>2</v>
      </c>
      <c r="E1359">
        <f>VLOOKUP(tblTargetMedicos[[#This Row],[codigo_id]],[1]DIM_REPRESENTANTE_MEDICO!$C:$F,3,0)</f>
        <v>6</v>
      </c>
      <c r="F1359" s="27" t="s">
        <v>5796</v>
      </c>
      <c r="G1359" s="27" t="s">
        <v>5785</v>
      </c>
      <c r="H1359" s="27" t="s">
        <v>96</v>
      </c>
      <c r="I1359">
        <v>1</v>
      </c>
    </row>
    <row r="1360" spans="1:9">
      <c r="A1360" t="s">
        <v>1775</v>
      </c>
      <c r="B1360" s="27" t="s">
        <v>3224</v>
      </c>
      <c r="C1360" s="27" t="s">
        <v>5770</v>
      </c>
      <c r="D1360">
        <f>VLOOKUP(tblTargetMedicos[[#This Row],[codigo_id]],[1]DIM_REPRESENTANTE_MEDICO!$C:$F,4,0)</f>
        <v>2</v>
      </c>
      <c r="E1360">
        <f>VLOOKUP(tblTargetMedicos[[#This Row],[codigo_id]],[1]DIM_REPRESENTANTE_MEDICO!$C:$F,3,0)</f>
        <v>6</v>
      </c>
      <c r="F1360" s="27" t="s">
        <v>5796</v>
      </c>
      <c r="G1360" s="27" t="s">
        <v>5784</v>
      </c>
      <c r="H1360" s="27" t="s">
        <v>96</v>
      </c>
      <c r="I1360">
        <v>1</v>
      </c>
    </row>
    <row r="1361" spans="1:9">
      <c r="A1361" t="s">
        <v>1776</v>
      </c>
      <c r="B1361" s="27" t="s">
        <v>3224</v>
      </c>
      <c r="C1361" s="27" t="s">
        <v>5770</v>
      </c>
      <c r="D1361">
        <f>VLOOKUP(tblTargetMedicos[[#This Row],[codigo_id]],[1]DIM_REPRESENTANTE_MEDICO!$C:$F,4,0)</f>
        <v>2</v>
      </c>
      <c r="E1361">
        <f>VLOOKUP(tblTargetMedicos[[#This Row],[codigo_id]],[1]DIM_REPRESENTANTE_MEDICO!$C:$F,3,0)</f>
        <v>6</v>
      </c>
      <c r="F1361" s="27" t="s">
        <v>5796</v>
      </c>
      <c r="G1361" s="27" t="s">
        <v>5779</v>
      </c>
      <c r="H1361" s="27" t="s">
        <v>95</v>
      </c>
      <c r="I1361">
        <v>1</v>
      </c>
    </row>
    <row r="1362" spans="1:9">
      <c r="A1362" t="s">
        <v>1777</v>
      </c>
      <c r="B1362" s="27" t="s">
        <v>3224</v>
      </c>
      <c r="C1362" s="27" t="s">
        <v>5770</v>
      </c>
      <c r="D1362">
        <f>VLOOKUP(tblTargetMedicos[[#This Row],[codigo_id]],[1]DIM_REPRESENTANTE_MEDICO!$C:$F,4,0)</f>
        <v>2</v>
      </c>
      <c r="E1362">
        <f>VLOOKUP(tblTargetMedicos[[#This Row],[codigo_id]],[1]DIM_REPRESENTANTE_MEDICO!$C:$F,3,0)</f>
        <v>6</v>
      </c>
      <c r="F1362" s="27" t="s">
        <v>5796</v>
      </c>
      <c r="G1362" s="27" t="s">
        <v>5785</v>
      </c>
      <c r="H1362" s="27" t="s">
        <v>96</v>
      </c>
      <c r="I1362">
        <v>1</v>
      </c>
    </row>
    <row r="1363" spans="1:9">
      <c r="A1363" t="s">
        <v>1778</v>
      </c>
      <c r="B1363" s="27" t="s">
        <v>3224</v>
      </c>
      <c r="C1363" s="27" t="s">
        <v>5770</v>
      </c>
      <c r="D1363">
        <f>VLOOKUP(tblTargetMedicos[[#This Row],[codigo_id]],[1]DIM_REPRESENTANTE_MEDICO!$C:$F,4,0)</f>
        <v>2</v>
      </c>
      <c r="E1363">
        <f>VLOOKUP(tblTargetMedicos[[#This Row],[codigo_id]],[1]DIM_REPRESENTANTE_MEDICO!$C:$F,3,0)</f>
        <v>6</v>
      </c>
      <c r="F1363" s="27" t="s">
        <v>5796</v>
      </c>
      <c r="G1363" s="27" t="s">
        <v>5785</v>
      </c>
      <c r="H1363" s="27" t="s">
        <v>96</v>
      </c>
      <c r="I1363">
        <v>1</v>
      </c>
    </row>
    <row r="1364" spans="1:9">
      <c r="A1364" t="s">
        <v>1779</v>
      </c>
      <c r="B1364" s="27" t="s">
        <v>3224</v>
      </c>
      <c r="C1364" s="27" t="s">
        <v>5770</v>
      </c>
      <c r="D1364">
        <f>VLOOKUP(tblTargetMedicos[[#This Row],[codigo_id]],[1]DIM_REPRESENTANTE_MEDICO!$C:$F,4,0)</f>
        <v>2</v>
      </c>
      <c r="E1364">
        <f>VLOOKUP(tblTargetMedicos[[#This Row],[codigo_id]],[1]DIM_REPRESENTANTE_MEDICO!$C:$F,3,0)</f>
        <v>6</v>
      </c>
      <c r="F1364" s="27" t="s">
        <v>5796</v>
      </c>
      <c r="G1364" s="27" t="s">
        <v>5786</v>
      </c>
      <c r="H1364" s="27" t="s">
        <v>96</v>
      </c>
      <c r="I1364">
        <v>1</v>
      </c>
    </row>
    <row r="1365" spans="1:9">
      <c r="A1365" t="s">
        <v>1780</v>
      </c>
      <c r="B1365" s="27" t="s">
        <v>3224</v>
      </c>
      <c r="C1365" s="27" t="s">
        <v>5770</v>
      </c>
      <c r="D1365">
        <f>VLOOKUP(tblTargetMedicos[[#This Row],[codigo_id]],[1]DIM_REPRESENTANTE_MEDICO!$C:$F,4,0)</f>
        <v>2</v>
      </c>
      <c r="E1365">
        <f>VLOOKUP(tblTargetMedicos[[#This Row],[codigo_id]],[1]DIM_REPRESENTANTE_MEDICO!$C:$F,3,0)</f>
        <v>6</v>
      </c>
      <c r="F1365" s="27" t="s">
        <v>5796</v>
      </c>
      <c r="G1365" s="27" t="s">
        <v>5783</v>
      </c>
      <c r="H1365" s="27" t="s">
        <v>96</v>
      </c>
      <c r="I1365">
        <v>1</v>
      </c>
    </row>
    <row r="1366" spans="1:9">
      <c r="A1366" t="s">
        <v>1781</v>
      </c>
      <c r="B1366" s="27" t="s">
        <v>3224</v>
      </c>
      <c r="C1366" s="27" t="s">
        <v>5770</v>
      </c>
      <c r="D1366">
        <f>VLOOKUP(tblTargetMedicos[[#This Row],[codigo_id]],[1]DIM_REPRESENTANTE_MEDICO!$C:$F,4,0)</f>
        <v>2</v>
      </c>
      <c r="E1366">
        <f>VLOOKUP(tblTargetMedicos[[#This Row],[codigo_id]],[1]DIM_REPRESENTANTE_MEDICO!$C:$F,3,0)</f>
        <v>6</v>
      </c>
      <c r="F1366" s="27" t="s">
        <v>5796</v>
      </c>
      <c r="G1366" s="27" t="s">
        <v>5784</v>
      </c>
      <c r="H1366" s="27" t="s">
        <v>95</v>
      </c>
      <c r="I1366">
        <v>1</v>
      </c>
    </row>
    <row r="1367" spans="1:9">
      <c r="A1367" t="s">
        <v>1782</v>
      </c>
      <c r="B1367" s="27" t="s">
        <v>3224</v>
      </c>
      <c r="C1367" s="27" t="s">
        <v>5770</v>
      </c>
      <c r="D1367">
        <f>VLOOKUP(tblTargetMedicos[[#This Row],[codigo_id]],[1]DIM_REPRESENTANTE_MEDICO!$C:$F,4,0)</f>
        <v>2</v>
      </c>
      <c r="E1367">
        <f>VLOOKUP(tblTargetMedicos[[#This Row],[codigo_id]],[1]DIM_REPRESENTANTE_MEDICO!$C:$F,3,0)</f>
        <v>6</v>
      </c>
      <c r="F1367" s="27" t="s">
        <v>5796</v>
      </c>
      <c r="G1367" s="27" t="s">
        <v>5782</v>
      </c>
      <c r="H1367" s="27" t="s">
        <v>96</v>
      </c>
      <c r="I1367">
        <v>1</v>
      </c>
    </row>
    <row r="1368" spans="1:9">
      <c r="A1368" t="s">
        <v>1783</v>
      </c>
      <c r="B1368" s="27" t="s">
        <v>3224</v>
      </c>
      <c r="C1368" s="27" t="s">
        <v>5770</v>
      </c>
      <c r="D1368">
        <f>VLOOKUP(tblTargetMedicos[[#This Row],[codigo_id]],[1]DIM_REPRESENTANTE_MEDICO!$C:$F,4,0)</f>
        <v>2</v>
      </c>
      <c r="E1368">
        <f>VLOOKUP(tblTargetMedicos[[#This Row],[codigo_id]],[1]DIM_REPRESENTANTE_MEDICO!$C:$F,3,0)</f>
        <v>6</v>
      </c>
      <c r="F1368" s="27" t="s">
        <v>5796</v>
      </c>
      <c r="G1368" s="27" t="s">
        <v>5784</v>
      </c>
      <c r="H1368" s="27" t="s">
        <v>96</v>
      </c>
      <c r="I1368">
        <v>1</v>
      </c>
    </row>
    <row r="1369" spans="1:9">
      <c r="A1369" t="s">
        <v>1784</v>
      </c>
      <c r="B1369" s="27" t="s">
        <v>3224</v>
      </c>
      <c r="C1369" s="27" t="s">
        <v>5770</v>
      </c>
      <c r="D1369">
        <f>VLOOKUP(tblTargetMedicos[[#This Row],[codigo_id]],[1]DIM_REPRESENTANTE_MEDICO!$C:$F,4,0)</f>
        <v>2</v>
      </c>
      <c r="E1369">
        <f>VLOOKUP(tblTargetMedicos[[#This Row],[codigo_id]],[1]DIM_REPRESENTANTE_MEDICO!$C:$F,3,0)</f>
        <v>6</v>
      </c>
      <c r="F1369" s="27" t="s">
        <v>5796</v>
      </c>
      <c r="G1369" s="27" t="s">
        <v>5783</v>
      </c>
      <c r="H1369" s="27" t="s">
        <v>96</v>
      </c>
      <c r="I1369">
        <v>1</v>
      </c>
    </row>
    <row r="1370" spans="1:9">
      <c r="A1370" t="s">
        <v>1785</v>
      </c>
      <c r="B1370" s="27" t="s">
        <v>3224</v>
      </c>
      <c r="C1370" s="27" t="s">
        <v>5770</v>
      </c>
      <c r="D1370">
        <f>VLOOKUP(tblTargetMedicos[[#This Row],[codigo_id]],[1]DIM_REPRESENTANTE_MEDICO!$C:$F,4,0)</f>
        <v>2</v>
      </c>
      <c r="E1370">
        <f>VLOOKUP(tblTargetMedicos[[#This Row],[codigo_id]],[1]DIM_REPRESENTANTE_MEDICO!$C:$F,3,0)</f>
        <v>6</v>
      </c>
      <c r="F1370" s="27" t="s">
        <v>5796</v>
      </c>
      <c r="G1370" s="27" t="s">
        <v>5784</v>
      </c>
      <c r="H1370" s="27" t="s">
        <v>96</v>
      </c>
      <c r="I1370">
        <v>1</v>
      </c>
    </row>
    <row r="1371" spans="1:9">
      <c r="A1371" t="s">
        <v>1786</v>
      </c>
      <c r="B1371" s="27" t="s">
        <v>3224</v>
      </c>
      <c r="C1371" s="27" t="s">
        <v>5770</v>
      </c>
      <c r="D1371">
        <f>VLOOKUP(tblTargetMedicos[[#This Row],[codigo_id]],[1]DIM_REPRESENTANTE_MEDICO!$C:$F,4,0)</f>
        <v>2</v>
      </c>
      <c r="E1371">
        <f>VLOOKUP(tblTargetMedicos[[#This Row],[codigo_id]],[1]DIM_REPRESENTANTE_MEDICO!$C:$F,3,0)</f>
        <v>6</v>
      </c>
      <c r="F1371" s="27" t="s">
        <v>5796</v>
      </c>
      <c r="G1371" s="27" t="s">
        <v>5788</v>
      </c>
      <c r="H1371" s="27" t="s">
        <v>96</v>
      </c>
      <c r="I1371">
        <v>1</v>
      </c>
    </row>
    <row r="1372" spans="1:9">
      <c r="A1372" t="s">
        <v>1787</v>
      </c>
      <c r="B1372" s="27" t="s">
        <v>3224</v>
      </c>
      <c r="C1372" s="27" t="s">
        <v>5770</v>
      </c>
      <c r="D1372">
        <f>VLOOKUP(tblTargetMedicos[[#This Row],[codigo_id]],[1]DIM_REPRESENTANTE_MEDICO!$C:$F,4,0)</f>
        <v>2</v>
      </c>
      <c r="E1372">
        <f>VLOOKUP(tblTargetMedicos[[#This Row],[codigo_id]],[1]DIM_REPRESENTANTE_MEDICO!$C:$F,3,0)</f>
        <v>6</v>
      </c>
      <c r="F1372" s="27" t="s">
        <v>5796</v>
      </c>
      <c r="G1372" s="27" t="s">
        <v>5784</v>
      </c>
      <c r="H1372" s="27" t="s">
        <v>96</v>
      </c>
      <c r="I1372">
        <v>1</v>
      </c>
    </row>
    <row r="1373" spans="1:9">
      <c r="A1373" t="s">
        <v>1788</v>
      </c>
      <c r="B1373" s="27" t="s">
        <v>3224</v>
      </c>
      <c r="C1373" s="27" t="s">
        <v>5770</v>
      </c>
      <c r="D1373">
        <f>VLOOKUP(tblTargetMedicos[[#This Row],[codigo_id]],[1]DIM_REPRESENTANTE_MEDICO!$C:$F,4,0)</f>
        <v>2</v>
      </c>
      <c r="E1373">
        <f>VLOOKUP(tblTargetMedicos[[#This Row],[codigo_id]],[1]DIM_REPRESENTANTE_MEDICO!$C:$F,3,0)</f>
        <v>6</v>
      </c>
      <c r="F1373" s="27" t="s">
        <v>5796</v>
      </c>
      <c r="G1373" s="27" t="s">
        <v>5783</v>
      </c>
      <c r="H1373" s="27" t="s">
        <v>97</v>
      </c>
      <c r="I1373">
        <v>1</v>
      </c>
    </row>
    <row r="1374" spans="1:9">
      <c r="A1374" t="s">
        <v>1789</v>
      </c>
      <c r="B1374" s="27" t="s">
        <v>3224</v>
      </c>
      <c r="C1374" s="27" t="s">
        <v>5770</v>
      </c>
      <c r="D1374">
        <f>VLOOKUP(tblTargetMedicos[[#This Row],[codigo_id]],[1]DIM_REPRESENTANTE_MEDICO!$C:$F,4,0)</f>
        <v>2</v>
      </c>
      <c r="E1374">
        <f>VLOOKUP(tblTargetMedicos[[#This Row],[codigo_id]],[1]DIM_REPRESENTANTE_MEDICO!$C:$F,3,0)</f>
        <v>6</v>
      </c>
      <c r="F1374" s="27" t="s">
        <v>5796</v>
      </c>
      <c r="G1374" s="27" t="s">
        <v>5788</v>
      </c>
      <c r="H1374" s="27" t="s">
        <v>95</v>
      </c>
      <c r="I1374">
        <v>1</v>
      </c>
    </row>
    <row r="1375" spans="1:9">
      <c r="A1375" t="s">
        <v>1790</v>
      </c>
      <c r="B1375" s="27" t="s">
        <v>3224</v>
      </c>
      <c r="C1375" s="27" t="s">
        <v>5770</v>
      </c>
      <c r="D1375">
        <f>VLOOKUP(tblTargetMedicos[[#This Row],[codigo_id]],[1]DIM_REPRESENTANTE_MEDICO!$C:$F,4,0)</f>
        <v>2</v>
      </c>
      <c r="E1375">
        <f>VLOOKUP(tblTargetMedicos[[#This Row],[codigo_id]],[1]DIM_REPRESENTANTE_MEDICO!$C:$F,3,0)</f>
        <v>6</v>
      </c>
      <c r="F1375" s="27" t="s">
        <v>5796</v>
      </c>
      <c r="G1375" s="27" t="s">
        <v>5784</v>
      </c>
      <c r="H1375" s="27" t="s">
        <v>97</v>
      </c>
      <c r="I1375">
        <v>1</v>
      </c>
    </row>
    <row r="1376" spans="1:9">
      <c r="A1376" t="s">
        <v>1791</v>
      </c>
      <c r="B1376" s="27" t="s">
        <v>3224</v>
      </c>
      <c r="C1376" s="27" t="s">
        <v>5770</v>
      </c>
      <c r="D1376">
        <f>VLOOKUP(tblTargetMedicos[[#This Row],[codigo_id]],[1]DIM_REPRESENTANTE_MEDICO!$C:$F,4,0)</f>
        <v>2</v>
      </c>
      <c r="E1376">
        <f>VLOOKUP(tblTargetMedicos[[#This Row],[codigo_id]],[1]DIM_REPRESENTANTE_MEDICO!$C:$F,3,0)</f>
        <v>6</v>
      </c>
      <c r="F1376" s="27" t="s">
        <v>5796</v>
      </c>
      <c r="G1376" s="27" t="s">
        <v>5784</v>
      </c>
      <c r="H1376" s="27" t="s">
        <v>96</v>
      </c>
      <c r="I1376">
        <v>1</v>
      </c>
    </row>
    <row r="1377" spans="1:9">
      <c r="A1377" t="s">
        <v>1792</v>
      </c>
      <c r="B1377" s="27" t="s">
        <v>3224</v>
      </c>
      <c r="C1377" s="27" t="s">
        <v>5770</v>
      </c>
      <c r="D1377">
        <f>VLOOKUP(tblTargetMedicos[[#This Row],[codigo_id]],[1]DIM_REPRESENTANTE_MEDICO!$C:$F,4,0)</f>
        <v>2</v>
      </c>
      <c r="E1377">
        <f>VLOOKUP(tblTargetMedicos[[#This Row],[codigo_id]],[1]DIM_REPRESENTANTE_MEDICO!$C:$F,3,0)</f>
        <v>6</v>
      </c>
      <c r="F1377" s="27" t="s">
        <v>5796</v>
      </c>
      <c r="G1377" s="27" t="s">
        <v>5780</v>
      </c>
      <c r="H1377" s="27" t="s">
        <v>97</v>
      </c>
      <c r="I1377">
        <v>1</v>
      </c>
    </row>
    <row r="1378" spans="1:9">
      <c r="A1378" t="s">
        <v>1793</v>
      </c>
      <c r="B1378" s="27" t="s">
        <v>3224</v>
      </c>
      <c r="C1378" s="27" t="s">
        <v>5770</v>
      </c>
      <c r="D1378">
        <f>VLOOKUP(tblTargetMedicos[[#This Row],[codigo_id]],[1]DIM_REPRESENTANTE_MEDICO!$C:$F,4,0)</f>
        <v>2</v>
      </c>
      <c r="E1378">
        <f>VLOOKUP(tblTargetMedicos[[#This Row],[codigo_id]],[1]DIM_REPRESENTANTE_MEDICO!$C:$F,3,0)</f>
        <v>6</v>
      </c>
      <c r="F1378" s="27" t="s">
        <v>5796</v>
      </c>
      <c r="G1378" s="27" t="s">
        <v>5783</v>
      </c>
      <c r="H1378" s="27" t="s">
        <v>96</v>
      </c>
      <c r="I1378">
        <v>1</v>
      </c>
    </row>
    <row r="1379" spans="1:9">
      <c r="A1379" t="s">
        <v>1794</v>
      </c>
      <c r="B1379" s="27" t="s">
        <v>3224</v>
      </c>
      <c r="C1379" s="27" t="s">
        <v>5770</v>
      </c>
      <c r="D1379">
        <f>VLOOKUP(tblTargetMedicos[[#This Row],[codigo_id]],[1]DIM_REPRESENTANTE_MEDICO!$C:$F,4,0)</f>
        <v>2</v>
      </c>
      <c r="E1379">
        <f>VLOOKUP(tblTargetMedicos[[#This Row],[codigo_id]],[1]DIM_REPRESENTANTE_MEDICO!$C:$F,3,0)</f>
        <v>6</v>
      </c>
      <c r="F1379" s="27" t="s">
        <v>5796</v>
      </c>
      <c r="G1379" s="27" t="s">
        <v>5783</v>
      </c>
      <c r="H1379" s="27" t="s">
        <v>97</v>
      </c>
      <c r="I1379">
        <v>1</v>
      </c>
    </row>
    <row r="1380" spans="1:9">
      <c r="A1380" t="s">
        <v>1795</v>
      </c>
      <c r="B1380" s="27" t="s">
        <v>3224</v>
      </c>
      <c r="C1380" s="27" t="s">
        <v>5770</v>
      </c>
      <c r="D1380">
        <f>VLOOKUP(tblTargetMedicos[[#This Row],[codigo_id]],[1]DIM_REPRESENTANTE_MEDICO!$C:$F,4,0)</f>
        <v>2</v>
      </c>
      <c r="E1380">
        <f>VLOOKUP(tblTargetMedicos[[#This Row],[codigo_id]],[1]DIM_REPRESENTANTE_MEDICO!$C:$F,3,0)</f>
        <v>6</v>
      </c>
      <c r="F1380" s="27" t="s">
        <v>5796</v>
      </c>
      <c r="G1380" s="27" t="s">
        <v>5786</v>
      </c>
      <c r="H1380" s="27" t="s">
        <v>97</v>
      </c>
      <c r="I1380">
        <v>1</v>
      </c>
    </row>
    <row r="1381" spans="1:9">
      <c r="A1381" t="s">
        <v>1796</v>
      </c>
      <c r="B1381" s="27" t="s">
        <v>3226</v>
      </c>
      <c r="C1381" s="27" t="s">
        <v>5772</v>
      </c>
      <c r="D1381">
        <f>VLOOKUP(tblTargetMedicos[[#This Row],[codigo_id]],[1]DIM_REPRESENTANTE_MEDICO!$C:$F,4,0)</f>
        <v>12</v>
      </c>
      <c r="E1381">
        <f>VLOOKUP(tblTargetMedicos[[#This Row],[codigo_id]],[1]DIM_REPRESENTANTE_MEDICO!$C:$F,3,0)</f>
        <v>1</v>
      </c>
      <c r="F1381" s="27" t="s">
        <v>5796</v>
      </c>
      <c r="G1381" s="27" t="s">
        <v>5787</v>
      </c>
      <c r="H1381" s="27" t="s">
        <v>97</v>
      </c>
      <c r="I1381">
        <v>1</v>
      </c>
    </row>
    <row r="1382" spans="1:9">
      <c r="A1382" t="s">
        <v>1797</v>
      </c>
      <c r="B1382" s="27" t="s">
        <v>3226</v>
      </c>
      <c r="C1382" s="27" t="s">
        <v>5772</v>
      </c>
      <c r="D1382">
        <f>VLOOKUP(tblTargetMedicos[[#This Row],[codigo_id]],[1]DIM_REPRESENTANTE_MEDICO!$C:$F,4,0)</f>
        <v>12</v>
      </c>
      <c r="E1382">
        <f>VLOOKUP(tblTargetMedicos[[#This Row],[codigo_id]],[1]DIM_REPRESENTANTE_MEDICO!$C:$F,3,0)</f>
        <v>1</v>
      </c>
      <c r="F1382" s="27" t="s">
        <v>5796</v>
      </c>
      <c r="G1382" s="27" t="s">
        <v>5785</v>
      </c>
      <c r="H1382" s="27" t="s">
        <v>97</v>
      </c>
      <c r="I1382">
        <v>1</v>
      </c>
    </row>
    <row r="1383" spans="1:9">
      <c r="A1383" t="s">
        <v>1798</v>
      </c>
      <c r="B1383" s="27" t="s">
        <v>3224</v>
      </c>
      <c r="C1383" s="27" t="s">
        <v>5770</v>
      </c>
      <c r="D1383">
        <f>VLOOKUP(tblTargetMedicos[[#This Row],[codigo_id]],[1]DIM_REPRESENTANTE_MEDICO!$C:$F,4,0)</f>
        <v>2</v>
      </c>
      <c r="E1383">
        <f>VLOOKUP(tblTargetMedicos[[#This Row],[codigo_id]],[1]DIM_REPRESENTANTE_MEDICO!$C:$F,3,0)</f>
        <v>6</v>
      </c>
      <c r="F1383" s="27" t="s">
        <v>5796</v>
      </c>
      <c r="G1383" s="27" t="s">
        <v>5783</v>
      </c>
      <c r="H1383" s="27" t="s">
        <v>96</v>
      </c>
      <c r="I1383">
        <v>1</v>
      </c>
    </row>
    <row r="1384" spans="1:9">
      <c r="A1384" t="s">
        <v>1799</v>
      </c>
      <c r="B1384" s="27" t="s">
        <v>3224</v>
      </c>
      <c r="C1384" s="27" t="s">
        <v>5770</v>
      </c>
      <c r="D1384">
        <f>VLOOKUP(tblTargetMedicos[[#This Row],[codigo_id]],[1]DIM_REPRESENTANTE_MEDICO!$C:$F,4,0)</f>
        <v>2</v>
      </c>
      <c r="E1384">
        <f>VLOOKUP(tblTargetMedicos[[#This Row],[codigo_id]],[1]DIM_REPRESENTANTE_MEDICO!$C:$F,3,0)</f>
        <v>6</v>
      </c>
      <c r="F1384" s="27" t="s">
        <v>5796</v>
      </c>
      <c r="G1384" s="27" t="s">
        <v>5784</v>
      </c>
      <c r="H1384" s="27" t="s">
        <v>96</v>
      </c>
      <c r="I1384">
        <v>1</v>
      </c>
    </row>
    <row r="1385" spans="1:9">
      <c r="A1385" t="s">
        <v>1800</v>
      </c>
      <c r="B1385" s="27" t="s">
        <v>3224</v>
      </c>
      <c r="C1385" s="27" t="s">
        <v>5770</v>
      </c>
      <c r="D1385">
        <f>VLOOKUP(tblTargetMedicos[[#This Row],[codigo_id]],[1]DIM_REPRESENTANTE_MEDICO!$C:$F,4,0)</f>
        <v>2</v>
      </c>
      <c r="E1385">
        <f>VLOOKUP(tblTargetMedicos[[#This Row],[codigo_id]],[1]DIM_REPRESENTANTE_MEDICO!$C:$F,3,0)</f>
        <v>6</v>
      </c>
      <c r="F1385" s="27" t="s">
        <v>5796</v>
      </c>
      <c r="G1385" s="27" t="s">
        <v>5784</v>
      </c>
      <c r="H1385" s="27" t="s">
        <v>95</v>
      </c>
      <c r="I1385">
        <v>1</v>
      </c>
    </row>
    <row r="1386" spans="1:9">
      <c r="A1386" t="s">
        <v>1801</v>
      </c>
      <c r="B1386" s="27" t="s">
        <v>3224</v>
      </c>
      <c r="C1386" s="27" t="s">
        <v>5770</v>
      </c>
      <c r="D1386">
        <f>VLOOKUP(tblTargetMedicos[[#This Row],[codigo_id]],[1]DIM_REPRESENTANTE_MEDICO!$C:$F,4,0)</f>
        <v>2</v>
      </c>
      <c r="E1386">
        <f>VLOOKUP(tblTargetMedicos[[#This Row],[codigo_id]],[1]DIM_REPRESENTANTE_MEDICO!$C:$F,3,0)</f>
        <v>6</v>
      </c>
      <c r="F1386" s="27" t="s">
        <v>5796</v>
      </c>
      <c r="G1386" s="27" t="s">
        <v>5783</v>
      </c>
      <c r="H1386" s="27" t="s">
        <v>96</v>
      </c>
      <c r="I1386">
        <v>1</v>
      </c>
    </row>
    <row r="1387" spans="1:9">
      <c r="A1387" t="s">
        <v>1802</v>
      </c>
      <c r="B1387" s="27" t="s">
        <v>3224</v>
      </c>
      <c r="C1387" s="27" t="s">
        <v>5770</v>
      </c>
      <c r="D1387">
        <f>VLOOKUP(tblTargetMedicos[[#This Row],[codigo_id]],[1]DIM_REPRESENTANTE_MEDICO!$C:$F,4,0)</f>
        <v>2</v>
      </c>
      <c r="E1387">
        <f>VLOOKUP(tblTargetMedicos[[#This Row],[codigo_id]],[1]DIM_REPRESENTANTE_MEDICO!$C:$F,3,0)</f>
        <v>6</v>
      </c>
      <c r="F1387" s="27" t="s">
        <v>5796</v>
      </c>
      <c r="G1387" s="27" t="s">
        <v>5786</v>
      </c>
      <c r="H1387" s="27" t="s">
        <v>95</v>
      </c>
      <c r="I1387">
        <v>1</v>
      </c>
    </row>
    <row r="1388" spans="1:9">
      <c r="A1388" t="s">
        <v>1803</v>
      </c>
      <c r="B1388" s="27" t="s">
        <v>3224</v>
      </c>
      <c r="C1388" s="27" t="s">
        <v>5770</v>
      </c>
      <c r="D1388">
        <f>VLOOKUP(tblTargetMedicos[[#This Row],[codigo_id]],[1]DIM_REPRESENTANTE_MEDICO!$C:$F,4,0)</f>
        <v>2</v>
      </c>
      <c r="E1388">
        <f>VLOOKUP(tblTargetMedicos[[#This Row],[codigo_id]],[1]DIM_REPRESENTANTE_MEDICO!$C:$F,3,0)</f>
        <v>6</v>
      </c>
      <c r="F1388" s="27" t="s">
        <v>5796</v>
      </c>
      <c r="G1388" s="27" t="s">
        <v>5783</v>
      </c>
      <c r="H1388" s="27" t="s">
        <v>96</v>
      </c>
      <c r="I1388">
        <v>1</v>
      </c>
    </row>
    <row r="1389" spans="1:9">
      <c r="A1389" t="s">
        <v>1804</v>
      </c>
      <c r="B1389" s="27" t="s">
        <v>3224</v>
      </c>
      <c r="C1389" s="27" t="s">
        <v>5770</v>
      </c>
      <c r="D1389">
        <f>VLOOKUP(tblTargetMedicos[[#This Row],[codigo_id]],[1]DIM_REPRESENTANTE_MEDICO!$C:$F,4,0)</f>
        <v>2</v>
      </c>
      <c r="E1389">
        <f>VLOOKUP(tblTargetMedicos[[#This Row],[codigo_id]],[1]DIM_REPRESENTANTE_MEDICO!$C:$F,3,0)</f>
        <v>6</v>
      </c>
      <c r="F1389" s="27" t="s">
        <v>5796</v>
      </c>
      <c r="G1389" s="27" t="s">
        <v>5790</v>
      </c>
      <c r="H1389" s="27" t="s">
        <v>96</v>
      </c>
      <c r="I1389">
        <v>1</v>
      </c>
    </row>
    <row r="1390" spans="1:9">
      <c r="A1390" t="s">
        <v>1805</v>
      </c>
      <c r="B1390" s="27" t="s">
        <v>3224</v>
      </c>
      <c r="C1390" s="27" t="s">
        <v>5770</v>
      </c>
      <c r="D1390">
        <f>VLOOKUP(tblTargetMedicos[[#This Row],[codigo_id]],[1]DIM_REPRESENTANTE_MEDICO!$C:$F,4,0)</f>
        <v>2</v>
      </c>
      <c r="E1390">
        <f>VLOOKUP(tblTargetMedicos[[#This Row],[codigo_id]],[1]DIM_REPRESENTANTE_MEDICO!$C:$F,3,0)</f>
        <v>6</v>
      </c>
      <c r="F1390" s="27" t="s">
        <v>5796</v>
      </c>
      <c r="G1390" s="27" t="s">
        <v>5785</v>
      </c>
      <c r="H1390" s="27" t="s">
        <v>96</v>
      </c>
      <c r="I1390">
        <v>1</v>
      </c>
    </row>
    <row r="1391" spans="1:9">
      <c r="A1391" t="s">
        <v>1806</v>
      </c>
      <c r="B1391" s="27" t="s">
        <v>3224</v>
      </c>
      <c r="C1391" s="27" t="s">
        <v>5770</v>
      </c>
      <c r="D1391">
        <f>VLOOKUP(tblTargetMedicos[[#This Row],[codigo_id]],[1]DIM_REPRESENTANTE_MEDICO!$C:$F,4,0)</f>
        <v>2</v>
      </c>
      <c r="E1391">
        <f>VLOOKUP(tblTargetMedicos[[#This Row],[codigo_id]],[1]DIM_REPRESENTANTE_MEDICO!$C:$F,3,0)</f>
        <v>6</v>
      </c>
      <c r="F1391" s="27" t="s">
        <v>5796</v>
      </c>
      <c r="G1391" s="27" t="s">
        <v>5784</v>
      </c>
      <c r="H1391" s="27" t="s">
        <v>96</v>
      </c>
      <c r="I1391">
        <v>1</v>
      </c>
    </row>
    <row r="1392" spans="1:9">
      <c r="A1392" t="s">
        <v>1807</v>
      </c>
      <c r="B1392" s="27" t="s">
        <v>3224</v>
      </c>
      <c r="C1392" s="27" t="s">
        <v>5770</v>
      </c>
      <c r="D1392">
        <f>VLOOKUP(tblTargetMedicos[[#This Row],[codigo_id]],[1]DIM_REPRESENTANTE_MEDICO!$C:$F,4,0)</f>
        <v>2</v>
      </c>
      <c r="E1392">
        <f>VLOOKUP(tblTargetMedicos[[#This Row],[codigo_id]],[1]DIM_REPRESENTANTE_MEDICO!$C:$F,3,0)</f>
        <v>6</v>
      </c>
      <c r="F1392" s="27" t="s">
        <v>5796</v>
      </c>
      <c r="G1392" s="27" t="s">
        <v>5786</v>
      </c>
      <c r="H1392" s="27" t="s">
        <v>96</v>
      </c>
      <c r="I1392">
        <v>1</v>
      </c>
    </row>
    <row r="1393" spans="1:9">
      <c r="A1393" t="s">
        <v>1808</v>
      </c>
      <c r="B1393" s="27" t="s">
        <v>3224</v>
      </c>
      <c r="C1393" s="27" t="s">
        <v>5770</v>
      </c>
      <c r="D1393">
        <f>VLOOKUP(tblTargetMedicos[[#This Row],[codigo_id]],[1]DIM_REPRESENTANTE_MEDICO!$C:$F,4,0)</f>
        <v>2</v>
      </c>
      <c r="E1393">
        <f>VLOOKUP(tblTargetMedicos[[#This Row],[codigo_id]],[1]DIM_REPRESENTANTE_MEDICO!$C:$F,3,0)</f>
        <v>6</v>
      </c>
      <c r="F1393" s="27" t="s">
        <v>5796</v>
      </c>
      <c r="G1393" s="27" t="s">
        <v>5784</v>
      </c>
      <c r="H1393" s="27" t="s">
        <v>95</v>
      </c>
      <c r="I1393">
        <v>1</v>
      </c>
    </row>
    <row r="1394" spans="1:9">
      <c r="A1394" t="s">
        <v>1809</v>
      </c>
      <c r="B1394" s="27" t="s">
        <v>3224</v>
      </c>
      <c r="C1394" s="27" t="s">
        <v>5770</v>
      </c>
      <c r="D1394">
        <f>VLOOKUP(tblTargetMedicos[[#This Row],[codigo_id]],[1]DIM_REPRESENTANTE_MEDICO!$C:$F,4,0)</f>
        <v>2</v>
      </c>
      <c r="E1394">
        <f>VLOOKUP(tblTargetMedicos[[#This Row],[codigo_id]],[1]DIM_REPRESENTANTE_MEDICO!$C:$F,3,0)</f>
        <v>6</v>
      </c>
      <c r="F1394" s="27" t="s">
        <v>5796</v>
      </c>
      <c r="G1394" s="27" t="s">
        <v>5784</v>
      </c>
      <c r="H1394" s="27" t="s">
        <v>96</v>
      </c>
      <c r="I1394">
        <v>1</v>
      </c>
    </row>
    <row r="1395" spans="1:9">
      <c r="A1395" t="s">
        <v>1810</v>
      </c>
      <c r="B1395" s="27" t="s">
        <v>3224</v>
      </c>
      <c r="C1395" s="27" t="s">
        <v>5770</v>
      </c>
      <c r="D1395">
        <f>VLOOKUP(tblTargetMedicos[[#This Row],[codigo_id]],[1]DIM_REPRESENTANTE_MEDICO!$C:$F,4,0)</f>
        <v>2</v>
      </c>
      <c r="E1395">
        <f>VLOOKUP(tblTargetMedicos[[#This Row],[codigo_id]],[1]DIM_REPRESENTANTE_MEDICO!$C:$F,3,0)</f>
        <v>6</v>
      </c>
      <c r="F1395" s="27" t="s">
        <v>5796</v>
      </c>
      <c r="G1395" s="27" t="s">
        <v>5783</v>
      </c>
      <c r="H1395" s="27" t="s">
        <v>96</v>
      </c>
      <c r="I1395">
        <v>1</v>
      </c>
    </row>
    <row r="1396" spans="1:9">
      <c r="A1396" t="s">
        <v>1811</v>
      </c>
      <c r="B1396" s="27" t="s">
        <v>3224</v>
      </c>
      <c r="C1396" s="27" t="s">
        <v>5770</v>
      </c>
      <c r="D1396">
        <f>VLOOKUP(tblTargetMedicos[[#This Row],[codigo_id]],[1]DIM_REPRESENTANTE_MEDICO!$C:$F,4,0)</f>
        <v>2</v>
      </c>
      <c r="E1396">
        <f>VLOOKUP(tblTargetMedicos[[#This Row],[codigo_id]],[1]DIM_REPRESENTANTE_MEDICO!$C:$F,3,0)</f>
        <v>6</v>
      </c>
      <c r="F1396" s="27" t="s">
        <v>5796</v>
      </c>
      <c r="G1396" s="27" t="s">
        <v>5784</v>
      </c>
      <c r="H1396" s="27" t="s">
        <v>96</v>
      </c>
      <c r="I1396">
        <v>1</v>
      </c>
    </row>
    <row r="1397" spans="1:9">
      <c r="A1397" t="s">
        <v>1812</v>
      </c>
      <c r="B1397" s="27" t="s">
        <v>3224</v>
      </c>
      <c r="C1397" s="27" t="s">
        <v>5770</v>
      </c>
      <c r="D1397">
        <f>VLOOKUP(tblTargetMedicos[[#This Row],[codigo_id]],[1]DIM_REPRESENTANTE_MEDICO!$C:$F,4,0)</f>
        <v>2</v>
      </c>
      <c r="E1397">
        <f>VLOOKUP(tblTargetMedicos[[#This Row],[codigo_id]],[1]DIM_REPRESENTANTE_MEDICO!$C:$F,3,0)</f>
        <v>6</v>
      </c>
      <c r="F1397" s="27" t="s">
        <v>5796</v>
      </c>
      <c r="G1397" s="27" t="s">
        <v>5780</v>
      </c>
      <c r="H1397" s="27" t="s">
        <v>95</v>
      </c>
      <c r="I1397">
        <v>1</v>
      </c>
    </row>
    <row r="1398" spans="1:9">
      <c r="A1398" t="s">
        <v>1813</v>
      </c>
      <c r="B1398" s="27" t="s">
        <v>3224</v>
      </c>
      <c r="C1398" s="27" t="s">
        <v>5770</v>
      </c>
      <c r="D1398">
        <f>VLOOKUP(tblTargetMedicos[[#This Row],[codigo_id]],[1]DIM_REPRESENTANTE_MEDICO!$C:$F,4,0)</f>
        <v>2</v>
      </c>
      <c r="E1398">
        <f>VLOOKUP(tblTargetMedicos[[#This Row],[codigo_id]],[1]DIM_REPRESENTANTE_MEDICO!$C:$F,3,0)</f>
        <v>6</v>
      </c>
      <c r="F1398" s="27" t="s">
        <v>5796</v>
      </c>
      <c r="G1398" s="27" t="s">
        <v>5786</v>
      </c>
      <c r="H1398" s="27" t="s">
        <v>95</v>
      </c>
      <c r="I1398">
        <v>1</v>
      </c>
    </row>
    <row r="1399" spans="1:9">
      <c r="A1399" t="s">
        <v>1814</v>
      </c>
      <c r="B1399" s="27" t="s">
        <v>3224</v>
      </c>
      <c r="C1399" s="27" t="s">
        <v>5770</v>
      </c>
      <c r="D1399">
        <f>VLOOKUP(tblTargetMedicos[[#This Row],[codigo_id]],[1]DIM_REPRESENTANTE_MEDICO!$C:$F,4,0)</f>
        <v>2</v>
      </c>
      <c r="E1399">
        <f>VLOOKUP(tblTargetMedicos[[#This Row],[codigo_id]],[1]DIM_REPRESENTANTE_MEDICO!$C:$F,3,0)</f>
        <v>6</v>
      </c>
      <c r="F1399" s="27" t="s">
        <v>5796</v>
      </c>
      <c r="G1399" s="27" t="s">
        <v>5784</v>
      </c>
      <c r="H1399" s="27" t="s">
        <v>96</v>
      </c>
      <c r="I1399">
        <v>1</v>
      </c>
    </row>
    <row r="1400" spans="1:9">
      <c r="A1400" t="s">
        <v>1815</v>
      </c>
      <c r="B1400" s="27" t="s">
        <v>3224</v>
      </c>
      <c r="C1400" s="27" t="s">
        <v>5770</v>
      </c>
      <c r="D1400">
        <f>VLOOKUP(tblTargetMedicos[[#This Row],[codigo_id]],[1]DIM_REPRESENTANTE_MEDICO!$C:$F,4,0)</f>
        <v>2</v>
      </c>
      <c r="E1400">
        <f>VLOOKUP(tblTargetMedicos[[#This Row],[codigo_id]],[1]DIM_REPRESENTANTE_MEDICO!$C:$F,3,0)</f>
        <v>6</v>
      </c>
      <c r="F1400" s="27" t="s">
        <v>5796</v>
      </c>
      <c r="G1400" s="27" t="s">
        <v>5783</v>
      </c>
      <c r="H1400" s="27" t="s">
        <v>96</v>
      </c>
      <c r="I1400">
        <v>1</v>
      </c>
    </row>
    <row r="1401" spans="1:9">
      <c r="A1401" t="s">
        <v>1816</v>
      </c>
      <c r="B1401" s="27" t="s">
        <v>3224</v>
      </c>
      <c r="C1401" s="27" t="s">
        <v>5770</v>
      </c>
      <c r="D1401">
        <f>VLOOKUP(tblTargetMedicos[[#This Row],[codigo_id]],[1]DIM_REPRESENTANTE_MEDICO!$C:$F,4,0)</f>
        <v>2</v>
      </c>
      <c r="E1401">
        <f>VLOOKUP(tblTargetMedicos[[#This Row],[codigo_id]],[1]DIM_REPRESENTANTE_MEDICO!$C:$F,3,0)</f>
        <v>6</v>
      </c>
      <c r="F1401" s="27" t="s">
        <v>5796</v>
      </c>
      <c r="G1401" s="27" t="s">
        <v>5781</v>
      </c>
      <c r="H1401" s="27" t="s">
        <v>97</v>
      </c>
      <c r="I1401">
        <v>1</v>
      </c>
    </row>
    <row r="1402" spans="1:9">
      <c r="A1402" t="s">
        <v>1817</v>
      </c>
      <c r="B1402" s="27" t="s">
        <v>3224</v>
      </c>
      <c r="C1402" s="27" t="s">
        <v>5770</v>
      </c>
      <c r="D1402">
        <f>VLOOKUP(tblTargetMedicos[[#This Row],[codigo_id]],[1]DIM_REPRESENTANTE_MEDICO!$C:$F,4,0)</f>
        <v>2</v>
      </c>
      <c r="E1402">
        <f>VLOOKUP(tblTargetMedicos[[#This Row],[codigo_id]],[1]DIM_REPRESENTANTE_MEDICO!$C:$F,3,0)</f>
        <v>6</v>
      </c>
      <c r="F1402" s="27" t="s">
        <v>5796</v>
      </c>
      <c r="G1402" s="27" t="s">
        <v>5779</v>
      </c>
      <c r="H1402" s="27" t="s">
        <v>95</v>
      </c>
      <c r="I1402">
        <v>1</v>
      </c>
    </row>
    <row r="1403" spans="1:9">
      <c r="A1403" t="s">
        <v>1818</v>
      </c>
      <c r="B1403" s="27" t="s">
        <v>3224</v>
      </c>
      <c r="C1403" s="27" t="s">
        <v>5770</v>
      </c>
      <c r="D1403">
        <f>VLOOKUP(tblTargetMedicos[[#This Row],[codigo_id]],[1]DIM_REPRESENTANTE_MEDICO!$C:$F,4,0)</f>
        <v>2</v>
      </c>
      <c r="E1403">
        <f>VLOOKUP(tblTargetMedicos[[#This Row],[codigo_id]],[1]DIM_REPRESENTANTE_MEDICO!$C:$F,3,0)</f>
        <v>6</v>
      </c>
      <c r="F1403" s="27" t="s">
        <v>5796</v>
      </c>
      <c r="G1403" s="27" t="s">
        <v>5788</v>
      </c>
      <c r="H1403" s="27" t="s">
        <v>96</v>
      </c>
      <c r="I1403">
        <v>1</v>
      </c>
    </row>
    <row r="1404" spans="1:9">
      <c r="A1404" t="s">
        <v>1819</v>
      </c>
      <c r="B1404" s="27" t="s">
        <v>3224</v>
      </c>
      <c r="C1404" s="27" t="s">
        <v>5770</v>
      </c>
      <c r="D1404">
        <f>VLOOKUP(tblTargetMedicos[[#This Row],[codigo_id]],[1]DIM_REPRESENTANTE_MEDICO!$C:$F,4,0)</f>
        <v>2</v>
      </c>
      <c r="E1404">
        <f>VLOOKUP(tblTargetMedicos[[#This Row],[codigo_id]],[1]DIM_REPRESENTANTE_MEDICO!$C:$F,3,0)</f>
        <v>6</v>
      </c>
      <c r="F1404" s="27" t="s">
        <v>5796</v>
      </c>
      <c r="G1404" s="27" t="s">
        <v>5784</v>
      </c>
      <c r="H1404" s="27" t="s">
        <v>96</v>
      </c>
      <c r="I1404">
        <v>1</v>
      </c>
    </row>
    <row r="1405" spans="1:9">
      <c r="A1405" t="s">
        <v>1820</v>
      </c>
      <c r="B1405" s="27" t="s">
        <v>3224</v>
      </c>
      <c r="C1405" s="27" t="s">
        <v>5770</v>
      </c>
      <c r="D1405">
        <f>VLOOKUP(tblTargetMedicos[[#This Row],[codigo_id]],[1]DIM_REPRESENTANTE_MEDICO!$C:$F,4,0)</f>
        <v>2</v>
      </c>
      <c r="E1405">
        <f>VLOOKUP(tblTargetMedicos[[#This Row],[codigo_id]],[1]DIM_REPRESENTANTE_MEDICO!$C:$F,3,0)</f>
        <v>6</v>
      </c>
      <c r="F1405" s="27" t="s">
        <v>5796</v>
      </c>
      <c r="G1405" s="27" t="s">
        <v>5784</v>
      </c>
      <c r="H1405" s="27" t="s">
        <v>97</v>
      </c>
      <c r="I1405">
        <v>1</v>
      </c>
    </row>
    <row r="1406" spans="1:9">
      <c r="A1406" t="s">
        <v>1821</v>
      </c>
      <c r="B1406" s="27" t="s">
        <v>3225</v>
      </c>
      <c r="C1406" s="27" t="s">
        <v>5771</v>
      </c>
      <c r="D1406">
        <f>VLOOKUP(tblTargetMedicos[[#This Row],[codigo_id]],[1]DIM_REPRESENTANTE_MEDICO!$C:$F,4,0)</f>
        <v>12</v>
      </c>
      <c r="E1406">
        <f>VLOOKUP(tblTargetMedicos[[#This Row],[codigo_id]],[1]DIM_REPRESENTANTE_MEDICO!$C:$F,3,0)</f>
        <v>1</v>
      </c>
      <c r="F1406" s="27" t="s">
        <v>5796</v>
      </c>
      <c r="G1406" s="27" t="s">
        <v>5779</v>
      </c>
      <c r="H1406" s="27" t="s">
        <v>96</v>
      </c>
      <c r="I1406">
        <v>1</v>
      </c>
    </row>
    <row r="1407" spans="1:9">
      <c r="A1407" t="s">
        <v>1822</v>
      </c>
      <c r="B1407" s="27" t="s">
        <v>3224</v>
      </c>
      <c r="C1407" s="27" t="s">
        <v>5770</v>
      </c>
      <c r="D1407">
        <f>VLOOKUP(tblTargetMedicos[[#This Row],[codigo_id]],[1]DIM_REPRESENTANTE_MEDICO!$C:$F,4,0)</f>
        <v>2</v>
      </c>
      <c r="E1407">
        <f>VLOOKUP(tblTargetMedicos[[#This Row],[codigo_id]],[1]DIM_REPRESENTANTE_MEDICO!$C:$F,3,0)</f>
        <v>6</v>
      </c>
      <c r="F1407" s="27" t="s">
        <v>5796</v>
      </c>
      <c r="G1407" s="27" t="s">
        <v>5785</v>
      </c>
      <c r="H1407" s="27" t="s">
        <v>95</v>
      </c>
      <c r="I1407">
        <v>1</v>
      </c>
    </row>
    <row r="1408" spans="1:9">
      <c r="A1408" t="s">
        <v>1823</v>
      </c>
      <c r="B1408" s="27" t="s">
        <v>3224</v>
      </c>
      <c r="C1408" s="27" t="s">
        <v>5770</v>
      </c>
      <c r="D1408">
        <f>VLOOKUP(tblTargetMedicos[[#This Row],[codigo_id]],[1]DIM_REPRESENTANTE_MEDICO!$C:$F,4,0)</f>
        <v>2</v>
      </c>
      <c r="E1408">
        <f>VLOOKUP(tblTargetMedicos[[#This Row],[codigo_id]],[1]DIM_REPRESENTANTE_MEDICO!$C:$F,3,0)</f>
        <v>6</v>
      </c>
      <c r="F1408" s="27" t="s">
        <v>5796</v>
      </c>
      <c r="G1408" s="27" t="s">
        <v>5779</v>
      </c>
      <c r="H1408" s="27" t="s">
        <v>95</v>
      </c>
      <c r="I1408">
        <v>1</v>
      </c>
    </row>
    <row r="1409" spans="1:9">
      <c r="A1409" t="s">
        <v>1824</v>
      </c>
      <c r="B1409" s="27" t="s">
        <v>3224</v>
      </c>
      <c r="C1409" s="27" t="s">
        <v>5770</v>
      </c>
      <c r="D1409">
        <f>VLOOKUP(tblTargetMedicos[[#This Row],[codigo_id]],[1]DIM_REPRESENTANTE_MEDICO!$C:$F,4,0)</f>
        <v>2</v>
      </c>
      <c r="E1409">
        <f>VLOOKUP(tblTargetMedicos[[#This Row],[codigo_id]],[1]DIM_REPRESENTANTE_MEDICO!$C:$F,3,0)</f>
        <v>6</v>
      </c>
      <c r="F1409" s="27" t="s">
        <v>5796</v>
      </c>
      <c r="G1409" s="27" t="s">
        <v>5786</v>
      </c>
      <c r="H1409" s="27" t="s">
        <v>96</v>
      </c>
      <c r="I1409">
        <v>1</v>
      </c>
    </row>
    <row r="1410" spans="1:9">
      <c r="A1410" t="s">
        <v>1825</v>
      </c>
      <c r="B1410" s="27" t="s">
        <v>3224</v>
      </c>
      <c r="C1410" s="27" t="s">
        <v>5770</v>
      </c>
      <c r="D1410">
        <f>VLOOKUP(tblTargetMedicos[[#This Row],[codigo_id]],[1]DIM_REPRESENTANTE_MEDICO!$C:$F,4,0)</f>
        <v>2</v>
      </c>
      <c r="E1410">
        <f>VLOOKUP(tblTargetMedicos[[#This Row],[codigo_id]],[1]DIM_REPRESENTANTE_MEDICO!$C:$F,3,0)</f>
        <v>6</v>
      </c>
      <c r="F1410" s="27" t="s">
        <v>5796</v>
      </c>
      <c r="G1410" s="27" t="s">
        <v>5779</v>
      </c>
      <c r="H1410" s="27" t="s">
        <v>96</v>
      </c>
      <c r="I1410">
        <v>1</v>
      </c>
    </row>
    <row r="1411" spans="1:9">
      <c r="A1411" t="s">
        <v>1826</v>
      </c>
      <c r="B1411" s="27" t="s">
        <v>3224</v>
      </c>
      <c r="C1411" s="27" t="s">
        <v>5770</v>
      </c>
      <c r="D1411">
        <f>VLOOKUP(tblTargetMedicos[[#This Row],[codigo_id]],[1]DIM_REPRESENTANTE_MEDICO!$C:$F,4,0)</f>
        <v>2</v>
      </c>
      <c r="E1411">
        <f>VLOOKUP(tblTargetMedicos[[#This Row],[codigo_id]],[1]DIM_REPRESENTANTE_MEDICO!$C:$F,3,0)</f>
        <v>6</v>
      </c>
      <c r="F1411" s="27" t="s">
        <v>5796</v>
      </c>
      <c r="G1411" s="27" t="s">
        <v>5785</v>
      </c>
      <c r="H1411" s="27" t="s">
        <v>95</v>
      </c>
      <c r="I1411">
        <v>1</v>
      </c>
    </row>
    <row r="1412" spans="1:9">
      <c r="A1412" t="s">
        <v>1827</v>
      </c>
      <c r="B1412" s="27" t="s">
        <v>3224</v>
      </c>
      <c r="C1412" s="27" t="s">
        <v>5770</v>
      </c>
      <c r="D1412">
        <f>VLOOKUP(tblTargetMedicos[[#This Row],[codigo_id]],[1]DIM_REPRESENTANTE_MEDICO!$C:$F,4,0)</f>
        <v>2</v>
      </c>
      <c r="E1412">
        <f>VLOOKUP(tblTargetMedicos[[#This Row],[codigo_id]],[1]DIM_REPRESENTANTE_MEDICO!$C:$F,3,0)</f>
        <v>6</v>
      </c>
      <c r="F1412" s="27" t="s">
        <v>5796</v>
      </c>
      <c r="G1412" s="27" t="s">
        <v>5784</v>
      </c>
      <c r="H1412" s="27" t="s">
        <v>95</v>
      </c>
      <c r="I1412">
        <v>1</v>
      </c>
    </row>
    <row r="1413" spans="1:9">
      <c r="A1413" t="s">
        <v>1828</v>
      </c>
      <c r="B1413" s="27" t="s">
        <v>3224</v>
      </c>
      <c r="C1413" s="27" t="s">
        <v>5770</v>
      </c>
      <c r="D1413">
        <f>VLOOKUP(tblTargetMedicos[[#This Row],[codigo_id]],[1]DIM_REPRESENTANTE_MEDICO!$C:$F,4,0)</f>
        <v>2</v>
      </c>
      <c r="E1413">
        <f>VLOOKUP(tblTargetMedicos[[#This Row],[codigo_id]],[1]DIM_REPRESENTANTE_MEDICO!$C:$F,3,0)</f>
        <v>6</v>
      </c>
      <c r="F1413" s="27" t="s">
        <v>5796</v>
      </c>
      <c r="G1413" s="27" t="s">
        <v>5785</v>
      </c>
      <c r="H1413" s="27" t="s">
        <v>95</v>
      </c>
      <c r="I1413">
        <v>1</v>
      </c>
    </row>
    <row r="1414" spans="1:9">
      <c r="A1414" t="s">
        <v>1829</v>
      </c>
      <c r="B1414" s="27" t="s">
        <v>3224</v>
      </c>
      <c r="C1414" s="27" t="s">
        <v>5770</v>
      </c>
      <c r="D1414">
        <f>VLOOKUP(tblTargetMedicos[[#This Row],[codigo_id]],[1]DIM_REPRESENTANTE_MEDICO!$C:$F,4,0)</f>
        <v>2</v>
      </c>
      <c r="E1414">
        <f>VLOOKUP(tblTargetMedicos[[#This Row],[codigo_id]],[1]DIM_REPRESENTANTE_MEDICO!$C:$F,3,0)</f>
        <v>6</v>
      </c>
      <c r="F1414" s="27" t="s">
        <v>5796</v>
      </c>
      <c r="G1414" s="27" t="s">
        <v>5785</v>
      </c>
      <c r="H1414" s="27" t="s">
        <v>96</v>
      </c>
      <c r="I1414">
        <v>1</v>
      </c>
    </row>
    <row r="1415" spans="1:9">
      <c r="A1415" t="s">
        <v>1830</v>
      </c>
      <c r="B1415" s="27" t="s">
        <v>3224</v>
      </c>
      <c r="C1415" s="27" t="s">
        <v>5770</v>
      </c>
      <c r="D1415">
        <f>VLOOKUP(tblTargetMedicos[[#This Row],[codigo_id]],[1]DIM_REPRESENTANTE_MEDICO!$C:$F,4,0)</f>
        <v>2</v>
      </c>
      <c r="E1415">
        <f>VLOOKUP(tblTargetMedicos[[#This Row],[codigo_id]],[1]DIM_REPRESENTANTE_MEDICO!$C:$F,3,0)</f>
        <v>6</v>
      </c>
      <c r="F1415" s="27" t="s">
        <v>5796</v>
      </c>
      <c r="G1415" s="27" t="s">
        <v>5784</v>
      </c>
      <c r="H1415" s="27" t="s">
        <v>96</v>
      </c>
      <c r="I1415">
        <v>1</v>
      </c>
    </row>
    <row r="1416" spans="1:9">
      <c r="A1416" t="s">
        <v>1831</v>
      </c>
      <c r="B1416" s="27" t="s">
        <v>3224</v>
      </c>
      <c r="C1416" s="27" t="s">
        <v>5770</v>
      </c>
      <c r="D1416">
        <f>VLOOKUP(tblTargetMedicos[[#This Row],[codigo_id]],[1]DIM_REPRESENTANTE_MEDICO!$C:$F,4,0)</f>
        <v>2</v>
      </c>
      <c r="E1416">
        <f>VLOOKUP(tblTargetMedicos[[#This Row],[codigo_id]],[1]DIM_REPRESENTANTE_MEDICO!$C:$F,3,0)</f>
        <v>6</v>
      </c>
      <c r="F1416" s="27" t="s">
        <v>5796</v>
      </c>
      <c r="G1416" s="27" t="s">
        <v>5784</v>
      </c>
      <c r="H1416" s="27" t="s">
        <v>96</v>
      </c>
      <c r="I1416">
        <v>1</v>
      </c>
    </row>
    <row r="1417" spans="1:9">
      <c r="A1417" t="s">
        <v>1832</v>
      </c>
      <c r="B1417" s="27" t="s">
        <v>3226</v>
      </c>
      <c r="C1417" s="27" t="s">
        <v>5772</v>
      </c>
      <c r="D1417">
        <f>VLOOKUP(tblTargetMedicos[[#This Row],[codigo_id]],[1]DIM_REPRESENTANTE_MEDICO!$C:$F,4,0)</f>
        <v>12</v>
      </c>
      <c r="E1417">
        <f>VLOOKUP(tblTargetMedicos[[#This Row],[codigo_id]],[1]DIM_REPRESENTANTE_MEDICO!$C:$F,3,0)</f>
        <v>1</v>
      </c>
      <c r="F1417" s="27" t="s">
        <v>5796</v>
      </c>
      <c r="G1417" s="27" t="s">
        <v>5785</v>
      </c>
      <c r="H1417" s="27" t="s">
        <v>96</v>
      </c>
      <c r="I1417">
        <v>1</v>
      </c>
    </row>
    <row r="1418" spans="1:9">
      <c r="A1418" t="s">
        <v>1833</v>
      </c>
      <c r="B1418" s="27" t="s">
        <v>3226</v>
      </c>
      <c r="C1418" s="27" t="s">
        <v>5772</v>
      </c>
      <c r="D1418">
        <f>VLOOKUP(tblTargetMedicos[[#This Row],[codigo_id]],[1]DIM_REPRESENTANTE_MEDICO!$C:$F,4,0)</f>
        <v>12</v>
      </c>
      <c r="E1418">
        <f>VLOOKUP(tblTargetMedicos[[#This Row],[codigo_id]],[1]DIM_REPRESENTANTE_MEDICO!$C:$F,3,0)</f>
        <v>1</v>
      </c>
      <c r="F1418" s="27" t="s">
        <v>5796</v>
      </c>
      <c r="G1418" s="27" t="s">
        <v>5784</v>
      </c>
      <c r="H1418" s="27" t="s">
        <v>97</v>
      </c>
      <c r="I1418">
        <v>1</v>
      </c>
    </row>
    <row r="1419" spans="1:9">
      <c r="A1419" t="s">
        <v>1834</v>
      </c>
      <c r="B1419" s="27" t="s">
        <v>3226</v>
      </c>
      <c r="C1419" s="27" t="s">
        <v>5772</v>
      </c>
      <c r="D1419">
        <f>VLOOKUP(tblTargetMedicos[[#This Row],[codigo_id]],[1]DIM_REPRESENTANTE_MEDICO!$C:$F,4,0)</f>
        <v>12</v>
      </c>
      <c r="E1419">
        <f>VLOOKUP(tblTargetMedicos[[#This Row],[codigo_id]],[1]DIM_REPRESENTANTE_MEDICO!$C:$F,3,0)</f>
        <v>1</v>
      </c>
      <c r="F1419" s="27" t="s">
        <v>5796</v>
      </c>
      <c r="G1419" s="27" t="s">
        <v>5779</v>
      </c>
      <c r="H1419" s="27" t="s">
        <v>96</v>
      </c>
      <c r="I1419">
        <v>1</v>
      </c>
    </row>
    <row r="1420" spans="1:9">
      <c r="A1420" t="s">
        <v>1835</v>
      </c>
      <c r="B1420" s="27" t="s">
        <v>3226</v>
      </c>
      <c r="C1420" s="27" t="s">
        <v>5772</v>
      </c>
      <c r="D1420">
        <f>VLOOKUP(tblTargetMedicos[[#This Row],[codigo_id]],[1]DIM_REPRESENTANTE_MEDICO!$C:$F,4,0)</f>
        <v>12</v>
      </c>
      <c r="E1420">
        <f>VLOOKUP(tblTargetMedicos[[#This Row],[codigo_id]],[1]DIM_REPRESENTANTE_MEDICO!$C:$F,3,0)</f>
        <v>1</v>
      </c>
      <c r="F1420" s="27" t="s">
        <v>5796</v>
      </c>
      <c r="G1420" s="27" t="s">
        <v>5786</v>
      </c>
      <c r="H1420" s="27" t="s">
        <v>96</v>
      </c>
      <c r="I1420">
        <v>1</v>
      </c>
    </row>
    <row r="1421" spans="1:9">
      <c r="A1421" t="s">
        <v>1836</v>
      </c>
      <c r="B1421" s="27" t="s">
        <v>3226</v>
      </c>
      <c r="C1421" s="27" t="s">
        <v>5772</v>
      </c>
      <c r="D1421">
        <f>VLOOKUP(tblTargetMedicos[[#This Row],[codigo_id]],[1]DIM_REPRESENTANTE_MEDICO!$C:$F,4,0)</f>
        <v>12</v>
      </c>
      <c r="E1421">
        <f>VLOOKUP(tblTargetMedicos[[#This Row],[codigo_id]],[1]DIM_REPRESENTANTE_MEDICO!$C:$F,3,0)</f>
        <v>1</v>
      </c>
      <c r="F1421" s="27" t="s">
        <v>5796</v>
      </c>
      <c r="G1421" s="27" t="s">
        <v>5784</v>
      </c>
      <c r="H1421" s="27" t="s">
        <v>96</v>
      </c>
      <c r="I1421">
        <v>1</v>
      </c>
    </row>
    <row r="1422" spans="1:9">
      <c r="A1422" t="s">
        <v>1837</v>
      </c>
      <c r="B1422" s="27" t="s">
        <v>3226</v>
      </c>
      <c r="C1422" s="27" t="s">
        <v>5772</v>
      </c>
      <c r="D1422">
        <f>VLOOKUP(tblTargetMedicos[[#This Row],[codigo_id]],[1]DIM_REPRESENTANTE_MEDICO!$C:$F,4,0)</f>
        <v>12</v>
      </c>
      <c r="E1422">
        <f>VLOOKUP(tblTargetMedicos[[#This Row],[codigo_id]],[1]DIM_REPRESENTANTE_MEDICO!$C:$F,3,0)</f>
        <v>1</v>
      </c>
      <c r="F1422" s="27" t="s">
        <v>5796</v>
      </c>
      <c r="G1422" s="27" t="s">
        <v>5780</v>
      </c>
      <c r="H1422" s="27" t="s">
        <v>97</v>
      </c>
      <c r="I1422">
        <v>1</v>
      </c>
    </row>
    <row r="1423" spans="1:9">
      <c r="A1423" t="s">
        <v>1838</v>
      </c>
      <c r="B1423" s="27" t="s">
        <v>3226</v>
      </c>
      <c r="C1423" s="27" t="s">
        <v>5772</v>
      </c>
      <c r="D1423">
        <f>VLOOKUP(tblTargetMedicos[[#This Row],[codigo_id]],[1]DIM_REPRESENTANTE_MEDICO!$C:$F,4,0)</f>
        <v>12</v>
      </c>
      <c r="E1423">
        <f>VLOOKUP(tblTargetMedicos[[#This Row],[codigo_id]],[1]DIM_REPRESENTANTE_MEDICO!$C:$F,3,0)</f>
        <v>1</v>
      </c>
      <c r="F1423" s="27" t="s">
        <v>5796</v>
      </c>
      <c r="G1423" s="27" t="s">
        <v>5785</v>
      </c>
      <c r="H1423" s="27" t="s">
        <v>96</v>
      </c>
      <c r="I1423">
        <v>1</v>
      </c>
    </row>
    <row r="1424" spans="1:9">
      <c r="A1424" t="s">
        <v>1839</v>
      </c>
      <c r="B1424" s="27" t="s">
        <v>3226</v>
      </c>
      <c r="C1424" s="27" t="s">
        <v>5772</v>
      </c>
      <c r="D1424">
        <f>VLOOKUP(tblTargetMedicos[[#This Row],[codigo_id]],[1]DIM_REPRESENTANTE_MEDICO!$C:$F,4,0)</f>
        <v>12</v>
      </c>
      <c r="E1424">
        <f>VLOOKUP(tblTargetMedicos[[#This Row],[codigo_id]],[1]DIM_REPRESENTANTE_MEDICO!$C:$F,3,0)</f>
        <v>1</v>
      </c>
      <c r="F1424" s="27" t="s">
        <v>5796</v>
      </c>
      <c r="G1424" s="27" t="s">
        <v>5783</v>
      </c>
      <c r="H1424" s="27" t="s">
        <v>96</v>
      </c>
      <c r="I1424">
        <v>1</v>
      </c>
    </row>
    <row r="1425" spans="1:9">
      <c r="A1425" t="s">
        <v>1840</v>
      </c>
      <c r="B1425" s="27" t="s">
        <v>3226</v>
      </c>
      <c r="C1425" s="27" t="s">
        <v>5772</v>
      </c>
      <c r="D1425">
        <f>VLOOKUP(tblTargetMedicos[[#This Row],[codigo_id]],[1]DIM_REPRESENTANTE_MEDICO!$C:$F,4,0)</f>
        <v>12</v>
      </c>
      <c r="E1425">
        <f>VLOOKUP(tblTargetMedicos[[#This Row],[codigo_id]],[1]DIM_REPRESENTANTE_MEDICO!$C:$F,3,0)</f>
        <v>1</v>
      </c>
      <c r="F1425" s="27" t="s">
        <v>5796</v>
      </c>
      <c r="G1425" s="27" t="s">
        <v>5786</v>
      </c>
      <c r="H1425" s="27" t="s">
        <v>96</v>
      </c>
      <c r="I1425">
        <v>1</v>
      </c>
    </row>
    <row r="1426" spans="1:9">
      <c r="A1426" t="s">
        <v>1841</v>
      </c>
      <c r="B1426" s="27" t="s">
        <v>3226</v>
      </c>
      <c r="C1426" s="27" t="s">
        <v>5772</v>
      </c>
      <c r="D1426">
        <f>VLOOKUP(tblTargetMedicos[[#This Row],[codigo_id]],[1]DIM_REPRESENTANTE_MEDICO!$C:$F,4,0)</f>
        <v>12</v>
      </c>
      <c r="E1426">
        <f>VLOOKUP(tblTargetMedicos[[#This Row],[codigo_id]],[1]DIM_REPRESENTANTE_MEDICO!$C:$F,3,0)</f>
        <v>1</v>
      </c>
      <c r="F1426" s="27" t="s">
        <v>5796</v>
      </c>
      <c r="G1426" s="27" t="s">
        <v>5782</v>
      </c>
      <c r="H1426" s="27" t="s">
        <v>96</v>
      </c>
      <c r="I1426">
        <v>1</v>
      </c>
    </row>
    <row r="1427" spans="1:9">
      <c r="A1427" t="s">
        <v>1842</v>
      </c>
      <c r="B1427" s="27" t="s">
        <v>3226</v>
      </c>
      <c r="C1427" s="27" t="s">
        <v>5772</v>
      </c>
      <c r="D1427">
        <f>VLOOKUP(tblTargetMedicos[[#This Row],[codigo_id]],[1]DIM_REPRESENTANTE_MEDICO!$C:$F,4,0)</f>
        <v>12</v>
      </c>
      <c r="E1427">
        <f>VLOOKUP(tblTargetMedicos[[#This Row],[codigo_id]],[1]DIM_REPRESENTANTE_MEDICO!$C:$F,3,0)</f>
        <v>1</v>
      </c>
      <c r="F1427" s="27" t="s">
        <v>5796</v>
      </c>
      <c r="G1427" s="27" t="s">
        <v>5779</v>
      </c>
      <c r="H1427" s="27" t="s">
        <v>96</v>
      </c>
      <c r="I1427">
        <v>1</v>
      </c>
    </row>
    <row r="1428" spans="1:9">
      <c r="A1428" t="s">
        <v>1843</v>
      </c>
      <c r="B1428" s="27" t="s">
        <v>3226</v>
      </c>
      <c r="C1428" s="27" t="s">
        <v>5772</v>
      </c>
      <c r="D1428">
        <f>VLOOKUP(tblTargetMedicos[[#This Row],[codigo_id]],[1]DIM_REPRESENTANTE_MEDICO!$C:$F,4,0)</f>
        <v>12</v>
      </c>
      <c r="E1428">
        <f>VLOOKUP(tblTargetMedicos[[#This Row],[codigo_id]],[1]DIM_REPRESENTANTE_MEDICO!$C:$F,3,0)</f>
        <v>1</v>
      </c>
      <c r="F1428" s="27" t="s">
        <v>5796</v>
      </c>
      <c r="G1428" s="27" t="s">
        <v>5783</v>
      </c>
      <c r="H1428" s="27" t="s">
        <v>97</v>
      </c>
      <c r="I1428">
        <v>1</v>
      </c>
    </row>
    <row r="1429" spans="1:9">
      <c r="A1429" t="s">
        <v>1844</v>
      </c>
      <c r="B1429" s="27" t="s">
        <v>3226</v>
      </c>
      <c r="C1429" s="27" t="s">
        <v>5772</v>
      </c>
      <c r="D1429">
        <f>VLOOKUP(tblTargetMedicos[[#This Row],[codigo_id]],[1]DIM_REPRESENTANTE_MEDICO!$C:$F,4,0)</f>
        <v>12</v>
      </c>
      <c r="E1429">
        <f>VLOOKUP(tblTargetMedicos[[#This Row],[codigo_id]],[1]DIM_REPRESENTANTE_MEDICO!$C:$F,3,0)</f>
        <v>1</v>
      </c>
      <c r="F1429" s="27" t="s">
        <v>5796</v>
      </c>
      <c r="G1429" s="27" t="s">
        <v>5782</v>
      </c>
      <c r="H1429" s="27" t="s">
        <v>96</v>
      </c>
      <c r="I1429">
        <v>1</v>
      </c>
    </row>
    <row r="1430" spans="1:9">
      <c r="A1430" t="s">
        <v>1845</v>
      </c>
      <c r="B1430" s="27" t="s">
        <v>3226</v>
      </c>
      <c r="C1430" s="27" t="s">
        <v>5772</v>
      </c>
      <c r="D1430">
        <f>VLOOKUP(tblTargetMedicos[[#This Row],[codigo_id]],[1]DIM_REPRESENTANTE_MEDICO!$C:$F,4,0)</f>
        <v>12</v>
      </c>
      <c r="E1430">
        <f>VLOOKUP(tblTargetMedicos[[#This Row],[codigo_id]],[1]DIM_REPRESENTANTE_MEDICO!$C:$F,3,0)</f>
        <v>1</v>
      </c>
      <c r="F1430" s="27" t="s">
        <v>5796</v>
      </c>
      <c r="G1430" s="27" t="s">
        <v>5783</v>
      </c>
      <c r="H1430" s="27" t="s">
        <v>97</v>
      </c>
      <c r="I1430">
        <v>1</v>
      </c>
    </row>
    <row r="1431" spans="1:9">
      <c r="A1431" t="s">
        <v>1846</v>
      </c>
      <c r="B1431" s="27" t="s">
        <v>3226</v>
      </c>
      <c r="C1431" s="27" t="s">
        <v>5772</v>
      </c>
      <c r="D1431">
        <f>VLOOKUP(tblTargetMedicos[[#This Row],[codigo_id]],[1]DIM_REPRESENTANTE_MEDICO!$C:$F,4,0)</f>
        <v>12</v>
      </c>
      <c r="E1431">
        <f>VLOOKUP(tblTargetMedicos[[#This Row],[codigo_id]],[1]DIM_REPRESENTANTE_MEDICO!$C:$F,3,0)</f>
        <v>1</v>
      </c>
      <c r="F1431" s="27" t="s">
        <v>5796</v>
      </c>
      <c r="G1431" s="27" t="s">
        <v>5786</v>
      </c>
      <c r="H1431" s="27" t="s">
        <v>97</v>
      </c>
      <c r="I1431">
        <v>1</v>
      </c>
    </row>
    <row r="1432" spans="1:9">
      <c r="A1432" t="s">
        <v>1847</v>
      </c>
      <c r="B1432" s="27" t="s">
        <v>3226</v>
      </c>
      <c r="C1432" s="27" t="s">
        <v>5772</v>
      </c>
      <c r="D1432">
        <f>VLOOKUP(tblTargetMedicos[[#This Row],[codigo_id]],[1]DIM_REPRESENTANTE_MEDICO!$C:$F,4,0)</f>
        <v>12</v>
      </c>
      <c r="E1432">
        <f>VLOOKUP(tblTargetMedicos[[#This Row],[codigo_id]],[1]DIM_REPRESENTANTE_MEDICO!$C:$F,3,0)</f>
        <v>1</v>
      </c>
      <c r="F1432" s="27" t="s">
        <v>5796</v>
      </c>
      <c r="G1432" s="27" t="s">
        <v>5785</v>
      </c>
      <c r="H1432" s="27" t="s">
        <v>96</v>
      </c>
      <c r="I1432">
        <v>1</v>
      </c>
    </row>
    <row r="1433" spans="1:9">
      <c r="A1433" t="s">
        <v>1848</v>
      </c>
      <c r="B1433" s="27" t="s">
        <v>3226</v>
      </c>
      <c r="C1433" s="27" t="s">
        <v>5772</v>
      </c>
      <c r="D1433">
        <f>VLOOKUP(tblTargetMedicos[[#This Row],[codigo_id]],[1]DIM_REPRESENTANTE_MEDICO!$C:$F,4,0)</f>
        <v>12</v>
      </c>
      <c r="E1433">
        <f>VLOOKUP(tblTargetMedicos[[#This Row],[codigo_id]],[1]DIM_REPRESENTANTE_MEDICO!$C:$F,3,0)</f>
        <v>1</v>
      </c>
      <c r="F1433" s="27" t="s">
        <v>5796</v>
      </c>
      <c r="G1433" s="27" t="s">
        <v>5786</v>
      </c>
      <c r="H1433" s="27" t="s">
        <v>96</v>
      </c>
      <c r="I1433">
        <v>1</v>
      </c>
    </row>
    <row r="1434" spans="1:9">
      <c r="A1434" t="s">
        <v>1849</v>
      </c>
      <c r="B1434" s="27" t="s">
        <v>3226</v>
      </c>
      <c r="C1434" s="27" t="s">
        <v>5772</v>
      </c>
      <c r="D1434">
        <f>VLOOKUP(tblTargetMedicos[[#This Row],[codigo_id]],[1]DIM_REPRESENTANTE_MEDICO!$C:$F,4,0)</f>
        <v>12</v>
      </c>
      <c r="E1434">
        <f>VLOOKUP(tblTargetMedicos[[#This Row],[codigo_id]],[1]DIM_REPRESENTANTE_MEDICO!$C:$F,3,0)</f>
        <v>1</v>
      </c>
      <c r="F1434" s="27" t="s">
        <v>5796</v>
      </c>
      <c r="G1434" s="27" t="s">
        <v>5785</v>
      </c>
      <c r="H1434" s="27" t="s">
        <v>96</v>
      </c>
      <c r="I1434">
        <v>1</v>
      </c>
    </row>
    <row r="1435" spans="1:9">
      <c r="A1435" t="s">
        <v>1850</v>
      </c>
      <c r="B1435" s="27" t="s">
        <v>3226</v>
      </c>
      <c r="C1435" s="27" t="s">
        <v>5772</v>
      </c>
      <c r="D1435">
        <f>VLOOKUP(tblTargetMedicos[[#This Row],[codigo_id]],[1]DIM_REPRESENTANTE_MEDICO!$C:$F,4,0)</f>
        <v>12</v>
      </c>
      <c r="E1435">
        <f>VLOOKUP(tblTargetMedicos[[#This Row],[codigo_id]],[1]DIM_REPRESENTANTE_MEDICO!$C:$F,3,0)</f>
        <v>1</v>
      </c>
      <c r="F1435" s="27" t="s">
        <v>5796</v>
      </c>
      <c r="G1435" s="27" t="s">
        <v>5786</v>
      </c>
      <c r="H1435" s="27" t="s">
        <v>96</v>
      </c>
      <c r="I1435">
        <v>1</v>
      </c>
    </row>
    <row r="1436" spans="1:9">
      <c r="A1436" t="s">
        <v>1851</v>
      </c>
      <c r="B1436" s="27" t="s">
        <v>3226</v>
      </c>
      <c r="C1436" s="27" t="s">
        <v>5772</v>
      </c>
      <c r="D1436">
        <f>VLOOKUP(tblTargetMedicos[[#This Row],[codigo_id]],[1]DIM_REPRESENTANTE_MEDICO!$C:$F,4,0)</f>
        <v>12</v>
      </c>
      <c r="E1436">
        <f>VLOOKUP(tblTargetMedicos[[#This Row],[codigo_id]],[1]DIM_REPRESENTANTE_MEDICO!$C:$F,3,0)</f>
        <v>1</v>
      </c>
      <c r="F1436" s="27" t="s">
        <v>5796</v>
      </c>
      <c r="G1436" s="27" t="s">
        <v>5780</v>
      </c>
      <c r="H1436" s="27" t="s">
        <v>96</v>
      </c>
      <c r="I1436">
        <v>1</v>
      </c>
    </row>
    <row r="1437" spans="1:9">
      <c r="A1437" t="s">
        <v>1852</v>
      </c>
      <c r="B1437" s="27" t="s">
        <v>3226</v>
      </c>
      <c r="C1437" s="27" t="s">
        <v>5772</v>
      </c>
      <c r="D1437">
        <f>VLOOKUP(tblTargetMedicos[[#This Row],[codigo_id]],[1]DIM_REPRESENTANTE_MEDICO!$C:$F,4,0)</f>
        <v>12</v>
      </c>
      <c r="E1437">
        <f>VLOOKUP(tblTargetMedicos[[#This Row],[codigo_id]],[1]DIM_REPRESENTANTE_MEDICO!$C:$F,3,0)</f>
        <v>1</v>
      </c>
      <c r="F1437" s="27" t="s">
        <v>5796</v>
      </c>
      <c r="G1437" s="27" t="s">
        <v>5788</v>
      </c>
      <c r="H1437" s="27" t="s">
        <v>96</v>
      </c>
      <c r="I1437">
        <v>1</v>
      </c>
    </row>
    <row r="1438" spans="1:9">
      <c r="A1438" t="s">
        <v>1853</v>
      </c>
      <c r="B1438" s="27" t="s">
        <v>3226</v>
      </c>
      <c r="C1438" s="27" t="s">
        <v>5772</v>
      </c>
      <c r="D1438">
        <f>VLOOKUP(tblTargetMedicos[[#This Row],[codigo_id]],[1]DIM_REPRESENTANTE_MEDICO!$C:$F,4,0)</f>
        <v>12</v>
      </c>
      <c r="E1438">
        <f>VLOOKUP(tblTargetMedicos[[#This Row],[codigo_id]],[1]DIM_REPRESENTANTE_MEDICO!$C:$F,3,0)</f>
        <v>1</v>
      </c>
      <c r="F1438" s="27" t="s">
        <v>5796</v>
      </c>
      <c r="G1438" s="27" t="s">
        <v>5780</v>
      </c>
      <c r="H1438" s="27" t="s">
        <v>97</v>
      </c>
      <c r="I1438">
        <v>1</v>
      </c>
    </row>
    <row r="1439" spans="1:9">
      <c r="A1439" t="s">
        <v>1854</v>
      </c>
      <c r="B1439" s="27" t="s">
        <v>3226</v>
      </c>
      <c r="C1439" s="27" t="s">
        <v>5772</v>
      </c>
      <c r="D1439">
        <f>VLOOKUP(tblTargetMedicos[[#This Row],[codigo_id]],[1]DIM_REPRESENTANTE_MEDICO!$C:$F,4,0)</f>
        <v>12</v>
      </c>
      <c r="E1439">
        <f>VLOOKUP(tblTargetMedicos[[#This Row],[codigo_id]],[1]DIM_REPRESENTANTE_MEDICO!$C:$F,3,0)</f>
        <v>1</v>
      </c>
      <c r="F1439" s="27" t="s">
        <v>5796</v>
      </c>
      <c r="G1439" s="27" t="s">
        <v>5784</v>
      </c>
      <c r="H1439" s="27" t="s">
        <v>96</v>
      </c>
      <c r="I1439">
        <v>1</v>
      </c>
    </row>
    <row r="1440" spans="1:9">
      <c r="A1440" t="s">
        <v>1855</v>
      </c>
      <c r="B1440" s="27" t="s">
        <v>3226</v>
      </c>
      <c r="C1440" s="27" t="s">
        <v>5772</v>
      </c>
      <c r="D1440">
        <f>VLOOKUP(tblTargetMedicos[[#This Row],[codigo_id]],[1]DIM_REPRESENTANTE_MEDICO!$C:$F,4,0)</f>
        <v>12</v>
      </c>
      <c r="E1440">
        <f>VLOOKUP(tblTargetMedicos[[#This Row],[codigo_id]],[1]DIM_REPRESENTANTE_MEDICO!$C:$F,3,0)</f>
        <v>1</v>
      </c>
      <c r="F1440" s="27" t="s">
        <v>5796</v>
      </c>
      <c r="G1440" s="27" t="s">
        <v>5779</v>
      </c>
      <c r="H1440" s="27" t="s">
        <v>96</v>
      </c>
      <c r="I1440">
        <v>1</v>
      </c>
    </row>
    <row r="1441" spans="1:9">
      <c r="A1441" t="s">
        <v>1856</v>
      </c>
      <c r="B1441" s="27" t="s">
        <v>3226</v>
      </c>
      <c r="C1441" s="27" t="s">
        <v>5772</v>
      </c>
      <c r="D1441">
        <f>VLOOKUP(tblTargetMedicos[[#This Row],[codigo_id]],[1]DIM_REPRESENTANTE_MEDICO!$C:$F,4,0)</f>
        <v>12</v>
      </c>
      <c r="E1441">
        <f>VLOOKUP(tblTargetMedicos[[#This Row],[codigo_id]],[1]DIM_REPRESENTANTE_MEDICO!$C:$F,3,0)</f>
        <v>1</v>
      </c>
      <c r="F1441" s="27" t="s">
        <v>5796</v>
      </c>
      <c r="G1441" s="27" t="s">
        <v>5783</v>
      </c>
      <c r="H1441" s="27" t="s">
        <v>96</v>
      </c>
      <c r="I1441">
        <v>1</v>
      </c>
    </row>
    <row r="1442" spans="1:9">
      <c r="A1442" t="s">
        <v>1857</v>
      </c>
      <c r="B1442" s="27" t="s">
        <v>3226</v>
      </c>
      <c r="C1442" s="27" t="s">
        <v>5772</v>
      </c>
      <c r="D1442">
        <f>VLOOKUP(tblTargetMedicos[[#This Row],[codigo_id]],[1]DIM_REPRESENTANTE_MEDICO!$C:$F,4,0)</f>
        <v>12</v>
      </c>
      <c r="E1442">
        <f>VLOOKUP(tblTargetMedicos[[#This Row],[codigo_id]],[1]DIM_REPRESENTANTE_MEDICO!$C:$F,3,0)</f>
        <v>1</v>
      </c>
      <c r="F1442" s="27" t="s">
        <v>5796</v>
      </c>
      <c r="G1442" s="27" t="s">
        <v>5784</v>
      </c>
      <c r="H1442" s="27" t="s">
        <v>96</v>
      </c>
      <c r="I1442">
        <v>1</v>
      </c>
    </row>
    <row r="1443" spans="1:9">
      <c r="A1443" t="s">
        <v>1858</v>
      </c>
      <c r="B1443" s="27" t="s">
        <v>3226</v>
      </c>
      <c r="C1443" s="27" t="s">
        <v>5772</v>
      </c>
      <c r="D1443">
        <f>VLOOKUP(tblTargetMedicos[[#This Row],[codigo_id]],[1]DIM_REPRESENTANTE_MEDICO!$C:$F,4,0)</f>
        <v>12</v>
      </c>
      <c r="E1443">
        <f>VLOOKUP(tblTargetMedicos[[#This Row],[codigo_id]],[1]DIM_REPRESENTANTE_MEDICO!$C:$F,3,0)</f>
        <v>1</v>
      </c>
      <c r="F1443" s="27" t="s">
        <v>5796</v>
      </c>
      <c r="G1443" s="27" t="s">
        <v>5780</v>
      </c>
      <c r="H1443" s="27" t="s">
        <v>96</v>
      </c>
      <c r="I1443">
        <v>1</v>
      </c>
    </row>
    <row r="1444" spans="1:9">
      <c r="A1444" t="s">
        <v>1859</v>
      </c>
      <c r="B1444" s="27" t="s">
        <v>3226</v>
      </c>
      <c r="C1444" s="27" t="s">
        <v>5772</v>
      </c>
      <c r="D1444">
        <f>VLOOKUP(tblTargetMedicos[[#This Row],[codigo_id]],[1]DIM_REPRESENTANTE_MEDICO!$C:$F,4,0)</f>
        <v>12</v>
      </c>
      <c r="E1444">
        <f>VLOOKUP(tblTargetMedicos[[#This Row],[codigo_id]],[1]DIM_REPRESENTANTE_MEDICO!$C:$F,3,0)</f>
        <v>1</v>
      </c>
      <c r="F1444" s="27" t="s">
        <v>5796</v>
      </c>
      <c r="G1444" s="27" t="s">
        <v>5783</v>
      </c>
      <c r="H1444" s="27" t="s">
        <v>96</v>
      </c>
      <c r="I1444">
        <v>1</v>
      </c>
    </row>
    <row r="1445" spans="1:9">
      <c r="A1445" t="s">
        <v>1860</v>
      </c>
      <c r="B1445" s="27" t="s">
        <v>3226</v>
      </c>
      <c r="C1445" s="27" t="s">
        <v>5772</v>
      </c>
      <c r="D1445">
        <f>VLOOKUP(tblTargetMedicos[[#This Row],[codigo_id]],[1]DIM_REPRESENTANTE_MEDICO!$C:$F,4,0)</f>
        <v>12</v>
      </c>
      <c r="E1445">
        <f>VLOOKUP(tblTargetMedicos[[#This Row],[codigo_id]],[1]DIM_REPRESENTANTE_MEDICO!$C:$F,3,0)</f>
        <v>1</v>
      </c>
      <c r="F1445" s="27" t="s">
        <v>5796</v>
      </c>
      <c r="G1445" s="27" t="s">
        <v>5783</v>
      </c>
      <c r="H1445" s="27" t="s">
        <v>95</v>
      </c>
      <c r="I1445">
        <v>1</v>
      </c>
    </row>
    <row r="1446" spans="1:9">
      <c r="A1446" t="s">
        <v>1861</v>
      </c>
      <c r="B1446" s="27" t="s">
        <v>3226</v>
      </c>
      <c r="C1446" s="27" t="s">
        <v>5772</v>
      </c>
      <c r="D1446">
        <f>VLOOKUP(tblTargetMedicos[[#This Row],[codigo_id]],[1]DIM_REPRESENTANTE_MEDICO!$C:$F,4,0)</f>
        <v>12</v>
      </c>
      <c r="E1446">
        <f>VLOOKUP(tblTargetMedicos[[#This Row],[codigo_id]],[1]DIM_REPRESENTANTE_MEDICO!$C:$F,3,0)</f>
        <v>1</v>
      </c>
      <c r="F1446" s="27" t="s">
        <v>5796</v>
      </c>
      <c r="G1446" s="27" t="s">
        <v>5787</v>
      </c>
      <c r="H1446" s="27" t="s">
        <v>96</v>
      </c>
      <c r="I1446">
        <v>1</v>
      </c>
    </row>
    <row r="1447" spans="1:9">
      <c r="A1447" t="s">
        <v>1862</v>
      </c>
      <c r="B1447" s="27" t="s">
        <v>3226</v>
      </c>
      <c r="C1447" s="27" t="s">
        <v>5772</v>
      </c>
      <c r="D1447">
        <f>VLOOKUP(tblTargetMedicos[[#This Row],[codigo_id]],[1]DIM_REPRESENTANTE_MEDICO!$C:$F,4,0)</f>
        <v>12</v>
      </c>
      <c r="E1447">
        <f>VLOOKUP(tblTargetMedicos[[#This Row],[codigo_id]],[1]DIM_REPRESENTANTE_MEDICO!$C:$F,3,0)</f>
        <v>1</v>
      </c>
      <c r="F1447" s="27" t="s">
        <v>5796</v>
      </c>
      <c r="G1447" s="27" t="s">
        <v>5785</v>
      </c>
      <c r="H1447" s="27" t="s">
        <v>95</v>
      </c>
      <c r="I1447">
        <v>1</v>
      </c>
    </row>
    <row r="1448" spans="1:9">
      <c r="A1448" t="s">
        <v>1863</v>
      </c>
      <c r="B1448" s="27" t="s">
        <v>3226</v>
      </c>
      <c r="C1448" s="27" t="s">
        <v>5772</v>
      </c>
      <c r="D1448">
        <f>VLOOKUP(tblTargetMedicos[[#This Row],[codigo_id]],[1]DIM_REPRESENTANTE_MEDICO!$C:$F,4,0)</f>
        <v>12</v>
      </c>
      <c r="E1448">
        <f>VLOOKUP(tblTargetMedicos[[#This Row],[codigo_id]],[1]DIM_REPRESENTANTE_MEDICO!$C:$F,3,0)</f>
        <v>1</v>
      </c>
      <c r="F1448" s="27" t="s">
        <v>5796</v>
      </c>
      <c r="G1448" s="27" t="s">
        <v>5784</v>
      </c>
      <c r="H1448" s="27" t="s">
        <v>96</v>
      </c>
      <c r="I1448">
        <v>1</v>
      </c>
    </row>
    <row r="1449" spans="1:9">
      <c r="A1449" t="s">
        <v>1864</v>
      </c>
      <c r="B1449" s="27" t="s">
        <v>3226</v>
      </c>
      <c r="C1449" s="27" t="s">
        <v>5772</v>
      </c>
      <c r="D1449">
        <f>VLOOKUP(tblTargetMedicos[[#This Row],[codigo_id]],[1]DIM_REPRESENTANTE_MEDICO!$C:$F,4,0)</f>
        <v>12</v>
      </c>
      <c r="E1449">
        <f>VLOOKUP(tblTargetMedicos[[#This Row],[codigo_id]],[1]DIM_REPRESENTANTE_MEDICO!$C:$F,3,0)</f>
        <v>1</v>
      </c>
      <c r="F1449" s="27" t="s">
        <v>5796</v>
      </c>
      <c r="G1449" s="27" t="s">
        <v>5784</v>
      </c>
      <c r="H1449" s="27" t="s">
        <v>96</v>
      </c>
      <c r="I1449">
        <v>1</v>
      </c>
    </row>
    <row r="1450" spans="1:9">
      <c r="A1450" t="s">
        <v>1865</v>
      </c>
      <c r="B1450" s="27" t="s">
        <v>3226</v>
      </c>
      <c r="C1450" s="27" t="s">
        <v>5772</v>
      </c>
      <c r="D1450">
        <f>VLOOKUP(tblTargetMedicos[[#This Row],[codigo_id]],[1]DIM_REPRESENTANTE_MEDICO!$C:$F,4,0)</f>
        <v>12</v>
      </c>
      <c r="E1450">
        <f>VLOOKUP(tblTargetMedicos[[#This Row],[codigo_id]],[1]DIM_REPRESENTANTE_MEDICO!$C:$F,3,0)</f>
        <v>1</v>
      </c>
      <c r="F1450" s="27" t="s">
        <v>5796</v>
      </c>
      <c r="G1450" s="27" t="s">
        <v>5787</v>
      </c>
      <c r="H1450" s="27" t="s">
        <v>96</v>
      </c>
      <c r="I1450">
        <v>1</v>
      </c>
    </row>
    <row r="1451" spans="1:9">
      <c r="A1451" t="s">
        <v>1866</v>
      </c>
      <c r="B1451" s="27" t="s">
        <v>3226</v>
      </c>
      <c r="C1451" s="27" t="s">
        <v>5772</v>
      </c>
      <c r="D1451">
        <f>VLOOKUP(tblTargetMedicos[[#This Row],[codigo_id]],[1]DIM_REPRESENTANTE_MEDICO!$C:$F,4,0)</f>
        <v>12</v>
      </c>
      <c r="E1451">
        <f>VLOOKUP(tblTargetMedicos[[#This Row],[codigo_id]],[1]DIM_REPRESENTANTE_MEDICO!$C:$F,3,0)</f>
        <v>1</v>
      </c>
      <c r="F1451" s="27" t="s">
        <v>5796</v>
      </c>
      <c r="G1451" s="27" t="s">
        <v>5785</v>
      </c>
      <c r="H1451" s="27" t="s">
        <v>97</v>
      </c>
      <c r="I1451">
        <v>1</v>
      </c>
    </row>
    <row r="1452" spans="1:9">
      <c r="A1452" t="s">
        <v>1867</v>
      </c>
      <c r="B1452" s="27" t="s">
        <v>3226</v>
      </c>
      <c r="C1452" s="27" t="s">
        <v>5772</v>
      </c>
      <c r="D1452">
        <f>VLOOKUP(tblTargetMedicos[[#This Row],[codigo_id]],[1]DIM_REPRESENTANTE_MEDICO!$C:$F,4,0)</f>
        <v>12</v>
      </c>
      <c r="E1452">
        <f>VLOOKUP(tblTargetMedicos[[#This Row],[codigo_id]],[1]DIM_REPRESENTANTE_MEDICO!$C:$F,3,0)</f>
        <v>1</v>
      </c>
      <c r="F1452" s="27" t="s">
        <v>5796</v>
      </c>
      <c r="G1452" s="27" t="s">
        <v>5784</v>
      </c>
      <c r="H1452" s="27" t="s">
        <v>97</v>
      </c>
      <c r="I1452">
        <v>1</v>
      </c>
    </row>
    <row r="1453" spans="1:9">
      <c r="A1453" t="s">
        <v>1868</v>
      </c>
      <c r="B1453" s="27" t="s">
        <v>3226</v>
      </c>
      <c r="C1453" s="27" t="s">
        <v>5772</v>
      </c>
      <c r="D1453">
        <f>VLOOKUP(tblTargetMedicos[[#This Row],[codigo_id]],[1]DIM_REPRESENTANTE_MEDICO!$C:$F,4,0)</f>
        <v>12</v>
      </c>
      <c r="E1453">
        <f>VLOOKUP(tblTargetMedicos[[#This Row],[codigo_id]],[1]DIM_REPRESENTANTE_MEDICO!$C:$F,3,0)</f>
        <v>1</v>
      </c>
      <c r="F1453" s="27" t="s">
        <v>5796</v>
      </c>
      <c r="G1453" s="27" t="s">
        <v>5782</v>
      </c>
      <c r="H1453" s="27" t="s">
        <v>97</v>
      </c>
      <c r="I1453">
        <v>1</v>
      </c>
    </row>
    <row r="1454" spans="1:9">
      <c r="A1454" t="s">
        <v>1869</v>
      </c>
      <c r="B1454" s="27" t="s">
        <v>3226</v>
      </c>
      <c r="C1454" s="27" t="s">
        <v>5772</v>
      </c>
      <c r="D1454">
        <f>VLOOKUP(tblTargetMedicos[[#This Row],[codigo_id]],[1]DIM_REPRESENTANTE_MEDICO!$C:$F,4,0)</f>
        <v>12</v>
      </c>
      <c r="E1454">
        <f>VLOOKUP(tblTargetMedicos[[#This Row],[codigo_id]],[1]DIM_REPRESENTANTE_MEDICO!$C:$F,3,0)</f>
        <v>1</v>
      </c>
      <c r="F1454" s="27" t="s">
        <v>5796</v>
      </c>
      <c r="G1454" s="27" t="s">
        <v>5784</v>
      </c>
      <c r="H1454" s="27" t="s">
        <v>95</v>
      </c>
      <c r="I1454">
        <v>1</v>
      </c>
    </row>
    <row r="1455" spans="1:9">
      <c r="A1455" t="s">
        <v>1870</v>
      </c>
      <c r="B1455" s="27" t="s">
        <v>3226</v>
      </c>
      <c r="C1455" s="27" t="s">
        <v>5772</v>
      </c>
      <c r="D1455">
        <f>VLOOKUP(tblTargetMedicos[[#This Row],[codigo_id]],[1]DIM_REPRESENTANTE_MEDICO!$C:$F,4,0)</f>
        <v>12</v>
      </c>
      <c r="E1455">
        <f>VLOOKUP(tblTargetMedicos[[#This Row],[codigo_id]],[1]DIM_REPRESENTANTE_MEDICO!$C:$F,3,0)</f>
        <v>1</v>
      </c>
      <c r="F1455" s="27" t="s">
        <v>5796</v>
      </c>
      <c r="G1455" s="27" t="s">
        <v>5785</v>
      </c>
      <c r="H1455" s="27" t="s">
        <v>96</v>
      </c>
      <c r="I1455">
        <v>1</v>
      </c>
    </row>
    <row r="1456" spans="1:9">
      <c r="A1456" t="s">
        <v>1871</v>
      </c>
      <c r="B1456" s="27" t="s">
        <v>3226</v>
      </c>
      <c r="C1456" s="27" t="s">
        <v>5772</v>
      </c>
      <c r="D1456">
        <f>VLOOKUP(tblTargetMedicos[[#This Row],[codigo_id]],[1]DIM_REPRESENTANTE_MEDICO!$C:$F,4,0)</f>
        <v>12</v>
      </c>
      <c r="E1456">
        <f>VLOOKUP(tblTargetMedicos[[#This Row],[codigo_id]],[1]DIM_REPRESENTANTE_MEDICO!$C:$F,3,0)</f>
        <v>1</v>
      </c>
      <c r="F1456" s="27" t="s">
        <v>5796</v>
      </c>
      <c r="G1456" s="27" t="s">
        <v>5783</v>
      </c>
      <c r="H1456" s="27" t="s">
        <v>96</v>
      </c>
      <c r="I1456">
        <v>1</v>
      </c>
    </row>
    <row r="1457" spans="1:9">
      <c r="A1457" t="s">
        <v>1872</v>
      </c>
      <c r="B1457" s="27" t="s">
        <v>3226</v>
      </c>
      <c r="C1457" s="27" t="s">
        <v>5772</v>
      </c>
      <c r="D1457">
        <f>VLOOKUP(tblTargetMedicos[[#This Row],[codigo_id]],[1]DIM_REPRESENTANTE_MEDICO!$C:$F,4,0)</f>
        <v>12</v>
      </c>
      <c r="E1457">
        <f>VLOOKUP(tblTargetMedicos[[#This Row],[codigo_id]],[1]DIM_REPRESENTANTE_MEDICO!$C:$F,3,0)</f>
        <v>1</v>
      </c>
      <c r="F1457" s="27" t="s">
        <v>5796</v>
      </c>
      <c r="G1457" s="27" t="s">
        <v>5784</v>
      </c>
      <c r="H1457" s="27" t="s">
        <v>95</v>
      </c>
      <c r="I1457">
        <v>1</v>
      </c>
    </row>
    <row r="1458" spans="1:9">
      <c r="A1458" t="s">
        <v>1873</v>
      </c>
      <c r="B1458" s="27" t="s">
        <v>3226</v>
      </c>
      <c r="C1458" s="27" t="s">
        <v>5772</v>
      </c>
      <c r="D1458">
        <f>VLOOKUP(tblTargetMedicos[[#This Row],[codigo_id]],[1]DIM_REPRESENTANTE_MEDICO!$C:$F,4,0)</f>
        <v>12</v>
      </c>
      <c r="E1458">
        <f>VLOOKUP(tblTargetMedicos[[#This Row],[codigo_id]],[1]DIM_REPRESENTANTE_MEDICO!$C:$F,3,0)</f>
        <v>1</v>
      </c>
      <c r="F1458" s="27" t="s">
        <v>5796</v>
      </c>
      <c r="G1458" s="27" t="s">
        <v>5784</v>
      </c>
      <c r="H1458" s="27" t="s">
        <v>97</v>
      </c>
      <c r="I1458">
        <v>1</v>
      </c>
    </row>
    <row r="1459" spans="1:9">
      <c r="A1459" t="s">
        <v>1874</v>
      </c>
      <c r="B1459" s="27" t="s">
        <v>3226</v>
      </c>
      <c r="C1459" s="27" t="s">
        <v>5772</v>
      </c>
      <c r="D1459">
        <f>VLOOKUP(tblTargetMedicos[[#This Row],[codigo_id]],[1]DIM_REPRESENTANTE_MEDICO!$C:$F,4,0)</f>
        <v>12</v>
      </c>
      <c r="E1459">
        <f>VLOOKUP(tblTargetMedicos[[#This Row],[codigo_id]],[1]DIM_REPRESENTANTE_MEDICO!$C:$F,3,0)</f>
        <v>1</v>
      </c>
      <c r="F1459" s="27" t="s">
        <v>5796</v>
      </c>
      <c r="G1459" s="27" t="s">
        <v>5783</v>
      </c>
      <c r="H1459" s="27" t="s">
        <v>96</v>
      </c>
      <c r="I1459">
        <v>1</v>
      </c>
    </row>
    <row r="1460" spans="1:9">
      <c r="A1460" t="s">
        <v>1875</v>
      </c>
      <c r="B1460" s="27" t="s">
        <v>3226</v>
      </c>
      <c r="C1460" s="27" t="s">
        <v>5772</v>
      </c>
      <c r="D1460">
        <f>VLOOKUP(tblTargetMedicos[[#This Row],[codigo_id]],[1]DIM_REPRESENTANTE_MEDICO!$C:$F,4,0)</f>
        <v>12</v>
      </c>
      <c r="E1460">
        <f>VLOOKUP(tblTargetMedicos[[#This Row],[codigo_id]],[1]DIM_REPRESENTANTE_MEDICO!$C:$F,3,0)</f>
        <v>1</v>
      </c>
      <c r="F1460" s="27" t="s">
        <v>5796</v>
      </c>
      <c r="G1460" s="27" t="s">
        <v>5783</v>
      </c>
      <c r="H1460" s="27" t="s">
        <v>96</v>
      </c>
      <c r="I1460">
        <v>1</v>
      </c>
    </row>
    <row r="1461" spans="1:9">
      <c r="A1461" t="s">
        <v>1876</v>
      </c>
      <c r="B1461" s="27" t="s">
        <v>3226</v>
      </c>
      <c r="C1461" s="27" t="s">
        <v>5772</v>
      </c>
      <c r="D1461">
        <f>VLOOKUP(tblTargetMedicos[[#This Row],[codigo_id]],[1]DIM_REPRESENTANTE_MEDICO!$C:$F,4,0)</f>
        <v>12</v>
      </c>
      <c r="E1461">
        <f>VLOOKUP(tblTargetMedicos[[#This Row],[codigo_id]],[1]DIM_REPRESENTANTE_MEDICO!$C:$F,3,0)</f>
        <v>1</v>
      </c>
      <c r="F1461" s="27" t="s">
        <v>5796</v>
      </c>
      <c r="G1461" s="27" t="s">
        <v>5783</v>
      </c>
      <c r="H1461" s="27" t="s">
        <v>96</v>
      </c>
      <c r="I1461">
        <v>1</v>
      </c>
    </row>
    <row r="1462" spans="1:9">
      <c r="A1462" t="s">
        <v>1877</v>
      </c>
      <c r="B1462" s="27" t="s">
        <v>3226</v>
      </c>
      <c r="C1462" s="27" t="s">
        <v>5772</v>
      </c>
      <c r="D1462">
        <f>VLOOKUP(tblTargetMedicos[[#This Row],[codigo_id]],[1]DIM_REPRESENTANTE_MEDICO!$C:$F,4,0)</f>
        <v>12</v>
      </c>
      <c r="E1462">
        <f>VLOOKUP(tblTargetMedicos[[#This Row],[codigo_id]],[1]DIM_REPRESENTANTE_MEDICO!$C:$F,3,0)</f>
        <v>1</v>
      </c>
      <c r="F1462" s="27" t="s">
        <v>5796</v>
      </c>
      <c r="G1462" s="27" t="s">
        <v>5783</v>
      </c>
      <c r="H1462" s="27" t="s">
        <v>97</v>
      </c>
      <c r="I1462">
        <v>1</v>
      </c>
    </row>
    <row r="1463" spans="1:9">
      <c r="A1463" t="s">
        <v>1878</v>
      </c>
      <c r="B1463" s="27" t="s">
        <v>3226</v>
      </c>
      <c r="C1463" s="27" t="s">
        <v>5772</v>
      </c>
      <c r="D1463">
        <f>VLOOKUP(tblTargetMedicos[[#This Row],[codigo_id]],[1]DIM_REPRESENTANTE_MEDICO!$C:$F,4,0)</f>
        <v>12</v>
      </c>
      <c r="E1463">
        <f>VLOOKUP(tblTargetMedicos[[#This Row],[codigo_id]],[1]DIM_REPRESENTANTE_MEDICO!$C:$F,3,0)</f>
        <v>1</v>
      </c>
      <c r="F1463" s="27" t="s">
        <v>5796</v>
      </c>
      <c r="G1463" s="27" t="s">
        <v>5784</v>
      </c>
      <c r="H1463" s="27" t="s">
        <v>96</v>
      </c>
      <c r="I1463">
        <v>1</v>
      </c>
    </row>
    <row r="1464" spans="1:9">
      <c r="A1464" t="s">
        <v>1879</v>
      </c>
      <c r="B1464" s="27" t="s">
        <v>3226</v>
      </c>
      <c r="C1464" s="27" t="s">
        <v>5772</v>
      </c>
      <c r="D1464">
        <f>VLOOKUP(tblTargetMedicos[[#This Row],[codigo_id]],[1]DIM_REPRESENTANTE_MEDICO!$C:$F,4,0)</f>
        <v>12</v>
      </c>
      <c r="E1464">
        <f>VLOOKUP(tblTargetMedicos[[#This Row],[codigo_id]],[1]DIM_REPRESENTANTE_MEDICO!$C:$F,3,0)</f>
        <v>1</v>
      </c>
      <c r="F1464" s="27" t="s">
        <v>5796</v>
      </c>
      <c r="G1464" s="27" t="s">
        <v>5785</v>
      </c>
      <c r="H1464" s="27" t="s">
        <v>96</v>
      </c>
      <c r="I1464">
        <v>1</v>
      </c>
    </row>
    <row r="1465" spans="1:9">
      <c r="A1465" t="s">
        <v>1880</v>
      </c>
      <c r="B1465" s="27" t="s">
        <v>3226</v>
      </c>
      <c r="C1465" s="27" t="s">
        <v>5772</v>
      </c>
      <c r="D1465">
        <f>VLOOKUP(tblTargetMedicos[[#This Row],[codigo_id]],[1]DIM_REPRESENTANTE_MEDICO!$C:$F,4,0)</f>
        <v>12</v>
      </c>
      <c r="E1465">
        <f>VLOOKUP(tblTargetMedicos[[#This Row],[codigo_id]],[1]DIM_REPRESENTANTE_MEDICO!$C:$F,3,0)</f>
        <v>1</v>
      </c>
      <c r="F1465" s="27" t="s">
        <v>5796</v>
      </c>
      <c r="G1465" s="27" t="s">
        <v>5783</v>
      </c>
      <c r="H1465" s="27" t="s">
        <v>96</v>
      </c>
      <c r="I1465">
        <v>1</v>
      </c>
    </row>
    <row r="1466" spans="1:9">
      <c r="A1466" t="s">
        <v>1881</v>
      </c>
      <c r="B1466" s="27" t="s">
        <v>3226</v>
      </c>
      <c r="C1466" s="27" t="s">
        <v>5772</v>
      </c>
      <c r="D1466">
        <f>VLOOKUP(tblTargetMedicos[[#This Row],[codigo_id]],[1]DIM_REPRESENTANTE_MEDICO!$C:$F,4,0)</f>
        <v>12</v>
      </c>
      <c r="E1466">
        <f>VLOOKUP(tblTargetMedicos[[#This Row],[codigo_id]],[1]DIM_REPRESENTANTE_MEDICO!$C:$F,3,0)</f>
        <v>1</v>
      </c>
      <c r="F1466" s="27" t="s">
        <v>5796</v>
      </c>
      <c r="G1466" s="27" t="s">
        <v>5782</v>
      </c>
      <c r="H1466" s="27" t="s">
        <v>96</v>
      </c>
      <c r="I1466">
        <v>1</v>
      </c>
    </row>
    <row r="1467" spans="1:9">
      <c r="A1467" t="s">
        <v>1882</v>
      </c>
      <c r="B1467" s="27" t="s">
        <v>3226</v>
      </c>
      <c r="C1467" s="27" t="s">
        <v>5772</v>
      </c>
      <c r="D1467">
        <f>VLOOKUP(tblTargetMedicos[[#This Row],[codigo_id]],[1]DIM_REPRESENTANTE_MEDICO!$C:$F,4,0)</f>
        <v>12</v>
      </c>
      <c r="E1467">
        <f>VLOOKUP(tblTargetMedicos[[#This Row],[codigo_id]],[1]DIM_REPRESENTANTE_MEDICO!$C:$F,3,0)</f>
        <v>1</v>
      </c>
      <c r="F1467" s="27" t="s">
        <v>5796</v>
      </c>
      <c r="G1467" s="27" t="s">
        <v>5780</v>
      </c>
      <c r="H1467" s="27" t="s">
        <v>97</v>
      </c>
      <c r="I1467">
        <v>1</v>
      </c>
    </row>
    <row r="1468" spans="1:9">
      <c r="A1468" t="s">
        <v>1883</v>
      </c>
      <c r="B1468" s="27" t="s">
        <v>3226</v>
      </c>
      <c r="C1468" s="27" t="s">
        <v>5772</v>
      </c>
      <c r="D1468">
        <f>VLOOKUP(tblTargetMedicos[[#This Row],[codigo_id]],[1]DIM_REPRESENTANTE_MEDICO!$C:$F,4,0)</f>
        <v>12</v>
      </c>
      <c r="E1468">
        <f>VLOOKUP(tblTargetMedicos[[#This Row],[codigo_id]],[1]DIM_REPRESENTANTE_MEDICO!$C:$F,3,0)</f>
        <v>1</v>
      </c>
      <c r="F1468" s="27" t="s">
        <v>5796</v>
      </c>
      <c r="G1468" s="27" t="s">
        <v>5786</v>
      </c>
      <c r="H1468" s="27" t="s">
        <v>96</v>
      </c>
      <c r="I1468">
        <v>1</v>
      </c>
    </row>
    <row r="1469" spans="1:9">
      <c r="A1469" t="s">
        <v>1884</v>
      </c>
      <c r="B1469" s="27" t="s">
        <v>3226</v>
      </c>
      <c r="C1469" s="27" t="s">
        <v>5772</v>
      </c>
      <c r="D1469">
        <f>VLOOKUP(tblTargetMedicos[[#This Row],[codigo_id]],[1]DIM_REPRESENTANTE_MEDICO!$C:$F,4,0)</f>
        <v>12</v>
      </c>
      <c r="E1469">
        <f>VLOOKUP(tblTargetMedicos[[#This Row],[codigo_id]],[1]DIM_REPRESENTANTE_MEDICO!$C:$F,3,0)</f>
        <v>1</v>
      </c>
      <c r="F1469" s="27" t="s">
        <v>5796</v>
      </c>
      <c r="G1469" s="27" t="s">
        <v>5783</v>
      </c>
      <c r="H1469" s="27" t="s">
        <v>96</v>
      </c>
      <c r="I1469">
        <v>1</v>
      </c>
    </row>
    <row r="1470" spans="1:9">
      <c r="A1470" t="s">
        <v>1885</v>
      </c>
      <c r="B1470" s="27" t="s">
        <v>3226</v>
      </c>
      <c r="C1470" s="27" t="s">
        <v>5772</v>
      </c>
      <c r="D1470">
        <f>VLOOKUP(tblTargetMedicos[[#This Row],[codigo_id]],[1]DIM_REPRESENTANTE_MEDICO!$C:$F,4,0)</f>
        <v>12</v>
      </c>
      <c r="E1470">
        <f>VLOOKUP(tblTargetMedicos[[#This Row],[codigo_id]],[1]DIM_REPRESENTANTE_MEDICO!$C:$F,3,0)</f>
        <v>1</v>
      </c>
      <c r="F1470" s="27" t="s">
        <v>5796</v>
      </c>
      <c r="G1470" s="27" t="s">
        <v>5783</v>
      </c>
      <c r="H1470" s="27" t="s">
        <v>96</v>
      </c>
      <c r="I1470">
        <v>1</v>
      </c>
    </row>
    <row r="1471" spans="1:9">
      <c r="A1471" t="s">
        <v>1886</v>
      </c>
      <c r="B1471" s="27" t="s">
        <v>3226</v>
      </c>
      <c r="C1471" s="27" t="s">
        <v>5772</v>
      </c>
      <c r="D1471">
        <f>VLOOKUP(tblTargetMedicos[[#This Row],[codigo_id]],[1]DIM_REPRESENTANTE_MEDICO!$C:$F,4,0)</f>
        <v>12</v>
      </c>
      <c r="E1471">
        <f>VLOOKUP(tblTargetMedicos[[#This Row],[codigo_id]],[1]DIM_REPRESENTANTE_MEDICO!$C:$F,3,0)</f>
        <v>1</v>
      </c>
      <c r="F1471" s="27" t="s">
        <v>5796</v>
      </c>
      <c r="G1471" s="27" t="s">
        <v>5784</v>
      </c>
      <c r="H1471" s="27" t="s">
        <v>96</v>
      </c>
      <c r="I1471">
        <v>1</v>
      </c>
    </row>
    <row r="1472" spans="1:9">
      <c r="A1472" t="s">
        <v>1887</v>
      </c>
      <c r="B1472" s="27" t="s">
        <v>3226</v>
      </c>
      <c r="C1472" s="27" t="s">
        <v>5772</v>
      </c>
      <c r="D1472">
        <f>VLOOKUP(tblTargetMedicos[[#This Row],[codigo_id]],[1]DIM_REPRESENTANTE_MEDICO!$C:$F,4,0)</f>
        <v>12</v>
      </c>
      <c r="E1472">
        <f>VLOOKUP(tblTargetMedicos[[#This Row],[codigo_id]],[1]DIM_REPRESENTANTE_MEDICO!$C:$F,3,0)</f>
        <v>1</v>
      </c>
      <c r="F1472" s="27" t="s">
        <v>5796</v>
      </c>
      <c r="G1472" s="27" t="s">
        <v>5783</v>
      </c>
      <c r="H1472" s="27" t="s">
        <v>96</v>
      </c>
      <c r="I1472">
        <v>1</v>
      </c>
    </row>
    <row r="1473" spans="1:9">
      <c r="A1473" t="s">
        <v>1888</v>
      </c>
      <c r="B1473" s="27" t="s">
        <v>3226</v>
      </c>
      <c r="C1473" s="27" t="s">
        <v>5772</v>
      </c>
      <c r="D1473">
        <f>VLOOKUP(tblTargetMedicos[[#This Row],[codigo_id]],[1]DIM_REPRESENTANTE_MEDICO!$C:$F,4,0)</f>
        <v>12</v>
      </c>
      <c r="E1473">
        <f>VLOOKUP(tblTargetMedicos[[#This Row],[codigo_id]],[1]DIM_REPRESENTANTE_MEDICO!$C:$F,3,0)</f>
        <v>1</v>
      </c>
      <c r="F1473" s="27" t="s">
        <v>5796</v>
      </c>
      <c r="G1473" s="27" t="s">
        <v>5784</v>
      </c>
      <c r="H1473" s="27" t="s">
        <v>96</v>
      </c>
      <c r="I1473">
        <v>1</v>
      </c>
    </row>
    <row r="1474" spans="1:9">
      <c r="A1474" t="s">
        <v>1889</v>
      </c>
      <c r="B1474" s="27" t="s">
        <v>3226</v>
      </c>
      <c r="C1474" s="27" t="s">
        <v>5772</v>
      </c>
      <c r="D1474">
        <f>VLOOKUP(tblTargetMedicos[[#This Row],[codigo_id]],[1]DIM_REPRESENTANTE_MEDICO!$C:$F,4,0)</f>
        <v>12</v>
      </c>
      <c r="E1474">
        <f>VLOOKUP(tblTargetMedicos[[#This Row],[codigo_id]],[1]DIM_REPRESENTANTE_MEDICO!$C:$F,3,0)</f>
        <v>1</v>
      </c>
      <c r="F1474" s="27" t="s">
        <v>5796</v>
      </c>
      <c r="G1474" s="27" t="s">
        <v>5783</v>
      </c>
      <c r="H1474" s="27" t="s">
        <v>97</v>
      </c>
      <c r="I1474">
        <v>1</v>
      </c>
    </row>
    <row r="1475" spans="1:9">
      <c r="A1475" t="s">
        <v>1890</v>
      </c>
      <c r="B1475" s="27" t="s">
        <v>3226</v>
      </c>
      <c r="C1475" s="27" t="s">
        <v>5772</v>
      </c>
      <c r="D1475">
        <f>VLOOKUP(tblTargetMedicos[[#This Row],[codigo_id]],[1]DIM_REPRESENTANTE_MEDICO!$C:$F,4,0)</f>
        <v>12</v>
      </c>
      <c r="E1475">
        <f>VLOOKUP(tblTargetMedicos[[#This Row],[codigo_id]],[1]DIM_REPRESENTANTE_MEDICO!$C:$F,3,0)</f>
        <v>1</v>
      </c>
      <c r="F1475" s="27" t="s">
        <v>5796</v>
      </c>
      <c r="G1475" s="27" t="s">
        <v>5784</v>
      </c>
      <c r="H1475" s="27" t="s">
        <v>97</v>
      </c>
      <c r="I1475">
        <v>1</v>
      </c>
    </row>
    <row r="1476" spans="1:9">
      <c r="A1476" t="s">
        <v>1891</v>
      </c>
      <c r="B1476" s="27" t="s">
        <v>3226</v>
      </c>
      <c r="C1476" s="27" t="s">
        <v>5772</v>
      </c>
      <c r="D1476">
        <f>VLOOKUP(tblTargetMedicos[[#This Row],[codigo_id]],[1]DIM_REPRESENTANTE_MEDICO!$C:$F,4,0)</f>
        <v>12</v>
      </c>
      <c r="E1476">
        <f>VLOOKUP(tblTargetMedicos[[#This Row],[codigo_id]],[1]DIM_REPRESENTANTE_MEDICO!$C:$F,3,0)</f>
        <v>1</v>
      </c>
      <c r="F1476" s="27" t="s">
        <v>5796</v>
      </c>
      <c r="G1476" s="27" t="s">
        <v>5784</v>
      </c>
      <c r="H1476" s="27" t="s">
        <v>96</v>
      </c>
      <c r="I1476">
        <v>1</v>
      </c>
    </row>
    <row r="1477" spans="1:9">
      <c r="A1477" t="s">
        <v>1892</v>
      </c>
      <c r="B1477" s="27" t="s">
        <v>3226</v>
      </c>
      <c r="C1477" s="27" t="s">
        <v>5772</v>
      </c>
      <c r="D1477">
        <f>VLOOKUP(tblTargetMedicos[[#This Row],[codigo_id]],[1]DIM_REPRESENTANTE_MEDICO!$C:$F,4,0)</f>
        <v>12</v>
      </c>
      <c r="E1477">
        <f>VLOOKUP(tblTargetMedicos[[#This Row],[codigo_id]],[1]DIM_REPRESENTANTE_MEDICO!$C:$F,3,0)</f>
        <v>1</v>
      </c>
      <c r="F1477" s="27" t="s">
        <v>5796</v>
      </c>
      <c r="G1477" s="27" t="s">
        <v>5783</v>
      </c>
      <c r="H1477" s="27" t="s">
        <v>96</v>
      </c>
      <c r="I1477">
        <v>1</v>
      </c>
    </row>
    <row r="1478" spans="1:9">
      <c r="A1478" t="s">
        <v>1893</v>
      </c>
      <c r="B1478" s="27" t="s">
        <v>3226</v>
      </c>
      <c r="C1478" s="27" t="s">
        <v>5772</v>
      </c>
      <c r="D1478">
        <f>VLOOKUP(tblTargetMedicos[[#This Row],[codigo_id]],[1]DIM_REPRESENTANTE_MEDICO!$C:$F,4,0)</f>
        <v>12</v>
      </c>
      <c r="E1478">
        <f>VLOOKUP(tblTargetMedicos[[#This Row],[codigo_id]],[1]DIM_REPRESENTANTE_MEDICO!$C:$F,3,0)</f>
        <v>1</v>
      </c>
      <c r="F1478" s="27" t="s">
        <v>5796</v>
      </c>
      <c r="G1478" s="27" t="s">
        <v>5786</v>
      </c>
      <c r="H1478" s="27" t="s">
        <v>97</v>
      </c>
      <c r="I1478">
        <v>1</v>
      </c>
    </row>
    <row r="1479" spans="1:9">
      <c r="A1479" t="s">
        <v>1894</v>
      </c>
      <c r="B1479" s="27" t="s">
        <v>3226</v>
      </c>
      <c r="C1479" s="27" t="s">
        <v>5772</v>
      </c>
      <c r="D1479">
        <f>VLOOKUP(tblTargetMedicos[[#This Row],[codigo_id]],[1]DIM_REPRESENTANTE_MEDICO!$C:$F,4,0)</f>
        <v>12</v>
      </c>
      <c r="E1479">
        <f>VLOOKUP(tblTargetMedicos[[#This Row],[codigo_id]],[1]DIM_REPRESENTANTE_MEDICO!$C:$F,3,0)</f>
        <v>1</v>
      </c>
      <c r="F1479" s="27" t="s">
        <v>5796</v>
      </c>
      <c r="G1479" s="27" t="s">
        <v>5785</v>
      </c>
      <c r="H1479" s="27" t="s">
        <v>96</v>
      </c>
      <c r="I1479">
        <v>1</v>
      </c>
    </row>
    <row r="1480" spans="1:9">
      <c r="A1480" t="s">
        <v>1895</v>
      </c>
      <c r="B1480" s="27" t="s">
        <v>3226</v>
      </c>
      <c r="C1480" s="27" t="s">
        <v>5772</v>
      </c>
      <c r="D1480">
        <f>VLOOKUP(tblTargetMedicos[[#This Row],[codigo_id]],[1]DIM_REPRESENTANTE_MEDICO!$C:$F,4,0)</f>
        <v>12</v>
      </c>
      <c r="E1480">
        <f>VLOOKUP(tblTargetMedicos[[#This Row],[codigo_id]],[1]DIM_REPRESENTANTE_MEDICO!$C:$F,3,0)</f>
        <v>1</v>
      </c>
      <c r="F1480" s="27" t="s">
        <v>5796</v>
      </c>
      <c r="G1480" s="27" t="s">
        <v>5784</v>
      </c>
      <c r="H1480" s="27" t="s">
        <v>96</v>
      </c>
      <c r="I1480">
        <v>1</v>
      </c>
    </row>
    <row r="1481" spans="1:9">
      <c r="A1481" t="s">
        <v>1896</v>
      </c>
      <c r="B1481" s="27" t="s">
        <v>3226</v>
      </c>
      <c r="C1481" s="27" t="s">
        <v>5772</v>
      </c>
      <c r="D1481">
        <f>VLOOKUP(tblTargetMedicos[[#This Row],[codigo_id]],[1]DIM_REPRESENTANTE_MEDICO!$C:$F,4,0)</f>
        <v>12</v>
      </c>
      <c r="E1481">
        <f>VLOOKUP(tblTargetMedicos[[#This Row],[codigo_id]],[1]DIM_REPRESENTANTE_MEDICO!$C:$F,3,0)</f>
        <v>1</v>
      </c>
      <c r="F1481" s="27" t="s">
        <v>5796</v>
      </c>
      <c r="G1481" s="27" t="s">
        <v>5783</v>
      </c>
      <c r="H1481" s="27" t="s">
        <v>96</v>
      </c>
      <c r="I1481">
        <v>1</v>
      </c>
    </row>
    <row r="1482" spans="1:9">
      <c r="A1482" t="s">
        <v>1897</v>
      </c>
      <c r="B1482" s="27" t="s">
        <v>3226</v>
      </c>
      <c r="C1482" s="27" t="s">
        <v>5772</v>
      </c>
      <c r="D1482">
        <f>VLOOKUP(tblTargetMedicos[[#This Row],[codigo_id]],[1]DIM_REPRESENTANTE_MEDICO!$C:$F,4,0)</f>
        <v>12</v>
      </c>
      <c r="E1482">
        <f>VLOOKUP(tblTargetMedicos[[#This Row],[codigo_id]],[1]DIM_REPRESENTANTE_MEDICO!$C:$F,3,0)</f>
        <v>1</v>
      </c>
      <c r="F1482" s="27" t="s">
        <v>5796</v>
      </c>
      <c r="G1482" s="27" t="s">
        <v>5783</v>
      </c>
      <c r="H1482" s="27" t="s">
        <v>96</v>
      </c>
      <c r="I1482">
        <v>1</v>
      </c>
    </row>
    <row r="1483" spans="1:9">
      <c r="A1483" t="s">
        <v>1898</v>
      </c>
      <c r="B1483" s="27" t="s">
        <v>3226</v>
      </c>
      <c r="C1483" s="27" t="s">
        <v>5772</v>
      </c>
      <c r="D1483">
        <f>VLOOKUP(tblTargetMedicos[[#This Row],[codigo_id]],[1]DIM_REPRESENTANTE_MEDICO!$C:$F,4,0)</f>
        <v>12</v>
      </c>
      <c r="E1483">
        <f>VLOOKUP(tblTargetMedicos[[#This Row],[codigo_id]],[1]DIM_REPRESENTANTE_MEDICO!$C:$F,3,0)</f>
        <v>1</v>
      </c>
      <c r="F1483" s="27" t="s">
        <v>5796</v>
      </c>
      <c r="G1483" s="27" t="s">
        <v>5786</v>
      </c>
      <c r="H1483" s="27" t="s">
        <v>96</v>
      </c>
      <c r="I1483">
        <v>1</v>
      </c>
    </row>
    <row r="1484" spans="1:9">
      <c r="A1484" t="s">
        <v>1899</v>
      </c>
      <c r="B1484" s="27" t="s">
        <v>3226</v>
      </c>
      <c r="C1484" s="27" t="s">
        <v>5772</v>
      </c>
      <c r="D1484">
        <f>VLOOKUP(tblTargetMedicos[[#This Row],[codigo_id]],[1]DIM_REPRESENTANTE_MEDICO!$C:$F,4,0)</f>
        <v>12</v>
      </c>
      <c r="E1484">
        <f>VLOOKUP(tblTargetMedicos[[#This Row],[codigo_id]],[1]DIM_REPRESENTANTE_MEDICO!$C:$F,3,0)</f>
        <v>1</v>
      </c>
      <c r="F1484" s="27" t="s">
        <v>5796</v>
      </c>
      <c r="G1484" s="27" t="s">
        <v>5786</v>
      </c>
      <c r="H1484" s="27" t="s">
        <v>96</v>
      </c>
      <c r="I1484">
        <v>1</v>
      </c>
    </row>
    <row r="1485" spans="1:9">
      <c r="A1485" t="s">
        <v>1900</v>
      </c>
      <c r="B1485" s="27" t="s">
        <v>3226</v>
      </c>
      <c r="C1485" s="27" t="s">
        <v>5772</v>
      </c>
      <c r="D1485">
        <f>VLOOKUP(tblTargetMedicos[[#This Row],[codigo_id]],[1]DIM_REPRESENTANTE_MEDICO!$C:$F,4,0)</f>
        <v>12</v>
      </c>
      <c r="E1485">
        <f>VLOOKUP(tblTargetMedicos[[#This Row],[codigo_id]],[1]DIM_REPRESENTANTE_MEDICO!$C:$F,3,0)</f>
        <v>1</v>
      </c>
      <c r="F1485" s="27" t="s">
        <v>5796</v>
      </c>
      <c r="G1485" s="27" t="s">
        <v>5784</v>
      </c>
      <c r="H1485" s="27" t="s">
        <v>96</v>
      </c>
      <c r="I1485">
        <v>1</v>
      </c>
    </row>
    <row r="1486" spans="1:9">
      <c r="A1486" t="s">
        <v>1901</v>
      </c>
      <c r="B1486" s="27" t="s">
        <v>3226</v>
      </c>
      <c r="C1486" s="27" t="s">
        <v>5772</v>
      </c>
      <c r="D1486">
        <f>VLOOKUP(tblTargetMedicos[[#This Row],[codigo_id]],[1]DIM_REPRESENTANTE_MEDICO!$C:$F,4,0)</f>
        <v>12</v>
      </c>
      <c r="E1486">
        <f>VLOOKUP(tblTargetMedicos[[#This Row],[codigo_id]],[1]DIM_REPRESENTANTE_MEDICO!$C:$F,3,0)</f>
        <v>1</v>
      </c>
      <c r="F1486" s="27" t="s">
        <v>5796</v>
      </c>
      <c r="G1486" s="27" t="s">
        <v>5784</v>
      </c>
      <c r="H1486" s="27" t="s">
        <v>96</v>
      </c>
      <c r="I1486">
        <v>1</v>
      </c>
    </row>
    <row r="1487" spans="1:9">
      <c r="A1487" t="s">
        <v>1902</v>
      </c>
      <c r="B1487" s="27" t="s">
        <v>3226</v>
      </c>
      <c r="C1487" s="27" t="s">
        <v>5772</v>
      </c>
      <c r="D1487">
        <f>VLOOKUP(tblTargetMedicos[[#This Row],[codigo_id]],[1]DIM_REPRESENTANTE_MEDICO!$C:$F,4,0)</f>
        <v>12</v>
      </c>
      <c r="E1487">
        <f>VLOOKUP(tblTargetMedicos[[#This Row],[codigo_id]],[1]DIM_REPRESENTANTE_MEDICO!$C:$F,3,0)</f>
        <v>1</v>
      </c>
      <c r="F1487" s="27" t="s">
        <v>5796</v>
      </c>
      <c r="G1487" s="27" t="s">
        <v>5783</v>
      </c>
      <c r="H1487" s="27" t="s">
        <v>96</v>
      </c>
      <c r="I1487">
        <v>1</v>
      </c>
    </row>
    <row r="1488" spans="1:9">
      <c r="A1488" t="s">
        <v>1903</v>
      </c>
      <c r="B1488" s="27" t="s">
        <v>3226</v>
      </c>
      <c r="C1488" s="27" t="s">
        <v>5772</v>
      </c>
      <c r="D1488">
        <f>VLOOKUP(tblTargetMedicos[[#This Row],[codigo_id]],[1]DIM_REPRESENTANTE_MEDICO!$C:$F,4,0)</f>
        <v>12</v>
      </c>
      <c r="E1488">
        <f>VLOOKUP(tblTargetMedicos[[#This Row],[codigo_id]],[1]DIM_REPRESENTANTE_MEDICO!$C:$F,3,0)</f>
        <v>1</v>
      </c>
      <c r="F1488" s="27" t="s">
        <v>5796</v>
      </c>
      <c r="G1488" s="27" t="s">
        <v>5779</v>
      </c>
      <c r="H1488" s="27" t="s">
        <v>96</v>
      </c>
      <c r="I1488">
        <v>1</v>
      </c>
    </row>
    <row r="1489" spans="1:9">
      <c r="A1489" t="s">
        <v>1904</v>
      </c>
      <c r="B1489" s="27" t="s">
        <v>3226</v>
      </c>
      <c r="C1489" s="27" t="s">
        <v>5772</v>
      </c>
      <c r="D1489">
        <f>VLOOKUP(tblTargetMedicos[[#This Row],[codigo_id]],[1]DIM_REPRESENTANTE_MEDICO!$C:$F,4,0)</f>
        <v>12</v>
      </c>
      <c r="E1489">
        <f>VLOOKUP(tblTargetMedicos[[#This Row],[codigo_id]],[1]DIM_REPRESENTANTE_MEDICO!$C:$F,3,0)</f>
        <v>1</v>
      </c>
      <c r="F1489" s="27" t="s">
        <v>5796</v>
      </c>
      <c r="G1489" s="27" t="s">
        <v>5782</v>
      </c>
      <c r="H1489" s="27" t="s">
        <v>97</v>
      </c>
      <c r="I1489">
        <v>1</v>
      </c>
    </row>
    <row r="1490" spans="1:9">
      <c r="A1490" t="s">
        <v>1905</v>
      </c>
      <c r="B1490" s="27" t="s">
        <v>3226</v>
      </c>
      <c r="C1490" s="27" t="s">
        <v>5772</v>
      </c>
      <c r="D1490">
        <f>VLOOKUP(tblTargetMedicos[[#This Row],[codigo_id]],[1]DIM_REPRESENTANTE_MEDICO!$C:$F,4,0)</f>
        <v>12</v>
      </c>
      <c r="E1490">
        <f>VLOOKUP(tblTargetMedicos[[#This Row],[codigo_id]],[1]DIM_REPRESENTANTE_MEDICO!$C:$F,3,0)</f>
        <v>1</v>
      </c>
      <c r="F1490" s="27" t="s">
        <v>5796</v>
      </c>
      <c r="G1490" s="27" t="s">
        <v>5785</v>
      </c>
      <c r="H1490" s="27" t="s">
        <v>95</v>
      </c>
      <c r="I1490">
        <v>1</v>
      </c>
    </row>
    <row r="1491" spans="1:9">
      <c r="A1491" t="s">
        <v>1906</v>
      </c>
      <c r="B1491" s="27" t="s">
        <v>3226</v>
      </c>
      <c r="C1491" s="27" t="s">
        <v>5772</v>
      </c>
      <c r="D1491">
        <f>VLOOKUP(tblTargetMedicos[[#This Row],[codigo_id]],[1]DIM_REPRESENTANTE_MEDICO!$C:$F,4,0)</f>
        <v>12</v>
      </c>
      <c r="E1491">
        <f>VLOOKUP(tblTargetMedicos[[#This Row],[codigo_id]],[1]DIM_REPRESENTANTE_MEDICO!$C:$F,3,0)</f>
        <v>1</v>
      </c>
      <c r="F1491" s="27" t="s">
        <v>5796</v>
      </c>
      <c r="G1491" s="27" t="s">
        <v>5786</v>
      </c>
      <c r="H1491" s="27" t="s">
        <v>96</v>
      </c>
      <c r="I1491">
        <v>1</v>
      </c>
    </row>
    <row r="1492" spans="1:9">
      <c r="A1492" t="s">
        <v>1907</v>
      </c>
      <c r="B1492" s="27" t="s">
        <v>3226</v>
      </c>
      <c r="C1492" s="27" t="s">
        <v>5772</v>
      </c>
      <c r="D1492">
        <f>VLOOKUP(tblTargetMedicos[[#This Row],[codigo_id]],[1]DIM_REPRESENTANTE_MEDICO!$C:$F,4,0)</f>
        <v>12</v>
      </c>
      <c r="E1492">
        <f>VLOOKUP(tblTargetMedicos[[#This Row],[codigo_id]],[1]DIM_REPRESENTANTE_MEDICO!$C:$F,3,0)</f>
        <v>1</v>
      </c>
      <c r="F1492" s="27" t="s">
        <v>5796</v>
      </c>
      <c r="G1492" s="27" t="s">
        <v>5783</v>
      </c>
      <c r="H1492" s="27" t="s">
        <v>96</v>
      </c>
      <c r="I1492">
        <v>1</v>
      </c>
    </row>
    <row r="1493" spans="1:9">
      <c r="A1493" t="s">
        <v>1908</v>
      </c>
      <c r="B1493" s="27" t="s">
        <v>3226</v>
      </c>
      <c r="C1493" s="27" t="s">
        <v>5772</v>
      </c>
      <c r="D1493">
        <f>VLOOKUP(tblTargetMedicos[[#This Row],[codigo_id]],[1]DIM_REPRESENTANTE_MEDICO!$C:$F,4,0)</f>
        <v>12</v>
      </c>
      <c r="E1493">
        <f>VLOOKUP(tblTargetMedicos[[#This Row],[codigo_id]],[1]DIM_REPRESENTANTE_MEDICO!$C:$F,3,0)</f>
        <v>1</v>
      </c>
      <c r="F1493" s="27" t="s">
        <v>5796</v>
      </c>
      <c r="G1493" s="27" t="s">
        <v>5780</v>
      </c>
      <c r="H1493" s="27" t="s">
        <v>96</v>
      </c>
      <c r="I1493">
        <v>1</v>
      </c>
    </row>
    <row r="1494" spans="1:9">
      <c r="A1494" t="s">
        <v>1909</v>
      </c>
      <c r="B1494" s="27" t="s">
        <v>3226</v>
      </c>
      <c r="C1494" s="27" t="s">
        <v>5772</v>
      </c>
      <c r="D1494">
        <f>VLOOKUP(tblTargetMedicos[[#This Row],[codigo_id]],[1]DIM_REPRESENTANTE_MEDICO!$C:$F,4,0)</f>
        <v>12</v>
      </c>
      <c r="E1494">
        <f>VLOOKUP(tblTargetMedicos[[#This Row],[codigo_id]],[1]DIM_REPRESENTANTE_MEDICO!$C:$F,3,0)</f>
        <v>1</v>
      </c>
      <c r="F1494" s="27" t="s">
        <v>5796</v>
      </c>
      <c r="G1494" s="27" t="s">
        <v>5786</v>
      </c>
      <c r="H1494" s="27" t="s">
        <v>96</v>
      </c>
      <c r="I1494">
        <v>1</v>
      </c>
    </row>
    <row r="1495" spans="1:9">
      <c r="A1495" t="s">
        <v>1910</v>
      </c>
      <c r="B1495" s="27" t="s">
        <v>3226</v>
      </c>
      <c r="C1495" s="27" t="s">
        <v>5772</v>
      </c>
      <c r="D1495">
        <f>VLOOKUP(tblTargetMedicos[[#This Row],[codigo_id]],[1]DIM_REPRESENTANTE_MEDICO!$C:$F,4,0)</f>
        <v>12</v>
      </c>
      <c r="E1495">
        <f>VLOOKUP(tblTargetMedicos[[#This Row],[codigo_id]],[1]DIM_REPRESENTANTE_MEDICO!$C:$F,3,0)</f>
        <v>1</v>
      </c>
      <c r="F1495" s="27" t="s">
        <v>5796</v>
      </c>
      <c r="G1495" s="27" t="s">
        <v>5785</v>
      </c>
      <c r="H1495" s="27" t="s">
        <v>96</v>
      </c>
      <c r="I1495">
        <v>1</v>
      </c>
    </row>
    <row r="1496" spans="1:9">
      <c r="A1496" t="s">
        <v>1911</v>
      </c>
      <c r="B1496" s="27" t="s">
        <v>3226</v>
      </c>
      <c r="C1496" s="27" t="s">
        <v>5772</v>
      </c>
      <c r="D1496">
        <f>VLOOKUP(tblTargetMedicos[[#This Row],[codigo_id]],[1]DIM_REPRESENTANTE_MEDICO!$C:$F,4,0)</f>
        <v>12</v>
      </c>
      <c r="E1496">
        <f>VLOOKUP(tblTargetMedicos[[#This Row],[codigo_id]],[1]DIM_REPRESENTANTE_MEDICO!$C:$F,3,0)</f>
        <v>1</v>
      </c>
      <c r="F1496" s="27" t="s">
        <v>5796</v>
      </c>
      <c r="G1496" s="27" t="s">
        <v>5784</v>
      </c>
      <c r="H1496" s="27" t="s">
        <v>96</v>
      </c>
      <c r="I1496">
        <v>1</v>
      </c>
    </row>
    <row r="1497" spans="1:9">
      <c r="A1497" t="s">
        <v>1912</v>
      </c>
      <c r="B1497" s="27" t="s">
        <v>3226</v>
      </c>
      <c r="C1497" s="27" t="s">
        <v>5772</v>
      </c>
      <c r="D1497">
        <f>VLOOKUP(tblTargetMedicos[[#This Row],[codigo_id]],[1]DIM_REPRESENTANTE_MEDICO!$C:$F,4,0)</f>
        <v>12</v>
      </c>
      <c r="E1497">
        <f>VLOOKUP(tblTargetMedicos[[#This Row],[codigo_id]],[1]DIM_REPRESENTANTE_MEDICO!$C:$F,3,0)</f>
        <v>1</v>
      </c>
      <c r="F1497" s="27" t="s">
        <v>5796</v>
      </c>
      <c r="G1497" s="27" t="s">
        <v>5786</v>
      </c>
      <c r="H1497" s="27" t="s">
        <v>97</v>
      </c>
      <c r="I1497">
        <v>1</v>
      </c>
    </row>
    <row r="1498" spans="1:9">
      <c r="A1498" t="s">
        <v>1913</v>
      </c>
      <c r="B1498" s="27" t="s">
        <v>3226</v>
      </c>
      <c r="C1498" s="27" t="s">
        <v>5772</v>
      </c>
      <c r="D1498">
        <f>VLOOKUP(tblTargetMedicos[[#This Row],[codigo_id]],[1]DIM_REPRESENTANTE_MEDICO!$C:$F,4,0)</f>
        <v>12</v>
      </c>
      <c r="E1498">
        <f>VLOOKUP(tblTargetMedicos[[#This Row],[codigo_id]],[1]DIM_REPRESENTANTE_MEDICO!$C:$F,3,0)</f>
        <v>1</v>
      </c>
      <c r="F1498" s="27" t="s">
        <v>5796</v>
      </c>
      <c r="G1498" s="27" t="s">
        <v>5784</v>
      </c>
      <c r="H1498" s="27" t="s">
        <v>96</v>
      </c>
      <c r="I1498">
        <v>1</v>
      </c>
    </row>
    <row r="1499" spans="1:9">
      <c r="A1499" t="s">
        <v>1914</v>
      </c>
      <c r="B1499" s="27" t="s">
        <v>3226</v>
      </c>
      <c r="C1499" s="27" t="s">
        <v>5772</v>
      </c>
      <c r="D1499">
        <f>VLOOKUP(tblTargetMedicos[[#This Row],[codigo_id]],[1]DIM_REPRESENTANTE_MEDICO!$C:$F,4,0)</f>
        <v>12</v>
      </c>
      <c r="E1499">
        <f>VLOOKUP(tblTargetMedicos[[#This Row],[codigo_id]],[1]DIM_REPRESENTANTE_MEDICO!$C:$F,3,0)</f>
        <v>1</v>
      </c>
      <c r="F1499" s="27" t="s">
        <v>5796</v>
      </c>
      <c r="G1499" s="27" t="s">
        <v>5783</v>
      </c>
      <c r="H1499" s="27" t="s">
        <v>97</v>
      </c>
      <c r="I1499">
        <v>1</v>
      </c>
    </row>
    <row r="1500" spans="1:9">
      <c r="A1500" t="s">
        <v>1915</v>
      </c>
      <c r="B1500" s="27" t="s">
        <v>3226</v>
      </c>
      <c r="C1500" s="27" t="s">
        <v>5772</v>
      </c>
      <c r="D1500">
        <f>VLOOKUP(tblTargetMedicos[[#This Row],[codigo_id]],[1]DIM_REPRESENTANTE_MEDICO!$C:$F,4,0)</f>
        <v>12</v>
      </c>
      <c r="E1500">
        <f>VLOOKUP(tblTargetMedicos[[#This Row],[codigo_id]],[1]DIM_REPRESENTANTE_MEDICO!$C:$F,3,0)</f>
        <v>1</v>
      </c>
      <c r="F1500" s="27" t="s">
        <v>5796</v>
      </c>
      <c r="G1500" s="27" t="s">
        <v>5783</v>
      </c>
      <c r="H1500" s="27" t="s">
        <v>96</v>
      </c>
      <c r="I1500">
        <v>1</v>
      </c>
    </row>
    <row r="1501" spans="1:9">
      <c r="A1501" t="s">
        <v>1916</v>
      </c>
      <c r="B1501" s="27" t="s">
        <v>3226</v>
      </c>
      <c r="C1501" s="27" t="s">
        <v>5772</v>
      </c>
      <c r="D1501">
        <f>VLOOKUP(tblTargetMedicos[[#This Row],[codigo_id]],[1]DIM_REPRESENTANTE_MEDICO!$C:$F,4,0)</f>
        <v>12</v>
      </c>
      <c r="E1501">
        <f>VLOOKUP(tblTargetMedicos[[#This Row],[codigo_id]],[1]DIM_REPRESENTANTE_MEDICO!$C:$F,3,0)</f>
        <v>1</v>
      </c>
      <c r="F1501" s="27" t="s">
        <v>5796</v>
      </c>
      <c r="G1501" s="27" t="s">
        <v>5784</v>
      </c>
      <c r="H1501" s="27" t="s">
        <v>96</v>
      </c>
      <c r="I1501">
        <v>1</v>
      </c>
    </row>
    <row r="1502" spans="1:9">
      <c r="A1502" t="s">
        <v>1917</v>
      </c>
      <c r="B1502" s="27" t="s">
        <v>3226</v>
      </c>
      <c r="C1502" s="27" t="s">
        <v>5772</v>
      </c>
      <c r="D1502">
        <f>VLOOKUP(tblTargetMedicos[[#This Row],[codigo_id]],[1]DIM_REPRESENTANTE_MEDICO!$C:$F,4,0)</f>
        <v>12</v>
      </c>
      <c r="E1502">
        <f>VLOOKUP(tblTargetMedicos[[#This Row],[codigo_id]],[1]DIM_REPRESENTANTE_MEDICO!$C:$F,3,0)</f>
        <v>1</v>
      </c>
      <c r="F1502" s="27" t="s">
        <v>5796</v>
      </c>
      <c r="G1502" s="27" t="s">
        <v>5779</v>
      </c>
      <c r="H1502" s="27" t="s">
        <v>96</v>
      </c>
      <c r="I1502">
        <v>1</v>
      </c>
    </row>
    <row r="1503" spans="1:9">
      <c r="A1503" t="s">
        <v>1918</v>
      </c>
      <c r="B1503" s="27" t="s">
        <v>3226</v>
      </c>
      <c r="C1503" s="27" t="s">
        <v>5772</v>
      </c>
      <c r="D1503">
        <f>VLOOKUP(tblTargetMedicos[[#This Row],[codigo_id]],[1]DIM_REPRESENTANTE_MEDICO!$C:$F,4,0)</f>
        <v>12</v>
      </c>
      <c r="E1503">
        <f>VLOOKUP(tblTargetMedicos[[#This Row],[codigo_id]],[1]DIM_REPRESENTANTE_MEDICO!$C:$F,3,0)</f>
        <v>1</v>
      </c>
      <c r="F1503" s="27" t="s">
        <v>5796</v>
      </c>
      <c r="G1503" s="27" t="s">
        <v>5784</v>
      </c>
      <c r="H1503" s="27" t="s">
        <v>96</v>
      </c>
      <c r="I1503">
        <v>1</v>
      </c>
    </row>
    <row r="1504" spans="1:9">
      <c r="A1504" t="s">
        <v>1919</v>
      </c>
      <c r="B1504" s="27" t="s">
        <v>3226</v>
      </c>
      <c r="C1504" s="27" t="s">
        <v>5772</v>
      </c>
      <c r="D1504">
        <f>VLOOKUP(tblTargetMedicos[[#This Row],[codigo_id]],[1]DIM_REPRESENTANTE_MEDICO!$C:$F,4,0)</f>
        <v>12</v>
      </c>
      <c r="E1504">
        <f>VLOOKUP(tblTargetMedicos[[#This Row],[codigo_id]],[1]DIM_REPRESENTANTE_MEDICO!$C:$F,3,0)</f>
        <v>1</v>
      </c>
      <c r="F1504" s="27" t="s">
        <v>5796</v>
      </c>
      <c r="G1504" s="27" t="s">
        <v>5784</v>
      </c>
      <c r="H1504" s="27" t="s">
        <v>96</v>
      </c>
      <c r="I1504">
        <v>1</v>
      </c>
    </row>
    <row r="1505" spans="1:9">
      <c r="A1505" t="s">
        <v>1920</v>
      </c>
      <c r="B1505" s="27" t="s">
        <v>3226</v>
      </c>
      <c r="C1505" s="27" t="s">
        <v>5772</v>
      </c>
      <c r="D1505">
        <f>VLOOKUP(tblTargetMedicos[[#This Row],[codigo_id]],[1]DIM_REPRESENTANTE_MEDICO!$C:$F,4,0)</f>
        <v>12</v>
      </c>
      <c r="E1505">
        <f>VLOOKUP(tblTargetMedicos[[#This Row],[codigo_id]],[1]DIM_REPRESENTANTE_MEDICO!$C:$F,3,0)</f>
        <v>1</v>
      </c>
      <c r="F1505" s="27" t="s">
        <v>5796</v>
      </c>
      <c r="G1505" s="27" t="s">
        <v>5784</v>
      </c>
      <c r="H1505" s="27" t="s">
        <v>95</v>
      </c>
      <c r="I1505">
        <v>1</v>
      </c>
    </row>
    <row r="1506" spans="1:9">
      <c r="A1506" t="s">
        <v>1921</v>
      </c>
      <c r="B1506" s="27" t="s">
        <v>3226</v>
      </c>
      <c r="C1506" s="27" t="s">
        <v>5772</v>
      </c>
      <c r="D1506">
        <f>VLOOKUP(tblTargetMedicos[[#This Row],[codigo_id]],[1]DIM_REPRESENTANTE_MEDICO!$C:$F,4,0)</f>
        <v>12</v>
      </c>
      <c r="E1506">
        <f>VLOOKUP(tblTargetMedicos[[#This Row],[codigo_id]],[1]DIM_REPRESENTANTE_MEDICO!$C:$F,3,0)</f>
        <v>1</v>
      </c>
      <c r="F1506" s="27" t="s">
        <v>5796</v>
      </c>
      <c r="G1506" s="27" t="s">
        <v>5784</v>
      </c>
      <c r="H1506" s="27" t="s">
        <v>96</v>
      </c>
      <c r="I1506">
        <v>1</v>
      </c>
    </row>
    <row r="1507" spans="1:9">
      <c r="A1507" t="s">
        <v>1922</v>
      </c>
      <c r="B1507" s="27" t="s">
        <v>3226</v>
      </c>
      <c r="C1507" s="27" t="s">
        <v>5772</v>
      </c>
      <c r="D1507">
        <f>VLOOKUP(tblTargetMedicos[[#This Row],[codigo_id]],[1]DIM_REPRESENTANTE_MEDICO!$C:$F,4,0)</f>
        <v>12</v>
      </c>
      <c r="E1507">
        <f>VLOOKUP(tblTargetMedicos[[#This Row],[codigo_id]],[1]DIM_REPRESENTANTE_MEDICO!$C:$F,3,0)</f>
        <v>1</v>
      </c>
      <c r="F1507" s="27" t="s">
        <v>5796</v>
      </c>
      <c r="G1507" s="27" t="s">
        <v>5784</v>
      </c>
      <c r="H1507" s="27" t="s">
        <v>96</v>
      </c>
      <c r="I1507">
        <v>1</v>
      </c>
    </row>
    <row r="1508" spans="1:9">
      <c r="A1508" t="s">
        <v>1923</v>
      </c>
      <c r="B1508" s="27" t="s">
        <v>3226</v>
      </c>
      <c r="C1508" s="27" t="s">
        <v>5772</v>
      </c>
      <c r="D1508">
        <f>VLOOKUP(tblTargetMedicos[[#This Row],[codigo_id]],[1]DIM_REPRESENTANTE_MEDICO!$C:$F,4,0)</f>
        <v>12</v>
      </c>
      <c r="E1508">
        <f>VLOOKUP(tblTargetMedicos[[#This Row],[codigo_id]],[1]DIM_REPRESENTANTE_MEDICO!$C:$F,3,0)</f>
        <v>1</v>
      </c>
      <c r="F1508" s="27" t="s">
        <v>5796</v>
      </c>
      <c r="G1508" s="27" t="s">
        <v>5782</v>
      </c>
      <c r="H1508" s="27" t="s">
        <v>96</v>
      </c>
      <c r="I1508">
        <v>1</v>
      </c>
    </row>
    <row r="1509" spans="1:9">
      <c r="A1509" t="s">
        <v>1924</v>
      </c>
      <c r="B1509" s="27" t="s">
        <v>3226</v>
      </c>
      <c r="C1509" s="27" t="s">
        <v>5772</v>
      </c>
      <c r="D1509">
        <f>VLOOKUP(tblTargetMedicos[[#This Row],[codigo_id]],[1]DIM_REPRESENTANTE_MEDICO!$C:$F,4,0)</f>
        <v>12</v>
      </c>
      <c r="E1509">
        <f>VLOOKUP(tblTargetMedicos[[#This Row],[codigo_id]],[1]DIM_REPRESENTANTE_MEDICO!$C:$F,3,0)</f>
        <v>1</v>
      </c>
      <c r="F1509" s="27" t="s">
        <v>5796</v>
      </c>
      <c r="G1509" s="27" t="s">
        <v>5783</v>
      </c>
      <c r="H1509" s="27" t="s">
        <v>96</v>
      </c>
      <c r="I1509">
        <v>1</v>
      </c>
    </row>
    <row r="1510" spans="1:9">
      <c r="A1510" t="s">
        <v>1925</v>
      </c>
      <c r="B1510" s="27" t="s">
        <v>3226</v>
      </c>
      <c r="C1510" s="27" t="s">
        <v>5772</v>
      </c>
      <c r="D1510">
        <f>VLOOKUP(tblTargetMedicos[[#This Row],[codigo_id]],[1]DIM_REPRESENTANTE_MEDICO!$C:$F,4,0)</f>
        <v>12</v>
      </c>
      <c r="E1510">
        <f>VLOOKUP(tblTargetMedicos[[#This Row],[codigo_id]],[1]DIM_REPRESENTANTE_MEDICO!$C:$F,3,0)</f>
        <v>1</v>
      </c>
      <c r="F1510" s="27" t="s">
        <v>5796</v>
      </c>
      <c r="G1510" s="27" t="s">
        <v>5786</v>
      </c>
      <c r="H1510" s="27" t="s">
        <v>96</v>
      </c>
      <c r="I1510">
        <v>1</v>
      </c>
    </row>
    <row r="1511" spans="1:9">
      <c r="A1511" t="s">
        <v>1926</v>
      </c>
      <c r="B1511" s="27" t="s">
        <v>3226</v>
      </c>
      <c r="C1511" s="27" t="s">
        <v>5772</v>
      </c>
      <c r="D1511">
        <f>VLOOKUP(tblTargetMedicos[[#This Row],[codigo_id]],[1]DIM_REPRESENTANTE_MEDICO!$C:$F,4,0)</f>
        <v>12</v>
      </c>
      <c r="E1511">
        <f>VLOOKUP(tblTargetMedicos[[#This Row],[codigo_id]],[1]DIM_REPRESENTANTE_MEDICO!$C:$F,3,0)</f>
        <v>1</v>
      </c>
      <c r="F1511" s="27" t="s">
        <v>5796</v>
      </c>
      <c r="G1511" s="27" t="s">
        <v>5786</v>
      </c>
      <c r="H1511" s="27" t="s">
        <v>96</v>
      </c>
      <c r="I1511">
        <v>1</v>
      </c>
    </row>
    <row r="1512" spans="1:9">
      <c r="A1512" t="s">
        <v>1927</v>
      </c>
      <c r="B1512" s="27" t="s">
        <v>3226</v>
      </c>
      <c r="C1512" s="27" t="s">
        <v>5772</v>
      </c>
      <c r="D1512">
        <f>VLOOKUP(tblTargetMedicos[[#This Row],[codigo_id]],[1]DIM_REPRESENTANTE_MEDICO!$C:$F,4,0)</f>
        <v>12</v>
      </c>
      <c r="E1512">
        <f>VLOOKUP(tblTargetMedicos[[#This Row],[codigo_id]],[1]DIM_REPRESENTANTE_MEDICO!$C:$F,3,0)</f>
        <v>1</v>
      </c>
      <c r="F1512" s="27" t="s">
        <v>5796</v>
      </c>
      <c r="G1512" s="27" t="s">
        <v>5784</v>
      </c>
      <c r="H1512" s="27" t="s">
        <v>95</v>
      </c>
      <c r="I1512">
        <v>1</v>
      </c>
    </row>
    <row r="1513" spans="1:9">
      <c r="A1513" t="s">
        <v>1928</v>
      </c>
      <c r="B1513" s="27" t="s">
        <v>3226</v>
      </c>
      <c r="C1513" s="27" t="s">
        <v>5772</v>
      </c>
      <c r="D1513">
        <f>VLOOKUP(tblTargetMedicos[[#This Row],[codigo_id]],[1]DIM_REPRESENTANTE_MEDICO!$C:$F,4,0)</f>
        <v>12</v>
      </c>
      <c r="E1513">
        <f>VLOOKUP(tblTargetMedicos[[#This Row],[codigo_id]],[1]DIM_REPRESENTANTE_MEDICO!$C:$F,3,0)</f>
        <v>1</v>
      </c>
      <c r="F1513" s="27" t="s">
        <v>5796</v>
      </c>
      <c r="G1513" s="27" t="s">
        <v>5784</v>
      </c>
      <c r="H1513" s="27" t="s">
        <v>96</v>
      </c>
      <c r="I1513">
        <v>1</v>
      </c>
    </row>
    <row r="1514" spans="1:9">
      <c r="A1514" t="s">
        <v>1929</v>
      </c>
      <c r="B1514" s="27" t="s">
        <v>3226</v>
      </c>
      <c r="C1514" s="27" t="s">
        <v>5772</v>
      </c>
      <c r="D1514">
        <f>VLOOKUP(tblTargetMedicos[[#This Row],[codigo_id]],[1]DIM_REPRESENTANTE_MEDICO!$C:$F,4,0)</f>
        <v>12</v>
      </c>
      <c r="E1514">
        <f>VLOOKUP(tblTargetMedicos[[#This Row],[codigo_id]],[1]DIM_REPRESENTANTE_MEDICO!$C:$F,3,0)</f>
        <v>1</v>
      </c>
      <c r="F1514" s="27" t="s">
        <v>5796</v>
      </c>
      <c r="G1514" s="27" t="s">
        <v>5779</v>
      </c>
      <c r="H1514" s="27" t="s">
        <v>95</v>
      </c>
      <c r="I1514">
        <v>1</v>
      </c>
    </row>
    <row r="1515" spans="1:9">
      <c r="A1515" t="s">
        <v>1930</v>
      </c>
      <c r="B1515" s="27" t="s">
        <v>3226</v>
      </c>
      <c r="C1515" s="27" t="s">
        <v>5772</v>
      </c>
      <c r="D1515">
        <f>VLOOKUP(tblTargetMedicos[[#This Row],[codigo_id]],[1]DIM_REPRESENTANTE_MEDICO!$C:$F,4,0)</f>
        <v>12</v>
      </c>
      <c r="E1515">
        <f>VLOOKUP(tblTargetMedicos[[#This Row],[codigo_id]],[1]DIM_REPRESENTANTE_MEDICO!$C:$F,3,0)</f>
        <v>1</v>
      </c>
      <c r="F1515" s="27" t="s">
        <v>5796</v>
      </c>
      <c r="G1515" s="27" t="s">
        <v>5779</v>
      </c>
      <c r="H1515" s="27" t="s">
        <v>96</v>
      </c>
      <c r="I1515">
        <v>1</v>
      </c>
    </row>
    <row r="1516" spans="1:9">
      <c r="A1516" t="s">
        <v>1931</v>
      </c>
      <c r="B1516" s="27" t="s">
        <v>3226</v>
      </c>
      <c r="C1516" s="27" t="s">
        <v>5772</v>
      </c>
      <c r="D1516">
        <f>VLOOKUP(tblTargetMedicos[[#This Row],[codigo_id]],[1]DIM_REPRESENTANTE_MEDICO!$C:$F,4,0)</f>
        <v>12</v>
      </c>
      <c r="E1516">
        <f>VLOOKUP(tblTargetMedicos[[#This Row],[codigo_id]],[1]DIM_REPRESENTANTE_MEDICO!$C:$F,3,0)</f>
        <v>1</v>
      </c>
      <c r="F1516" s="27" t="s">
        <v>5796</v>
      </c>
      <c r="G1516" s="27" t="s">
        <v>5783</v>
      </c>
      <c r="H1516" s="27" t="s">
        <v>97</v>
      </c>
      <c r="I1516">
        <v>1</v>
      </c>
    </row>
    <row r="1517" spans="1:9">
      <c r="A1517" t="s">
        <v>1932</v>
      </c>
      <c r="B1517" s="27" t="s">
        <v>3226</v>
      </c>
      <c r="C1517" s="27" t="s">
        <v>5772</v>
      </c>
      <c r="D1517">
        <f>VLOOKUP(tblTargetMedicos[[#This Row],[codigo_id]],[1]DIM_REPRESENTANTE_MEDICO!$C:$F,4,0)</f>
        <v>12</v>
      </c>
      <c r="E1517">
        <f>VLOOKUP(tblTargetMedicos[[#This Row],[codigo_id]],[1]DIM_REPRESENTANTE_MEDICO!$C:$F,3,0)</f>
        <v>1</v>
      </c>
      <c r="F1517" s="27" t="s">
        <v>5796</v>
      </c>
      <c r="G1517" s="27" t="s">
        <v>5779</v>
      </c>
      <c r="H1517" s="27" t="s">
        <v>96</v>
      </c>
      <c r="I1517">
        <v>1</v>
      </c>
    </row>
    <row r="1518" spans="1:9">
      <c r="A1518" t="s">
        <v>1933</v>
      </c>
      <c r="B1518" s="27" t="s">
        <v>3226</v>
      </c>
      <c r="C1518" s="27" t="s">
        <v>5772</v>
      </c>
      <c r="D1518">
        <f>VLOOKUP(tblTargetMedicos[[#This Row],[codigo_id]],[1]DIM_REPRESENTANTE_MEDICO!$C:$F,4,0)</f>
        <v>12</v>
      </c>
      <c r="E1518">
        <f>VLOOKUP(tblTargetMedicos[[#This Row],[codigo_id]],[1]DIM_REPRESENTANTE_MEDICO!$C:$F,3,0)</f>
        <v>1</v>
      </c>
      <c r="F1518" s="27" t="s">
        <v>5796</v>
      </c>
      <c r="G1518" s="27" t="s">
        <v>5783</v>
      </c>
      <c r="H1518" s="27" t="s">
        <v>96</v>
      </c>
      <c r="I1518">
        <v>1</v>
      </c>
    </row>
    <row r="1519" spans="1:9">
      <c r="A1519" t="s">
        <v>1934</v>
      </c>
      <c r="B1519" s="27" t="s">
        <v>3226</v>
      </c>
      <c r="C1519" s="27" t="s">
        <v>5772</v>
      </c>
      <c r="D1519">
        <f>VLOOKUP(tblTargetMedicos[[#This Row],[codigo_id]],[1]DIM_REPRESENTANTE_MEDICO!$C:$F,4,0)</f>
        <v>12</v>
      </c>
      <c r="E1519">
        <f>VLOOKUP(tblTargetMedicos[[#This Row],[codigo_id]],[1]DIM_REPRESENTANTE_MEDICO!$C:$F,3,0)</f>
        <v>1</v>
      </c>
      <c r="F1519" s="27" t="s">
        <v>5796</v>
      </c>
      <c r="G1519" s="27" t="s">
        <v>5783</v>
      </c>
      <c r="H1519" s="27" t="s">
        <v>96</v>
      </c>
      <c r="I1519">
        <v>1</v>
      </c>
    </row>
    <row r="1520" spans="1:9">
      <c r="A1520" t="s">
        <v>1935</v>
      </c>
      <c r="B1520" s="27" t="s">
        <v>3226</v>
      </c>
      <c r="C1520" s="27" t="s">
        <v>5772</v>
      </c>
      <c r="D1520">
        <f>VLOOKUP(tblTargetMedicos[[#This Row],[codigo_id]],[1]DIM_REPRESENTANTE_MEDICO!$C:$F,4,0)</f>
        <v>12</v>
      </c>
      <c r="E1520">
        <f>VLOOKUP(tblTargetMedicos[[#This Row],[codigo_id]],[1]DIM_REPRESENTANTE_MEDICO!$C:$F,3,0)</f>
        <v>1</v>
      </c>
      <c r="F1520" s="27" t="s">
        <v>5796</v>
      </c>
      <c r="G1520" s="27" t="s">
        <v>5783</v>
      </c>
      <c r="H1520" s="27" t="s">
        <v>96</v>
      </c>
      <c r="I1520">
        <v>1</v>
      </c>
    </row>
    <row r="1521" spans="1:9">
      <c r="A1521" t="s">
        <v>1936</v>
      </c>
      <c r="B1521" s="27" t="s">
        <v>3226</v>
      </c>
      <c r="C1521" s="27" t="s">
        <v>5772</v>
      </c>
      <c r="D1521">
        <f>VLOOKUP(tblTargetMedicos[[#This Row],[codigo_id]],[1]DIM_REPRESENTANTE_MEDICO!$C:$F,4,0)</f>
        <v>12</v>
      </c>
      <c r="E1521">
        <f>VLOOKUP(tblTargetMedicos[[#This Row],[codigo_id]],[1]DIM_REPRESENTANTE_MEDICO!$C:$F,3,0)</f>
        <v>1</v>
      </c>
      <c r="F1521" s="27" t="s">
        <v>5796</v>
      </c>
      <c r="G1521" s="27" t="s">
        <v>5784</v>
      </c>
      <c r="H1521" s="27" t="s">
        <v>96</v>
      </c>
      <c r="I1521">
        <v>1</v>
      </c>
    </row>
    <row r="1522" spans="1:9">
      <c r="A1522" t="s">
        <v>1937</v>
      </c>
      <c r="B1522" s="27" t="s">
        <v>3226</v>
      </c>
      <c r="C1522" s="27" t="s">
        <v>5772</v>
      </c>
      <c r="D1522">
        <f>VLOOKUP(tblTargetMedicos[[#This Row],[codigo_id]],[1]DIM_REPRESENTANTE_MEDICO!$C:$F,4,0)</f>
        <v>12</v>
      </c>
      <c r="E1522">
        <f>VLOOKUP(tblTargetMedicos[[#This Row],[codigo_id]],[1]DIM_REPRESENTANTE_MEDICO!$C:$F,3,0)</f>
        <v>1</v>
      </c>
      <c r="F1522" s="27" t="s">
        <v>5796</v>
      </c>
      <c r="G1522" s="27" t="s">
        <v>5786</v>
      </c>
      <c r="H1522" s="27" t="s">
        <v>96</v>
      </c>
      <c r="I1522">
        <v>1</v>
      </c>
    </row>
    <row r="1523" spans="1:9">
      <c r="A1523" t="s">
        <v>1938</v>
      </c>
      <c r="B1523" s="27" t="s">
        <v>3226</v>
      </c>
      <c r="C1523" s="27" t="s">
        <v>5772</v>
      </c>
      <c r="D1523">
        <f>VLOOKUP(tblTargetMedicos[[#This Row],[codigo_id]],[1]DIM_REPRESENTANTE_MEDICO!$C:$F,4,0)</f>
        <v>12</v>
      </c>
      <c r="E1523">
        <f>VLOOKUP(tblTargetMedicos[[#This Row],[codigo_id]],[1]DIM_REPRESENTANTE_MEDICO!$C:$F,3,0)</f>
        <v>1</v>
      </c>
      <c r="F1523" s="27" t="s">
        <v>5796</v>
      </c>
      <c r="G1523" s="27" t="s">
        <v>5784</v>
      </c>
      <c r="H1523" s="27" t="s">
        <v>95</v>
      </c>
      <c r="I1523">
        <v>1</v>
      </c>
    </row>
    <row r="1524" spans="1:9">
      <c r="A1524" t="s">
        <v>1939</v>
      </c>
      <c r="B1524" s="27" t="s">
        <v>3226</v>
      </c>
      <c r="C1524" s="27" t="s">
        <v>5772</v>
      </c>
      <c r="D1524">
        <f>VLOOKUP(tblTargetMedicos[[#This Row],[codigo_id]],[1]DIM_REPRESENTANTE_MEDICO!$C:$F,4,0)</f>
        <v>12</v>
      </c>
      <c r="E1524">
        <f>VLOOKUP(tblTargetMedicos[[#This Row],[codigo_id]],[1]DIM_REPRESENTANTE_MEDICO!$C:$F,3,0)</f>
        <v>1</v>
      </c>
      <c r="F1524" s="27" t="s">
        <v>5796</v>
      </c>
      <c r="G1524" s="27" t="s">
        <v>5783</v>
      </c>
      <c r="H1524" s="27" t="s">
        <v>97</v>
      </c>
      <c r="I1524">
        <v>1</v>
      </c>
    </row>
    <row r="1525" spans="1:9">
      <c r="A1525" t="s">
        <v>1940</v>
      </c>
      <c r="B1525" s="27" t="s">
        <v>3226</v>
      </c>
      <c r="C1525" s="27" t="s">
        <v>5772</v>
      </c>
      <c r="D1525">
        <f>VLOOKUP(tblTargetMedicos[[#This Row],[codigo_id]],[1]DIM_REPRESENTANTE_MEDICO!$C:$F,4,0)</f>
        <v>12</v>
      </c>
      <c r="E1525">
        <f>VLOOKUP(tblTargetMedicos[[#This Row],[codigo_id]],[1]DIM_REPRESENTANTE_MEDICO!$C:$F,3,0)</f>
        <v>1</v>
      </c>
      <c r="F1525" s="27" t="s">
        <v>5796</v>
      </c>
      <c r="G1525" s="27" t="s">
        <v>5783</v>
      </c>
      <c r="H1525" s="27" t="s">
        <v>97</v>
      </c>
      <c r="I1525">
        <v>1</v>
      </c>
    </row>
    <row r="1526" spans="1:9">
      <c r="A1526" t="s">
        <v>1941</v>
      </c>
      <c r="B1526" s="27" t="s">
        <v>3226</v>
      </c>
      <c r="C1526" s="27" t="s">
        <v>5772</v>
      </c>
      <c r="D1526">
        <f>VLOOKUP(tblTargetMedicos[[#This Row],[codigo_id]],[1]DIM_REPRESENTANTE_MEDICO!$C:$F,4,0)</f>
        <v>12</v>
      </c>
      <c r="E1526">
        <f>VLOOKUP(tblTargetMedicos[[#This Row],[codigo_id]],[1]DIM_REPRESENTANTE_MEDICO!$C:$F,3,0)</f>
        <v>1</v>
      </c>
      <c r="F1526" s="27" t="s">
        <v>5796</v>
      </c>
      <c r="G1526" s="27" t="s">
        <v>5784</v>
      </c>
      <c r="H1526" s="27" t="s">
        <v>96</v>
      </c>
      <c r="I1526">
        <v>1</v>
      </c>
    </row>
    <row r="1527" spans="1:9">
      <c r="A1527" t="s">
        <v>1942</v>
      </c>
      <c r="B1527" s="27" t="s">
        <v>3226</v>
      </c>
      <c r="C1527" s="27" t="s">
        <v>5772</v>
      </c>
      <c r="D1527">
        <f>VLOOKUP(tblTargetMedicos[[#This Row],[codigo_id]],[1]DIM_REPRESENTANTE_MEDICO!$C:$F,4,0)</f>
        <v>12</v>
      </c>
      <c r="E1527">
        <f>VLOOKUP(tblTargetMedicos[[#This Row],[codigo_id]],[1]DIM_REPRESENTANTE_MEDICO!$C:$F,3,0)</f>
        <v>1</v>
      </c>
      <c r="F1527" s="27" t="s">
        <v>5796</v>
      </c>
      <c r="G1527" s="27" t="s">
        <v>5787</v>
      </c>
      <c r="H1527" s="27" t="s">
        <v>96</v>
      </c>
      <c r="I1527">
        <v>1</v>
      </c>
    </row>
    <row r="1528" spans="1:9">
      <c r="A1528" t="s">
        <v>1943</v>
      </c>
      <c r="B1528" s="27" t="s">
        <v>3226</v>
      </c>
      <c r="C1528" s="27" t="s">
        <v>5772</v>
      </c>
      <c r="D1528">
        <f>VLOOKUP(tblTargetMedicos[[#This Row],[codigo_id]],[1]DIM_REPRESENTANTE_MEDICO!$C:$F,4,0)</f>
        <v>12</v>
      </c>
      <c r="E1528">
        <f>VLOOKUP(tblTargetMedicos[[#This Row],[codigo_id]],[1]DIM_REPRESENTANTE_MEDICO!$C:$F,3,0)</f>
        <v>1</v>
      </c>
      <c r="F1528" s="27" t="s">
        <v>5796</v>
      </c>
      <c r="G1528" s="27" t="s">
        <v>5783</v>
      </c>
      <c r="H1528" s="27" t="s">
        <v>96</v>
      </c>
      <c r="I1528">
        <v>1</v>
      </c>
    </row>
    <row r="1529" spans="1:9">
      <c r="A1529" t="s">
        <v>1944</v>
      </c>
      <c r="B1529" s="27" t="s">
        <v>3226</v>
      </c>
      <c r="C1529" s="27" t="s">
        <v>5772</v>
      </c>
      <c r="D1529">
        <f>VLOOKUP(tblTargetMedicos[[#This Row],[codigo_id]],[1]DIM_REPRESENTANTE_MEDICO!$C:$F,4,0)</f>
        <v>12</v>
      </c>
      <c r="E1529">
        <f>VLOOKUP(tblTargetMedicos[[#This Row],[codigo_id]],[1]DIM_REPRESENTANTE_MEDICO!$C:$F,3,0)</f>
        <v>1</v>
      </c>
      <c r="F1529" s="27" t="s">
        <v>5796</v>
      </c>
      <c r="G1529" s="27" t="s">
        <v>5783</v>
      </c>
      <c r="H1529" s="27" t="s">
        <v>97</v>
      </c>
      <c r="I1529">
        <v>1</v>
      </c>
    </row>
    <row r="1530" spans="1:9">
      <c r="A1530" t="s">
        <v>1945</v>
      </c>
      <c r="B1530" s="27" t="s">
        <v>3226</v>
      </c>
      <c r="C1530" s="27" t="s">
        <v>5772</v>
      </c>
      <c r="D1530">
        <f>VLOOKUP(tblTargetMedicos[[#This Row],[codigo_id]],[1]DIM_REPRESENTANTE_MEDICO!$C:$F,4,0)</f>
        <v>12</v>
      </c>
      <c r="E1530">
        <f>VLOOKUP(tblTargetMedicos[[#This Row],[codigo_id]],[1]DIM_REPRESENTANTE_MEDICO!$C:$F,3,0)</f>
        <v>1</v>
      </c>
      <c r="F1530" s="27" t="s">
        <v>5796</v>
      </c>
      <c r="G1530" s="27" t="s">
        <v>5785</v>
      </c>
      <c r="H1530" s="27" t="s">
        <v>96</v>
      </c>
      <c r="I1530">
        <v>1</v>
      </c>
    </row>
    <row r="1531" spans="1:9">
      <c r="A1531" t="s">
        <v>1946</v>
      </c>
      <c r="B1531" s="27" t="s">
        <v>3226</v>
      </c>
      <c r="C1531" s="27" t="s">
        <v>5772</v>
      </c>
      <c r="D1531">
        <f>VLOOKUP(tblTargetMedicos[[#This Row],[codigo_id]],[1]DIM_REPRESENTANTE_MEDICO!$C:$F,4,0)</f>
        <v>12</v>
      </c>
      <c r="E1531">
        <f>VLOOKUP(tblTargetMedicos[[#This Row],[codigo_id]],[1]DIM_REPRESENTANTE_MEDICO!$C:$F,3,0)</f>
        <v>1</v>
      </c>
      <c r="F1531" s="27" t="s">
        <v>5796</v>
      </c>
      <c r="G1531" s="27" t="s">
        <v>5784</v>
      </c>
      <c r="H1531" s="27" t="s">
        <v>96</v>
      </c>
      <c r="I1531">
        <v>1</v>
      </c>
    </row>
    <row r="1532" spans="1:9">
      <c r="A1532" t="s">
        <v>1947</v>
      </c>
      <c r="B1532" s="27" t="s">
        <v>3226</v>
      </c>
      <c r="C1532" s="27" t="s">
        <v>5772</v>
      </c>
      <c r="D1532">
        <f>VLOOKUP(tblTargetMedicos[[#This Row],[codigo_id]],[1]DIM_REPRESENTANTE_MEDICO!$C:$F,4,0)</f>
        <v>12</v>
      </c>
      <c r="E1532">
        <f>VLOOKUP(tblTargetMedicos[[#This Row],[codigo_id]],[1]DIM_REPRESENTANTE_MEDICO!$C:$F,3,0)</f>
        <v>1</v>
      </c>
      <c r="F1532" s="27" t="s">
        <v>5796</v>
      </c>
      <c r="G1532" s="27" t="s">
        <v>5779</v>
      </c>
      <c r="H1532" s="27" t="s">
        <v>96</v>
      </c>
      <c r="I1532">
        <v>1</v>
      </c>
    </row>
    <row r="1533" spans="1:9">
      <c r="A1533" t="s">
        <v>1948</v>
      </c>
      <c r="B1533" s="27" t="s">
        <v>3226</v>
      </c>
      <c r="C1533" s="27" t="s">
        <v>5772</v>
      </c>
      <c r="D1533">
        <f>VLOOKUP(tblTargetMedicos[[#This Row],[codigo_id]],[1]DIM_REPRESENTANTE_MEDICO!$C:$F,4,0)</f>
        <v>12</v>
      </c>
      <c r="E1533">
        <f>VLOOKUP(tblTargetMedicos[[#This Row],[codigo_id]],[1]DIM_REPRESENTANTE_MEDICO!$C:$F,3,0)</f>
        <v>1</v>
      </c>
      <c r="F1533" s="27" t="s">
        <v>5796</v>
      </c>
      <c r="G1533" s="27" t="s">
        <v>5783</v>
      </c>
      <c r="H1533" s="27" t="s">
        <v>96</v>
      </c>
      <c r="I1533">
        <v>1</v>
      </c>
    </row>
    <row r="1534" spans="1:9">
      <c r="A1534" t="s">
        <v>1949</v>
      </c>
      <c r="B1534" s="27" t="s">
        <v>3226</v>
      </c>
      <c r="C1534" s="27" t="s">
        <v>5772</v>
      </c>
      <c r="D1534">
        <f>VLOOKUP(tblTargetMedicos[[#This Row],[codigo_id]],[1]DIM_REPRESENTANTE_MEDICO!$C:$F,4,0)</f>
        <v>12</v>
      </c>
      <c r="E1534">
        <f>VLOOKUP(tblTargetMedicos[[#This Row],[codigo_id]],[1]DIM_REPRESENTANTE_MEDICO!$C:$F,3,0)</f>
        <v>1</v>
      </c>
      <c r="F1534" s="27" t="s">
        <v>5796</v>
      </c>
      <c r="G1534" s="27" t="s">
        <v>5781</v>
      </c>
      <c r="H1534" s="27" t="s">
        <v>96</v>
      </c>
      <c r="I1534">
        <v>1</v>
      </c>
    </row>
    <row r="1535" spans="1:9">
      <c r="A1535" t="s">
        <v>1950</v>
      </c>
      <c r="B1535" s="27" t="s">
        <v>3226</v>
      </c>
      <c r="C1535" s="27" t="s">
        <v>5772</v>
      </c>
      <c r="D1535">
        <f>VLOOKUP(tblTargetMedicos[[#This Row],[codigo_id]],[1]DIM_REPRESENTANTE_MEDICO!$C:$F,4,0)</f>
        <v>12</v>
      </c>
      <c r="E1535">
        <f>VLOOKUP(tblTargetMedicos[[#This Row],[codigo_id]],[1]DIM_REPRESENTANTE_MEDICO!$C:$F,3,0)</f>
        <v>1</v>
      </c>
      <c r="F1535" s="27" t="s">
        <v>5796</v>
      </c>
      <c r="G1535" s="27" t="s">
        <v>5779</v>
      </c>
      <c r="H1535" s="27" t="s">
        <v>96</v>
      </c>
      <c r="I1535">
        <v>1</v>
      </c>
    </row>
    <row r="1536" spans="1:9">
      <c r="A1536" t="s">
        <v>1951</v>
      </c>
      <c r="B1536" s="27" t="s">
        <v>3226</v>
      </c>
      <c r="C1536" s="27" t="s">
        <v>5772</v>
      </c>
      <c r="D1536">
        <f>VLOOKUP(tblTargetMedicos[[#This Row],[codigo_id]],[1]DIM_REPRESENTANTE_MEDICO!$C:$F,4,0)</f>
        <v>12</v>
      </c>
      <c r="E1536">
        <f>VLOOKUP(tblTargetMedicos[[#This Row],[codigo_id]],[1]DIM_REPRESENTANTE_MEDICO!$C:$F,3,0)</f>
        <v>1</v>
      </c>
      <c r="F1536" s="27" t="s">
        <v>5796</v>
      </c>
      <c r="G1536" s="27" t="s">
        <v>5786</v>
      </c>
      <c r="H1536" s="27" t="s">
        <v>96</v>
      </c>
      <c r="I1536">
        <v>1</v>
      </c>
    </row>
    <row r="1537" spans="1:9">
      <c r="A1537" t="s">
        <v>1952</v>
      </c>
      <c r="B1537" s="27" t="s">
        <v>3226</v>
      </c>
      <c r="C1537" s="27" t="s">
        <v>5772</v>
      </c>
      <c r="D1537">
        <f>VLOOKUP(tblTargetMedicos[[#This Row],[codigo_id]],[1]DIM_REPRESENTANTE_MEDICO!$C:$F,4,0)</f>
        <v>12</v>
      </c>
      <c r="E1537">
        <f>VLOOKUP(tblTargetMedicos[[#This Row],[codigo_id]],[1]DIM_REPRESENTANTE_MEDICO!$C:$F,3,0)</f>
        <v>1</v>
      </c>
      <c r="F1537" s="27" t="s">
        <v>5796</v>
      </c>
      <c r="G1537" s="27" t="s">
        <v>5785</v>
      </c>
      <c r="H1537" s="27" t="s">
        <v>96</v>
      </c>
      <c r="I1537">
        <v>1</v>
      </c>
    </row>
    <row r="1538" spans="1:9">
      <c r="A1538" t="s">
        <v>1953</v>
      </c>
      <c r="B1538" s="27" t="s">
        <v>3226</v>
      </c>
      <c r="C1538" s="27" t="s">
        <v>5772</v>
      </c>
      <c r="D1538">
        <f>VLOOKUP(tblTargetMedicos[[#This Row],[codigo_id]],[1]DIM_REPRESENTANTE_MEDICO!$C:$F,4,0)</f>
        <v>12</v>
      </c>
      <c r="E1538">
        <f>VLOOKUP(tblTargetMedicos[[#This Row],[codigo_id]],[1]DIM_REPRESENTANTE_MEDICO!$C:$F,3,0)</f>
        <v>1</v>
      </c>
      <c r="F1538" s="27" t="s">
        <v>5796</v>
      </c>
      <c r="G1538" s="27" t="s">
        <v>5779</v>
      </c>
      <c r="H1538" s="27" t="s">
        <v>96</v>
      </c>
      <c r="I1538">
        <v>1</v>
      </c>
    </row>
    <row r="1539" spans="1:9">
      <c r="A1539" t="s">
        <v>1954</v>
      </c>
      <c r="B1539" s="27" t="s">
        <v>3226</v>
      </c>
      <c r="C1539" s="27" t="s">
        <v>5772</v>
      </c>
      <c r="D1539">
        <f>VLOOKUP(tblTargetMedicos[[#This Row],[codigo_id]],[1]DIM_REPRESENTANTE_MEDICO!$C:$F,4,0)</f>
        <v>12</v>
      </c>
      <c r="E1539">
        <f>VLOOKUP(tblTargetMedicos[[#This Row],[codigo_id]],[1]DIM_REPRESENTANTE_MEDICO!$C:$F,3,0)</f>
        <v>1</v>
      </c>
      <c r="F1539" s="27" t="s">
        <v>5796</v>
      </c>
      <c r="G1539" s="27" t="s">
        <v>5780</v>
      </c>
      <c r="H1539" s="27" t="s">
        <v>97</v>
      </c>
      <c r="I1539">
        <v>1</v>
      </c>
    </row>
    <row r="1540" spans="1:9">
      <c r="A1540" t="s">
        <v>1955</v>
      </c>
      <c r="B1540" s="27" t="s">
        <v>3226</v>
      </c>
      <c r="C1540" s="27" t="s">
        <v>5772</v>
      </c>
      <c r="D1540">
        <f>VLOOKUP(tblTargetMedicos[[#This Row],[codigo_id]],[1]DIM_REPRESENTANTE_MEDICO!$C:$F,4,0)</f>
        <v>12</v>
      </c>
      <c r="E1540">
        <f>VLOOKUP(tblTargetMedicos[[#This Row],[codigo_id]],[1]DIM_REPRESENTANTE_MEDICO!$C:$F,3,0)</f>
        <v>1</v>
      </c>
      <c r="F1540" s="27" t="s">
        <v>5796</v>
      </c>
      <c r="G1540" s="27" t="s">
        <v>5783</v>
      </c>
      <c r="H1540" s="27" t="s">
        <v>97</v>
      </c>
      <c r="I1540">
        <v>1</v>
      </c>
    </row>
    <row r="1541" spans="1:9">
      <c r="A1541" t="s">
        <v>1956</v>
      </c>
      <c r="B1541" s="27" t="s">
        <v>3226</v>
      </c>
      <c r="C1541" s="27" t="s">
        <v>5772</v>
      </c>
      <c r="D1541">
        <f>VLOOKUP(tblTargetMedicos[[#This Row],[codigo_id]],[1]DIM_REPRESENTANTE_MEDICO!$C:$F,4,0)</f>
        <v>12</v>
      </c>
      <c r="E1541">
        <f>VLOOKUP(tblTargetMedicos[[#This Row],[codigo_id]],[1]DIM_REPRESENTANTE_MEDICO!$C:$F,3,0)</f>
        <v>1</v>
      </c>
      <c r="F1541" s="27" t="s">
        <v>5796</v>
      </c>
      <c r="G1541" s="27" t="s">
        <v>5783</v>
      </c>
      <c r="H1541" s="27" t="s">
        <v>96</v>
      </c>
      <c r="I1541">
        <v>1</v>
      </c>
    </row>
    <row r="1542" spans="1:9">
      <c r="A1542" t="s">
        <v>1957</v>
      </c>
      <c r="B1542" s="27" t="s">
        <v>3226</v>
      </c>
      <c r="C1542" s="27" t="s">
        <v>5772</v>
      </c>
      <c r="D1542">
        <f>VLOOKUP(tblTargetMedicos[[#This Row],[codigo_id]],[1]DIM_REPRESENTANTE_MEDICO!$C:$F,4,0)</f>
        <v>12</v>
      </c>
      <c r="E1542">
        <f>VLOOKUP(tblTargetMedicos[[#This Row],[codigo_id]],[1]DIM_REPRESENTANTE_MEDICO!$C:$F,3,0)</f>
        <v>1</v>
      </c>
      <c r="F1542" s="27" t="s">
        <v>5796</v>
      </c>
      <c r="G1542" s="27" t="s">
        <v>5783</v>
      </c>
      <c r="H1542" s="27" t="s">
        <v>96</v>
      </c>
      <c r="I1542">
        <v>1</v>
      </c>
    </row>
    <row r="1543" spans="1:9">
      <c r="A1543" t="s">
        <v>1958</v>
      </c>
      <c r="B1543" s="27" t="s">
        <v>3226</v>
      </c>
      <c r="C1543" s="27" t="s">
        <v>5772</v>
      </c>
      <c r="D1543">
        <f>VLOOKUP(tblTargetMedicos[[#This Row],[codigo_id]],[1]DIM_REPRESENTANTE_MEDICO!$C:$F,4,0)</f>
        <v>12</v>
      </c>
      <c r="E1543">
        <f>VLOOKUP(tblTargetMedicos[[#This Row],[codigo_id]],[1]DIM_REPRESENTANTE_MEDICO!$C:$F,3,0)</f>
        <v>1</v>
      </c>
      <c r="F1543" s="27" t="s">
        <v>5796</v>
      </c>
      <c r="G1543" s="27" t="s">
        <v>5779</v>
      </c>
      <c r="H1543" s="27" t="s">
        <v>95</v>
      </c>
      <c r="I1543">
        <v>1</v>
      </c>
    </row>
    <row r="1544" spans="1:9">
      <c r="A1544" t="s">
        <v>1959</v>
      </c>
      <c r="B1544" s="27" t="s">
        <v>3226</v>
      </c>
      <c r="C1544" s="27" t="s">
        <v>5772</v>
      </c>
      <c r="D1544">
        <f>VLOOKUP(tblTargetMedicos[[#This Row],[codigo_id]],[1]DIM_REPRESENTANTE_MEDICO!$C:$F,4,0)</f>
        <v>12</v>
      </c>
      <c r="E1544">
        <f>VLOOKUP(tblTargetMedicos[[#This Row],[codigo_id]],[1]DIM_REPRESENTANTE_MEDICO!$C:$F,3,0)</f>
        <v>1</v>
      </c>
      <c r="F1544" s="27" t="s">
        <v>5796</v>
      </c>
      <c r="G1544" s="27" t="s">
        <v>5784</v>
      </c>
      <c r="H1544" s="27" t="s">
        <v>96</v>
      </c>
      <c r="I1544">
        <v>1</v>
      </c>
    </row>
    <row r="1545" spans="1:9">
      <c r="A1545" t="s">
        <v>1960</v>
      </c>
      <c r="B1545" s="27" t="s">
        <v>3226</v>
      </c>
      <c r="C1545" s="27" t="s">
        <v>5772</v>
      </c>
      <c r="D1545">
        <f>VLOOKUP(tblTargetMedicos[[#This Row],[codigo_id]],[1]DIM_REPRESENTANTE_MEDICO!$C:$F,4,0)</f>
        <v>12</v>
      </c>
      <c r="E1545">
        <f>VLOOKUP(tblTargetMedicos[[#This Row],[codigo_id]],[1]DIM_REPRESENTANTE_MEDICO!$C:$F,3,0)</f>
        <v>1</v>
      </c>
      <c r="F1545" s="27" t="s">
        <v>5796</v>
      </c>
      <c r="G1545" s="27" t="s">
        <v>5783</v>
      </c>
      <c r="H1545" s="27" t="s">
        <v>96</v>
      </c>
      <c r="I1545">
        <v>1</v>
      </c>
    </row>
    <row r="1546" spans="1:9">
      <c r="A1546" t="s">
        <v>1961</v>
      </c>
      <c r="B1546" s="27" t="s">
        <v>3226</v>
      </c>
      <c r="C1546" s="27" t="s">
        <v>5772</v>
      </c>
      <c r="D1546">
        <f>VLOOKUP(tblTargetMedicos[[#This Row],[codigo_id]],[1]DIM_REPRESENTANTE_MEDICO!$C:$F,4,0)</f>
        <v>12</v>
      </c>
      <c r="E1546">
        <f>VLOOKUP(tblTargetMedicos[[#This Row],[codigo_id]],[1]DIM_REPRESENTANTE_MEDICO!$C:$F,3,0)</f>
        <v>1</v>
      </c>
      <c r="F1546" s="27" t="s">
        <v>5796</v>
      </c>
      <c r="G1546" s="27" t="s">
        <v>5785</v>
      </c>
      <c r="H1546" s="27" t="s">
        <v>96</v>
      </c>
      <c r="I1546">
        <v>1</v>
      </c>
    </row>
    <row r="1547" spans="1:9">
      <c r="A1547" t="s">
        <v>1962</v>
      </c>
      <c r="B1547" s="27" t="s">
        <v>3226</v>
      </c>
      <c r="C1547" s="27" t="s">
        <v>5772</v>
      </c>
      <c r="D1547">
        <f>VLOOKUP(tblTargetMedicos[[#This Row],[codigo_id]],[1]DIM_REPRESENTANTE_MEDICO!$C:$F,4,0)</f>
        <v>12</v>
      </c>
      <c r="E1547">
        <f>VLOOKUP(tblTargetMedicos[[#This Row],[codigo_id]],[1]DIM_REPRESENTANTE_MEDICO!$C:$F,3,0)</f>
        <v>1</v>
      </c>
      <c r="F1547" s="27" t="s">
        <v>5796</v>
      </c>
      <c r="G1547" s="27" t="s">
        <v>5783</v>
      </c>
      <c r="H1547" s="27" t="s">
        <v>96</v>
      </c>
      <c r="I1547">
        <v>1</v>
      </c>
    </row>
    <row r="1548" spans="1:9">
      <c r="A1548" t="s">
        <v>1963</v>
      </c>
      <c r="B1548" s="27" t="s">
        <v>3226</v>
      </c>
      <c r="C1548" s="27" t="s">
        <v>5772</v>
      </c>
      <c r="D1548">
        <f>VLOOKUP(tblTargetMedicos[[#This Row],[codigo_id]],[1]DIM_REPRESENTANTE_MEDICO!$C:$F,4,0)</f>
        <v>12</v>
      </c>
      <c r="E1548">
        <f>VLOOKUP(tblTargetMedicos[[#This Row],[codigo_id]],[1]DIM_REPRESENTANTE_MEDICO!$C:$F,3,0)</f>
        <v>1</v>
      </c>
      <c r="F1548" s="27" t="s">
        <v>5796</v>
      </c>
      <c r="G1548" s="27" t="s">
        <v>5780</v>
      </c>
      <c r="H1548" s="27" t="s">
        <v>96</v>
      </c>
      <c r="I1548">
        <v>1</v>
      </c>
    </row>
    <row r="1549" spans="1:9">
      <c r="A1549" t="s">
        <v>1964</v>
      </c>
      <c r="B1549" s="27" t="s">
        <v>3226</v>
      </c>
      <c r="C1549" s="27" t="s">
        <v>5772</v>
      </c>
      <c r="D1549">
        <f>VLOOKUP(tblTargetMedicos[[#This Row],[codigo_id]],[1]DIM_REPRESENTANTE_MEDICO!$C:$F,4,0)</f>
        <v>12</v>
      </c>
      <c r="E1549">
        <f>VLOOKUP(tblTargetMedicos[[#This Row],[codigo_id]],[1]DIM_REPRESENTANTE_MEDICO!$C:$F,3,0)</f>
        <v>1</v>
      </c>
      <c r="F1549" s="27" t="s">
        <v>5796</v>
      </c>
      <c r="G1549" s="27" t="s">
        <v>5783</v>
      </c>
      <c r="H1549" s="27" t="s">
        <v>96</v>
      </c>
      <c r="I1549">
        <v>1</v>
      </c>
    </row>
    <row r="1550" spans="1:9">
      <c r="A1550" t="s">
        <v>1965</v>
      </c>
      <c r="B1550" s="27" t="s">
        <v>3226</v>
      </c>
      <c r="C1550" s="27" t="s">
        <v>5772</v>
      </c>
      <c r="D1550">
        <f>VLOOKUP(tblTargetMedicos[[#This Row],[codigo_id]],[1]DIM_REPRESENTANTE_MEDICO!$C:$F,4,0)</f>
        <v>12</v>
      </c>
      <c r="E1550">
        <f>VLOOKUP(tblTargetMedicos[[#This Row],[codigo_id]],[1]DIM_REPRESENTANTE_MEDICO!$C:$F,3,0)</f>
        <v>1</v>
      </c>
      <c r="F1550" s="27" t="s">
        <v>5796</v>
      </c>
      <c r="G1550" s="27" t="s">
        <v>5786</v>
      </c>
      <c r="H1550" s="27" t="s">
        <v>96</v>
      </c>
      <c r="I1550">
        <v>1</v>
      </c>
    </row>
    <row r="1551" spans="1:9">
      <c r="A1551" t="s">
        <v>1966</v>
      </c>
      <c r="B1551" s="27" t="s">
        <v>3226</v>
      </c>
      <c r="C1551" s="27" t="s">
        <v>5772</v>
      </c>
      <c r="D1551">
        <f>VLOOKUP(tblTargetMedicos[[#This Row],[codigo_id]],[1]DIM_REPRESENTANTE_MEDICO!$C:$F,4,0)</f>
        <v>12</v>
      </c>
      <c r="E1551">
        <f>VLOOKUP(tblTargetMedicos[[#This Row],[codigo_id]],[1]DIM_REPRESENTANTE_MEDICO!$C:$F,3,0)</f>
        <v>1</v>
      </c>
      <c r="F1551" s="27" t="s">
        <v>5796</v>
      </c>
      <c r="G1551" s="27" t="s">
        <v>5783</v>
      </c>
      <c r="H1551" s="27" t="s">
        <v>97</v>
      </c>
      <c r="I1551">
        <v>1</v>
      </c>
    </row>
    <row r="1552" spans="1:9">
      <c r="A1552" t="s">
        <v>1967</v>
      </c>
      <c r="B1552" s="27" t="s">
        <v>3226</v>
      </c>
      <c r="C1552" s="27" t="s">
        <v>5772</v>
      </c>
      <c r="D1552">
        <f>VLOOKUP(tblTargetMedicos[[#This Row],[codigo_id]],[1]DIM_REPRESENTANTE_MEDICO!$C:$F,4,0)</f>
        <v>12</v>
      </c>
      <c r="E1552">
        <f>VLOOKUP(tblTargetMedicos[[#This Row],[codigo_id]],[1]DIM_REPRESENTANTE_MEDICO!$C:$F,3,0)</f>
        <v>1</v>
      </c>
      <c r="F1552" s="27" t="s">
        <v>5796</v>
      </c>
      <c r="G1552" s="27" t="s">
        <v>5779</v>
      </c>
      <c r="H1552" s="27" t="s">
        <v>96</v>
      </c>
      <c r="I1552">
        <v>1</v>
      </c>
    </row>
    <row r="1553" spans="1:9">
      <c r="A1553" t="s">
        <v>1968</v>
      </c>
      <c r="B1553" s="27" t="s">
        <v>3226</v>
      </c>
      <c r="C1553" s="27" t="s">
        <v>5772</v>
      </c>
      <c r="D1553">
        <f>VLOOKUP(tblTargetMedicos[[#This Row],[codigo_id]],[1]DIM_REPRESENTANTE_MEDICO!$C:$F,4,0)</f>
        <v>12</v>
      </c>
      <c r="E1553">
        <f>VLOOKUP(tblTargetMedicos[[#This Row],[codigo_id]],[1]DIM_REPRESENTANTE_MEDICO!$C:$F,3,0)</f>
        <v>1</v>
      </c>
      <c r="F1553" s="27" t="s">
        <v>5796</v>
      </c>
      <c r="G1553" s="27" t="s">
        <v>5779</v>
      </c>
      <c r="H1553" s="27" t="s">
        <v>96</v>
      </c>
      <c r="I1553">
        <v>1</v>
      </c>
    </row>
    <row r="1554" spans="1:9">
      <c r="A1554" t="s">
        <v>1969</v>
      </c>
      <c r="B1554" s="27" t="s">
        <v>3226</v>
      </c>
      <c r="C1554" s="27" t="s">
        <v>5772</v>
      </c>
      <c r="D1554">
        <f>VLOOKUP(tblTargetMedicos[[#This Row],[codigo_id]],[1]DIM_REPRESENTANTE_MEDICO!$C:$F,4,0)</f>
        <v>12</v>
      </c>
      <c r="E1554">
        <f>VLOOKUP(tblTargetMedicos[[#This Row],[codigo_id]],[1]DIM_REPRESENTANTE_MEDICO!$C:$F,3,0)</f>
        <v>1</v>
      </c>
      <c r="F1554" s="27" t="s">
        <v>5796</v>
      </c>
      <c r="G1554" s="27" t="s">
        <v>5785</v>
      </c>
      <c r="H1554" s="27" t="s">
        <v>96</v>
      </c>
      <c r="I1554">
        <v>1</v>
      </c>
    </row>
    <row r="1555" spans="1:9">
      <c r="A1555" t="s">
        <v>1970</v>
      </c>
      <c r="B1555" s="27" t="s">
        <v>3226</v>
      </c>
      <c r="C1555" s="27" t="s">
        <v>5772</v>
      </c>
      <c r="D1555">
        <f>VLOOKUP(tblTargetMedicos[[#This Row],[codigo_id]],[1]DIM_REPRESENTANTE_MEDICO!$C:$F,4,0)</f>
        <v>12</v>
      </c>
      <c r="E1555">
        <f>VLOOKUP(tblTargetMedicos[[#This Row],[codigo_id]],[1]DIM_REPRESENTANTE_MEDICO!$C:$F,3,0)</f>
        <v>1</v>
      </c>
      <c r="F1555" s="27" t="s">
        <v>5796</v>
      </c>
      <c r="G1555" s="27" t="s">
        <v>5783</v>
      </c>
      <c r="H1555" s="27" t="s">
        <v>96</v>
      </c>
      <c r="I1555">
        <v>1</v>
      </c>
    </row>
    <row r="1556" spans="1:9">
      <c r="A1556" t="s">
        <v>1971</v>
      </c>
      <c r="B1556" s="27" t="s">
        <v>3226</v>
      </c>
      <c r="C1556" s="27" t="s">
        <v>5772</v>
      </c>
      <c r="D1556">
        <f>VLOOKUP(tblTargetMedicos[[#This Row],[codigo_id]],[1]DIM_REPRESENTANTE_MEDICO!$C:$F,4,0)</f>
        <v>12</v>
      </c>
      <c r="E1556">
        <f>VLOOKUP(tblTargetMedicos[[#This Row],[codigo_id]],[1]DIM_REPRESENTANTE_MEDICO!$C:$F,3,0)</f>
        <v>1</v>
      </c>
      <c r="F1556" s="27" t="s">
        <v>5796</v>
      </c>
      <c r="G1556" s="27" t="s">
        <v>5783</v>
      </c>
      <c r="H1556" s="27" t="s">
        <v>96</v>
      </c>
      <c r="I1556">
        <v>1</v>
      </c>
    </row>
    <row r="1557" spans="1:9">
      <c r="A1557" t="s">
        <v>1972</v>
      </c>
      <c r="B1557" s="27" t="s">
        <v>3226</v>
      </c>
      <c r="C1557" s="27" t="s">
        <v>5772</v>
      </c>
      <c r="D1557">
        <f>VLOOKUP(tblTargetMedicos[[#This Row],[codigo_id]],[1]DIM_REPRESENTANTE_MEDICO!$C:$F,4,0)</f>
        <v>12</v>
      </c>
      <c r="E1557">
        <f>VLOOKUP(tblTargetMedicos[[#This Row],[codigo_id]],[1]DIM_REPRESENTANTE_MEDICO!$C:$F,3,0)</f>
        <v>1</v>
      </c>
      <c r="F1557" s="27" t="s">
        <v>5796</v>
      </c>
      <c r="G1557" s="27" t="s">
        <v>5780</v>
      </c>
      <c r="H1557" s="27" t="s">
        <v>96</v>
      </c>
      <c r="I1557">
        <v>1</v>
      </c>
    </row>
    <row r="1558" spans="1:9">
      <c r="A1558" t="s">
        <v>1973</v>
      </c>
      <c r="B1558" s="27" t="s">
        <v>3226</v>
      </c>
      <c r="C1558" s="27" t="s">
        <v>5772</v>
      </c>
      <c r="D1558">
        <f>VLOOKUP(tblTargetMedicos[[#This Row],[codigo_id]],[1]DIM_REPRESENTANTE_MEDICO!$C:$F,4,0)</f>
        <v>12</v>
      </c>
      <c r="E1558">
        <f>VLOOKUP(tblTargetMedicos[[#This Row],[codigo_id]],[1]DIM_REPRESENTANTE_MEDICO!$C:$F,3,0)</f>
        <v>1</v>
      </c>
      <c r="F1558" s="27" t="s">
        <v>5796</v>
      </c>
      <c r="G1558" s="27" t="s">
        <v>5785</v>
      </c>
      <c r="H1558" s="27" t="s">
        <v>96</v>
      </c>
      <c r="I1558">
        <v>1</v>
      </c>
    </row>
    <row r="1559" spans="1:9">
      <c r="A1559" t="s">
        <v>1974</v>
      </c>
      <c r="B1559" s="27" t="s">
        <v>3226</v>
      </c>
      <c r="C1559" s="27" t="s">
        <v>5772</v>
      </c>
      <c r="D1559">
        <f>VLOOKUP(tblTargetMedicos[[#This Row],[codigo_id]],[1]DIM_REPRESENTANTE_MEDICO!$C:$F,4,0)</f>
        <v>12</v>
      </c>
      <c r="E1559">
        <f>VLOOKUP(tblTargetMedicos[[#This Row],[codigo_id]],[1]DIM_REPRESENTANTE_MEDICO!$C:$F,3,0)</f>
        <v>1</v>
      </c>
      <c r="F1559" s="27" t="s">
        <v>5796</v>
      </c>
      <c r="G1559" s="27" t="s">
        <v>5791</v>
      </c>
      <c r="H1559" s="27" t="s">
        <v>96</v>
      </c>
      <c r="I1559">
        <v>1</v>
      </c>
    </row>
    <row r="1560" spans="1:9">
      <c r="A1560" t="s">
        <v>1975</v>
      </c>
      <c r="B1560" s="27" t="s">
        <v>3226</v>
      </c>
      <c r="C1560" s="27" t="s">
        <v>5772</v>
      </c>
      <c r="D1560">
        <f>VLOOKUP(tblTargetMedicos[[#This Row],[codigo_id]],[1]DIM_REPRESENTANTE_MEDICO!$C:$F,4,0)</f>
        <v>12</v>
      </c>
      <c r="E1560">
        <f>VLOOKUP(tblTargetMedicos[[#This Row],[codigo_id]],[1]DIM_REPRESENTANTE_MEDICO!$C:$F,3,0)</f>
        <v>1</v>
      </c>
      <c r="F1560" s="27" t="s">
        <v>5796</v>
      </c>
      <c r="G1560" s="27" t="s">
        <v>5784</v>
      </c>
      <c r="H1560" s="27" t="s">
        <v>96</v>
      </c>
      <c r="I1560">
        <v>1</v>
      </c>
    </row>
    <row r="1561" spans="1:9">
      <c r="A1561" t="s">
        <v>1976</v>
      </c>
      <c r="B1561" s="27" t="s">
        <v>3226</v>
      </c>
      <c r="C1561" s="27" t="s">
        <v>5772</v>
      </c>
      <c r="D1561">
        <f>VLOOKUP(tblTargetMedicos[[#This Row],[codigo_id]],[1]DIM_REPRESENTANTE_MEDICO!$C:$F,4,0)</f>
        <v>12</v>
      </c>
      <c r="E1561">
        <f>VLOOKUP(tblTargetMedicos[[#This Row],[codigo_id]],[1]DIM_REPRESENTANTE_MEDICO!$C:$F,3,0)</f>
        <v>1</v>
      </c>
      <c r="F1561" s="27" t="s">
        <v>5796</v>
      </c>
      <c r="G1561" s="27" t="s">
        <v>5783</v>
      </c>
      <c r="H1561" s="27" t="s">
        <v>96</v>
      </c>
      <c r="I1561">
        <v>1</v>
      </c>
    </row>
    <row r="1562" spans="1:9">
      <c r="A1562" t="s">
        <v>1977</v>
      </c>
      <c r="B1562" s="27" t="s">
        <v>3226</v>
      </c>
      <c r="C1562" s="27" t="s">
        <v>5772</v>
      </c>
      <c r="D1562">
        <f>VLOOKUP(tblTargetMedicos[[#This Row],[codigo_id]],[1]DIM_REPRESENTANTE_MEDICO!$C:$F,4,0)</f>
        <v>12</v>
      </c>
      <c r="E1562">
        <f>VLOOKUP(tblTargetMedicos[[#This Row],[codigo_id]],[1]DIM_REPRESENTANTE_MEDICO!$C:$F,3,0)</f>
        <v>1</v>
      </c>
      <c r="F1562" s="27" t="s">
        <v>5796</v>
      </c>
      <c r="G1562" s="27" t="s">
        <v>5784</v>
      </c>
      <c r="H1562" s="27" t="s">
        <v>96</v>
      </c>
      <c r="I1562">
        <v>1</v>
      </c>
    </row>
    <row r="1563" spans="1:9">
      <c r="A1563" t="s">
        <v>1978</v>
      </c>
      <c r="B1563" s="27" t="s">
        <v>3226</v>
      </c>
      <c r="C1563" s="27" t="s">
        <v>5772</v>
      </c>
      <c r="D1563">
        <f>VLOOKUP(tblTargetMedicos[[#This Row],[codigo_id]],[1]DIM_REPRESENTANTE_MEDICO!$C:$F,4,0)</f>
        <v>12</v>
      </c>
      <c r="E1563">
        <f>VLOOKUP(tblTargetMedicos[[#This Row],[codigo_id]],[1]DIM_REPRESENTANTE_MEDICO!$C:$F,3,0)</f>
        <v>1</v>
      </c>
      <c r="F1563" s="27" t="s">
        <v>5796</v>
      </c>
      <c r="G1563" s="27" t="s">
        <v>5783</v>
      </c>
      <c r="H1563" s="27" t="s">
        <v>96</v>
      </c>
      <c r="I1563">
        <v>1</v>
      </c>
    </row>
    <row r="1564" spans="1:9">
      <c r="A1564" t="s">
        <v>1979</v>
      </c>
      <c r="B1564" s="27" t="s">
        <v>3226</v>
      </c>
      <c r="C1564" s="27" t="s">
        <v>5772</v>
      </c>
      <c r="D1564">
        <f>VLOOKUP(tblTargetMedicos[[#This Row],[codigo_id]],[1]DIM_REPRESENTANTE_MEDICO!$C:$F,4,0)</f>
        <v>12</v>
      </c>
      <c r="E1564">
        <f>VLOOKUP(tblTargetMedicos[[#This Row],[codigo_id]],[1]DIM_REPRESENTANTE_MEDICO!$C:$F,3,0)</f>
        <v>1</v>
      </c>
      <c r="F1564" s="27" t="s">
        <v>5796</v>
      </c>
      <c r="G1564" s="27" t="s">
        <v>5783</v>
      </c>
      <c r="H1564" s="27" t="s">
        <v>96</v>
      </c>
      <c r="I1564">
        <v>1</v>
      </c>
    </row>
    <row r="1565" spans="1:9">
      <c r="A1565" t="s">
        <v>1980</v>
      </c>
      <c r="B1565" s="27" t="s">
        <v>3226</v>
      </c>
      <c r="C1565" s="27" t="s">
        <v>5772</v>
      </c>
      <c r="D1565">
        <f>VLOOKUP(tblTargetMedicos[[#This Row],[codigo_id]],[1]DIM_REPRESENTANTE_MEDICO!$C:$F,4,0)</f>
        <v>12</v>
      </c>
      <c r="E1565">
        <f>VLOOKUP(tblTargetMedicos[[#This Row],[codigo_id]],[1]DIM_REPRESENTANTE_MEDICO!$C:$F,3,0)</f>
        <v>1</v>
      </c>
      <c r="F1565" s="27" t="s">
        <v>5796</v>
      </c>
      <c r="G1565" s="27" t="s">
        <v>5784</v>
      </c>
      <c r="H1565" s="27" t="s">
        <v>96</v>
      </c>
      <c r="I1565">
        <v>1</v>
      </c>
    </row>
    <row r="1566" spans="1:9">
      <c r="A1566" t="s">
        <v>1981</v>
      </c>
      <c r="B1566" s="27" t="s">
        <v>3226</v>
      </c>
      <c r="C1566" s="27" t="s">
        <v>5772</v>
      </c>
      <c r="D1566">
        <f>VLOOKUP(tblTargetMedicos[[#This Row],[codigo_id]],[1]DIM_REPRESENTANTE_MEDICO!$C:$F,4,0)</f>
        <v>12</v>
      </c>
      <c r="E1566">
        <f>VLOOKUP(tblTargetMedicos[[#This Row],[codigo_id]],[1]DIM_REPRESENTANTE_MEDICO!$C:$F,3,0)</f>
        <v>1</v>
      </c>
      <c r="F1566" s="27" t="s">
        <v>5796</v>
      </c>
      <c r="G1566" s="27" t="s">
        <v>5784</v>
      </c>
      <c r="H1566" s="27" t="s">
        <v>97</v>
      </c>
      <c r="I1566">
        <v>1</v>
      </c>
    </row>
    <row r="1567" spans="1:9">
      <c r="A1567" t="s">
        <v>1982</v>
      </c>
      <c r="B1567" s="27" t="s">
        <v>3226</v>
      </c>
      <c r="C1567" s="27" t="s">
        <v>5772</v>
      </c>
      <c r="D1567">
        <f>VLOOKUP(tblTargetMedicos[[#This Row],[codigo_id]],[1]DIM_REPRESENTANTE_MEDICO!$C:$F,4,0)</f>
        <v>12</v>
      </c>
      <c r="E1567">
        <f>VLOOKUP(tblTargetMedicos[[#This Row],[codigo_id]],[1]DIM_REPRESENTANTE_MEDICO!$C:$F,3,0)</f>
        <v>1</v>
      </c>
      <c r="F1567" s="27" t="s">
        <v>5796</v>
      </c>
      <c r="G1567" s="27" t="s">
        <v>5783</v>
      </c>
      <c r="H1567" s="27" t="s">
        <v>96</v>
      </c>
      <c r="I1567">
        <v>1</v>
      </c>
    </row>
    <row r="1568" spans="1:9">
      <c r="A1568" t="s">
        <v>1983</v>
      </c>
      <c r="B1568" s="27" t="s">
        <v>3226</v>
      </c>
      <c r="C1568" s="27" t="s">
        <v>5772</v>
      </c>
      <c r="D1568">
        <f>VLOOKUP(tblTargetMedicos[[#This Row],[codigo_id]],[1]DIM_REPRESENTANTE_MEDICO!$C:$F,4,0)</f>
        <v>12</v>
      </c>
      <c r="E1568">
        <f>VLOOKUP(tblTargetMedicos[[#This Row],[codigo_id]],[1]DIM_REPRESENTANTE_MEDICO!$C:$F,3,0)</f>
        <v>1</v>
      </c>
      <c r="F1568" s="27" t="s">
        <v>5796</v>
      </c>
      <c r="G1568" s="27" t="s">
        <v>5784</v>
      </c>
      <c r="H1568" s="27" t="s">
        <v>96</v>
      </c>
      <c r="I1568">
        <v>1</v>
      </c>
    </row>
    <row r="1569" spans="1:9">
      <c r="A1569" t="s">
        <v>1984</v>
      </c>
      <c r="B1569" s="27" t="s">
        <v>3226</v>
      </c>
      <c r="C1569" s="27" t="s">
        <v>5772</v>
      </c>
      <c r="D1569">
        <f>VLOOKUP(tblTargetMedicos[[#This Row],[codigo_id]],[1]DIM_REPRESENTANTE_MEDICO!$C:$F,4,0)</f>
        <v>12</v>
      </c>
      <c r="E1569">
        <f>VLOOKUP(tblTargetMedicos[[#This Row],[codigo_id]],[1]DIM_REPRESENTANTE_MEDICO!$C:$F,3,0)</f>
        <v>1</v>
      </c>
      <c r="F1569" s="27" t="s">
        <v>5796</v>
      </c>
      <c r="G1569" s="27" t="s">
        <v>5783</v>
      </c>
      <c r="H1569" s="27" t="s">
        <v>96</v>
      </c>
      <c r="I1569">
        <v>1</v>
      </c>
    </row>
    <row r="1570" spans="1:9">
      <c r="A1570" t="s">
        <v>1985</v>
      </c>
      <c r="B1570" s="27" t="s">
        <v>3226</v>
      </c>
      <c r="C1570" s="27" t="s">
        <v>5772</v>
      </c>
      <c r="D1570">
        <f>VLOOKUP(tblTargetMedicos[[#This Row],[codigo_id]],[1]DIM_REPRESENTANTE_MEDICO!$C:$F,4,0)</f>
        <v>12</v>
      </c>
      <c r="E1570">
        <f>VLOOKUP(tblTargetMedicos[[#This Row],[codigo_id]],[1]DIM_REPRESENTANTE_MEDICO!$C:$F,3,0)</f>
        <v>1</v>
      </c>
      <c r="F1570" s="27" t="s">
        <v>5796</v>
      </c>
      <c r="G1570" s="27" t="s">
        <v>5787</v>
      </c>
      <c r="H1570" s="27" t="s">
        <v>97</v>
      </c>
      <c r="I1570">
        <v>1</v>
      </c>
    </row>
    <row r="1571" spans="1:9">
      <c r="A1571" t="s">
        <v>1986</v>
      </c>
      <c r="B1571" s="27" t="s">
        <v>3226</v>
      </c>
      <c r="C1571" s="27" t="s">
        <v>5772</v>
      </c>
      <c r="D1571">
        <f>VLOOKUP(tblTargetMedicos[[#This Row],[codigo_id]],[1]DIM_REPRESENTANTE_MEDICO!$C:$F,4,0)</f>
        <v>12</v>
      </c>
      <c r="E1571">
        <f>VLOOKUP(tblTargetMedicos[[#This Row],[codigo_id]],[1]DIM_REPRESENTANTE_MEDICO!$C:$F,3,0)</f>
        <v>1</v>
      </c>
      <c r="F1571" s="27" t="s">
        <v>5796</v>
      </c>
      <c r="G1571" s="27" t="s">
        <v>5785</v>
      </c>
      <c r="H1571" s="27" t="s">
        <v>97</v>
      </c>
      <c r="I1571">
        <v>1</v>
      </c>
    </row>
    <row r="1572" spans="1:9">
      <c r="A1572" t="s">
        <v>1987</v>
      </c>
      <c r="B1572" s="27" t="s">
        <v>3226</v>
      </c>
      <c r="C1572" s="27" t="s">
        <v>5772</v>
      </c>
      <c r="D1572">
        <f>VLOOKUP(tblTargetMedicos[[#This Row],[codigo_id]],[1]DIM_REPRESENTANTE_MEDICO!$C:$F,4,0)</f>
        <v>12</v>
      </c>
      <c r="E1572">
        <f>VLOOKUP(tblTargetMedicos[[#This Row],[codigo_id]],[1]DIM_REPRESENTANTE_MEDICO!$C:$F,3,0)</f>
        <v>1</v>
      </c>
      <c r="F1572" s="27" t="s">
        <v>5796</v>
      </c>
      <c r="G1572" s="27" t="s">
        <v>5783</v>
      </c>
      <c r="H1572" s="27" t="s">
        <v>96</v>
      </c>
      <c r="I1572">
        <v>1</v>
      </c>
    </row>
    <row r="1573" spans="1:9">
      <c r="A1573" t="s">
        <v>1988</v>
      </c>
      <c r="B1573" s="27" t="s">
        <v>3226</v>
      </c>
      <c r="C1573" s="27" t="s">
        <v>5772</v>
      </c>
      <c r="D1573">
        <f>VLOOKUP(tblTargetMedicos[[#This Row],[codigo_id]],[1]DIM_REPRESENTANTE_MEDICO!$C:$F,4,0)</f>
        <v>12</v>
      </c>
      <c r="E1573">
        <f>VLOOKUP(tblTargetMedicos[[#This Row],[codigo_id]],[1]DIM_REPRESENTANTE_MEDICO!$C:$F,3,0)</f>
        <v>1</v>
      </c>
      <c r="F1573" s="27" t="s">
        <v>5796</v>
      </c>
      <c r="G1573" s="27" t="s">
        <v>5783</v>
      </c>
      <c r="H1573" s="27" t="s">
        <v>5793</v>
      </c>
      <c r="I1573">
        <v>1</v>
      </c>
    </row>
    <row r="1574" spans="1:9">
      <c r="A1574" t="s">
        <v>1989</v>
      </c>
      <c r="B1574" s="27" t="s">
        <v>3226</v>
      </c>
      <c r="C1574" s="27" t="s">
        <v>5772</v>
      </c>
      <c r="D1574">
        <f>VLOOKUP(tblTargetMedicos[[#This Row],[codigo_id]],[1]DIM_REPRESENTANTE_MEDICO!$C:$F,4,0)</f>
        <v>12</v>
      </c>
      <c r="E1574">
        <f>VLOOKUP(tblTargetMedicos[[#This Row],[codigo_id]],[1]DIM_REPRESENTANTE_MEDICO!$C:$F,3,0)</f>
        <v>1</v>
      </c>
      <c r="F1574" s="27" t="s">
        <v>5796</v>
      </c>
      <c r="G1574" s="27" t="s">
        <v>5779</v>
      </c>
      <c r="H1574" s="27" t="s">
        <v>96</v>
      </c>
      <c r="I1574">
        <v>1</v>
      </c>
    </row>
    <row r="1575" spans="1:9">
      <c r="A1575" t="s">
        <v>1990</v>
      </c>
      <c r="B1575" s="27" t="s">
        <v>3226</v>
      </c>
      <c r="C1575" s="27" t="s">
        <v>5772</v>
      </c>
      <c r="D1575">
        <f>VLOOKUP(tblTargetMedicos[[#This Row],[codigo_id]],[1]DIM_REPRESENTANTE_MEDICO!$C:$F,4,0)</f>
        <v>12</v>
      </c>
      <c r="E1575">
        <f>VLOOKUP(tblTargetMedicos[[#This Row],[codigo_id]],[1]DIM_REPRESENTANTE_MEDICO!$C:$F,3,0)</f>
        <v>1</v>
      </c>
      <c r="F1575" s="27" t="s">
        <v>5796</v>
      </c>
      <c r="G1575" s="27" t="s">
        <v>5779</v>
      </c>
      <c r="H1575" s="27" t="s">
        <v>96</v>
      </c>
      <c r="I1575">
        <v>1</v>
      </c>
    </row>
    <row r="1576" spans="1:9">
      <c r="A1576" t="s">
        <v>1991</v>
      </c>
      <c r="B1576" s="27" t="s">
        <v>3226</v>
      </c>
      <c r="C1576" s="27" t="s">
        <v>5772</v>
      </c>
      <c r="D1576">
        <f>VLOOKUP(tblTargetMedicos[[#This Row],[codigo_id]],[1]DIM_REPRESENTANTE_MEDICO!$C:$F,4,0)</f>
        <v>12</v>
      </c>
      <c r="E1576">
        <f>VLOOKUP(tblTargetMedicos[[#This Row],[codigo_id]],[1]DIM_REPRESENTANTE_MEDICO!$C:$F,3,0)</f>
        <v>1</v>
      </c>
      <c r="F1576" s="27" t="s">
        <v>5796</v>
      </c>
      <c r="G1576" s="27" t="s">
        <v>5787</v>
      </c>
      <c r="H1576" s="27" t="s">
        <v>96</v>
      </c>
      <c r="I1576">
        <v>1</v>
      </c>
    </row>
    <row r="1577" spans="1:9">
      <c r="A1577" t="s">
        <v>1992</v>
      </c>
      <c r="B1577" s="27" t="s">
        <v>3226</v>
      </c>
      <c r="C1577" s="27" t="s">
        <v>5772</v>
      </c>
      <c r="D1577">
        <f>VLOOKUP(tblTargetMedicos[[#This Row],[codigo_id]],[1]DIM_REPRESENTANTE_MEDICO!$C:$F,4,0)</f>
        <v>12</v>
      </c>
      <c r="E1577">
        <f>VLOOKUP(tblTargetMedicos[[#This Row],[codigo_id]],[1]DIM_REPRESENTANTE_MEDICO!$C:$F,3,0)</f>
        <v>1</v>
      </c>
      <c r="F1577" s="27" t="s">
        <v>5796</v>
      </c>
      <c r="G1577" s="27" t="s">
        <v>5779</v>
      </c>
      <c r="H1577" s="27" t="s">
        <v>96</v>
      </c>
      <c r="I1577">
        <v>1</v>
      </c>
    </row>
    <row r="1578" spans="1:9">
      <c r="A1578" t="s">
        <v>1993</v>
      </c>
      <c r="B1578" s="27" t="s">
        <v>3226</v>
      </c>
      <c r="C1578" s="27" t="s">
        <v>5772</v>
      </c>
      <c r="D1578">
        <f>VLOOKUP(tblTargetMedicos[[#This Row],[codigo_id]],[1]DIM_REPRESENTANTE_MEDICO!$C:$F,4,0)</f>
        <v>12</v>
      </c>
      <c r="E1578">
        <f>VLOOKUP(tblTargetMedicos[[#This Row],[codigo_id]],[1]DIM_REPRESENTANTE_MEDICO!$C:$F,3,0)</f>
        <v>1</v>
      </c>
      <c r="F1578" s="27" t="s">
        <v>5796</v>
      </c>
      <c r="G1578" s="27" t="s">
        <v>5786</v>
      </c>
      <c r="H1578" s="27" t="s">
        <v>96</v>
      </c>
      <c r="I1578">
        <v>1</v>
      </c>
    </row>
    <row r="1579" spans="1:9">
      <c r="A1579" t="s">
        <v>1994</v>
      </c>
      <c r="B1579" s="27" t="s">
        <v>3226</v>
      </c>
      <c r="C1579" s="27" t="s">
        <v>5772</v>
      </c>
      <c r="D1579">
        <f>VLOOKUP(tblTargetMedicos[[#This Row],[codigo_id]],[1]DIM_REPRESENTANTE_MEDICO!$C:$F,4,0)</f>
        <v>12</v>
      </c>
      <c r="E1579">
        <f>VLOOKUP(tblTargetMedicos[[#This Row],[codigo_id]],[1]DIM_REPRESENTANTE_MEDICO!$C:$F,3,0)</f>
        <v>1</v>
      </c>
      <c r="F1579" s="27" t="s">
        <v>5796</v>
      </c>
      <c r="G1579" s="27" t="s">
        <v>5784</v>
      </c>
      <c r="H1579" s="27" t="s">
        <v>97</v>
      </c>
      <c r="I1579">
        <v>1</v>
      </c>
    </row>
    <row r="1580" spans="1:9">
      <c r="A1580" t="s">
        <v>1995</v>
      </c>
      <c r="B1580" s="27" t="s">
        <v>3226</v>
      </c>
      <c r="C1580" s="27" t="s">
        <v>5772</v>
      </c>
      <c r="D1580">
        <f>VLOOKUP(tblTargetMedicos[[#This Row],[codigo_id]],[1]DIM_REPRESENTANTE_MEDICO!$C:$F,4,0)</f>
        <v>12</v>
      </c>
      <c r="E1580">
        <f>VLOOKUP(tblTargetMedicos[[#This Row],[codigo_id]],[1]DIM_REPRESENTANTE_MEDICO!$C:$F,3,0)</f>
        <v>1</v>
      </c>
      <c r="F1580" s="27" t="s">
        <v>5796</v>
      </c>
      <c r="G1580" s="27" t="s">
        <v>5783</v>
      </c>
      <c r="H1580" s="27" t="s">
        <v>96</v>
      </c>
      <c r="I1580">
        <v>1</v>
      </c>
    </row>
    <row r="1581" spans="1:9">
      <c r="A1581" t="s">
        <v>1996</v>
      </c>
      <c r="B1581" s="27" t="s">
        <v>3226</v>
      </c>
      <c r="C1581" s="27" t="s">
        <v>5772</v>
      </c>
      <c r="D1581">
        <f>VLOOKUP(tblTargetMedicos[[#This Row],[codigo_id]],[1]DIM_REPRESENTANTE_MEDICO!$C:$F,4,0)</f>
        <v>12</v>
      </c>
      <c r="E1581">
        <f>VLOOKUP(tblTargetMedicos[[#This Row],[codigo_id]],[1]DIM_REPRESENTANTE_MEDICO!$C:$F,3,0)</f>
        <v>1</v>
      </c>
      <c r="F1581" s="27" t="s">
        <v>5796</v>
      </c>
      <c r="G1581" s="27" t="s">
        <v>5782</v>
      </c>
      <c r="H1581" s="27" t="s">
        <v>96</v>
      </c>
      <c r="I1581">
        <v>1</v>
      </c>
    </row>
    <row r="1582" spans="1:9">
      <c r="A1582" t="s">
        <v>1997</v>
      </c>
      <c r="B1582" s="27" t="s">
        <v>3226</v>
      </c>
      <c r="C1582" s="27" t="s">
        <v>5772</v>
      </c>
      <c r="D1582">
        <f>VLOOKUP(tblTargetMedicos[[#This Row],[codigo_id]],[1]DIM_REPRESENTANTE_MEDICO!$C:$F,4,0)</f>
        <v>12</v>
      </c>
      <c r="E1582">
        <f>VLOOKUP(tblTargetMedicos[[#This Row],[codigo_id]],[1]DIM_REPRESENTANTE_MEDICO!$C:$F,3,0)</f>
        <v>1</v>
      </c>
      <c r="F1582" s="27" t="s">
        <v>5796</v>
      </c>
      <c r="G1582" s="27" t="s">
        <v>5787</v>
      </c>
      <c r="H1582" s="27" t="s">
        <v>96</v>
      </c>
      <c r="I1582">
        <v>1</v>
      </c>
    </row>
    <row r="1583" spans="1:9">
      <c r="A1583" t="s">
        <v>1998</v>
      </c>
      <c r="B1583" s="27" t="s">
        <v>3226</v>
      </c>
      <c r="C1583" s="27" t="s">
        <v>5772</v>
      </c>
      <c r="D1583">
        <f>VLOOKUP(tblTargetMedicos[[#This Row],[codigo_id]],[1]DIM_REPRESENTANTE_MEDICO!$C:$F,4,0)</f>
        <v>12</v>
      </c>
      <c r="E1583">
        <f>VLOOKUP(tblTargetMedicos[[#This Row],[codigo_id]],[1]DIM_REPRESENTANTE_MEDICO!$C:$F,3,0)</f>
        <v>1</v>
      </c>
      <c r="F1583" s="27" t="s">
        <v>5796</v>
      </c>
      <c r="G1583" s="27" t="s">
        <v>5785</v>
      </c>
      <c r="H1583" s="27" t="s">
        <v>96</v>
      </c>
      <c r="I1583">
        <v>1</v>
      </c>
    </row>
    <row r="1584" spans="1:9">
      <c r="A1584" t="s">
        <v>1999</v>
      </c>
      <c r="B1584" s="27" t="s">
        <v>3226</v>
      </c>
      <c r="C1584" s="27" t="s">
        <v>5772</v>
      </c>
      <c r="D1584">
        <f>VLOOKUP(tblTargetMedicos[[#This Row],[codigo_id]],[1]DIM_REPRESENTANTE_MEDICO!$C:$F,4,0)</f>
        <v>12</v>
      </c>
      <c r="E1584">
        <f>VLOOKUP(tblTargetMedicos[[#This Row],[codigo_id]],[1]DIM_REPRESENTANTE_MEDICO!$C:$F,3,0)</f>
        <v>1</v>
      </c>
      <c r="F1584" s="27" t="s">
        <v>5796</v>
      </c>
      <c r="G1584" s="27" t="s">
        <v>5784</v>
      </c>
      <c r="H1584" s="27" t="s">
        <v>95</v>
      </c>
      <c r="I1584">
        <v>1</v>
      </c>
    </row>
    <row r="1585" spans="1:9">
      <c r="A1585" t="s">
        <v>2000</v>
      </c>
      <c r="B1585" s="27" t="s">
        <v>3226</v>
      </c>
      <c r="C1585" s="27" t="s">
        <v>5772</v>
      </c>
      <c r="D1585">
        <f>VLOOKUP(tblTargetMedicos[[#This Row],[codigo_id]],[1]DIM_REPRESENTANTE_MEDICO!$C:$F,4,0)</f>
        <v>12</v>
      </c>
      <c r="E1585">
        <f>VLOOKUP(tblTargetMedicos[[#This Row],[codigo_id]],[1]DIM_REPRESENTANTE_MEDICO!$C:$F,3,0)</f>
        <v>1</v>
      </c>
      <c r="F1585" s="27" t="s">
        <v>5796</v>
      </c>
      <c r="G1585" s="27" t="s">
        <v>5784</v>
      </c>
      <c r="H1585" s="27" t="s">
        <v>96</v>
      </c>
      <c r="I1585">
        <v>1</v>
      </c>
    </row>
    <row r="1586" spans="1:9">
      <c r="A1586" t="s">
        <v>2001</v>
      </c>
      <c r="B1586" s="27" t="s">
        <v>3226</v>
      </c>
      <c r="C1586" s="27" t="s">
        <v>5772</v>
      </c>
      <c r="D1586">
        <f>VLOOKUP(tblTargetMedicos[[#This Row],[codigo_id]],[1]DIM_REPRESENTANTE_MEDICO!$C:$F,4,0)</f>
        <v>12</v>
      </c>
      <c r="E1586">
        <f>VLOOKUP(tblTargetMedicos[[#This Row],[codigo_id]],[1]DIM_REPRESENTANTE_MEDICO!$C:$F,3,0)</f>
        <v>1</v>
      </c>
      <c r="F1586" s="27" t="s">
        <v>5796</v>
      </c>
      <c r="G1586" s="27" t="s">
        <v>5784</v>
      </c>
      <c r="H1586" s="27" t="s">
        <v>95</v>
      </c>
      <c r="I1586">
        <v>1</v>
      </c>
    </row>
    <row r="1587" spans="1:9">
      <c r="A1587" t="s">
        <v>2002</v>
      </c>
      <c r="B1587" s="27" t="s">
        <v>3226</v>
      </c>
      <c r="C1587" s="27" t="s">
        <v>5772</v>
      </c>
      <c r="D1587">
        <f>VLOOKUP(tblTargetMedicos[[#This Row],[codigo_id]],[1]DIM_REPRESENTANTE_MEDICO!$C:$F,4,0)</f>
        <v>12</v>
      </c>
      <c r="E1587">
        <f>VLOOKUP(tblTargetMedicos[[#This Row],[codigo_id]],[1]DIM_REPRESENTANTE_MEDICO!$C:$F,3,0)</f>
        <v>1</v>
      </c>
      <c r="F1587" s="27" t="s">
        <v>5796</v>
      </c>
      <c r="G1587" s="27" t="s">
        <v>5784</v>
      </c>
      <c r="H1587" s="27" t="s">
        <v>96</v>
      </c>
      <c r="I1587">
        <v>1</v>
      </c>
    </row>
    <row r="1588" spans="1:9">
      <c r="A1588" t="s">
        <v>2003</v>
      </c>
      <c r="B1588" s="27" t="s">
        <v>3226</v>
      </c>
      <c r="C1588" s="27" t="s">
        <v>5772</v>
      </c>
      <c r="D1588">
        <f>VLOOKUP(tblTargetMedicos[[#This Row],[codigo_id]],[1]DIM_REPRESENTANTE_MEDICO!$C:$F,4,0)</f>
        <v>12</v>
      </c>
      <c r="E1588">
        <f>VLOOKUP(tblTargetMedicos[[#This Row],[codigo_id]],[1]DIM_REPRESENTANTE_MEDICO!$C:$F,3,0)</f>
        <v>1</v>
      </c>
      <c r="F1588" s="27" t="s">
        <v>5796</v>
      </c>
      <c r="G1588" s="27" t="s">
        <v>5784</v>
      </c>
      <c r="H1588" s="27" t="s">
        <v>96</v>
      </c>
      <c r="I1588">
        <v>1</v>
      </c>
    </row>
    <row r="1589" spans="1:9">
      <c r="A1589" t="s">
        <v>2004</v>
      </c>
      <c r="B1589" s="27" t="s">
        <v>3226</v>
      </c>
      <c r="C1589" s="27" t="s">
        <v>5772</v>
      </c>
      <c r="D1589">
        <f>VLOOKUP(tblTargetMedicos[[#This Row],[codigo_id]],[1]DIM_REPRESENTANTE_MEDICO!$C:$F,4,0)</f>
        <v>12</v>
      </c>
      <c r="E1589">
        <f>VLOOKUP(tblTargetMedicos[[#This Row],[codigo_id]],[1]DIM_REPRESENTANTE_MEDICO!$C:$F,3,0)</f>
        <v>1</v>
      </c>
      <c r="F1589" s="27" t="s">
        <v>5796</v>
      </c>
      <c r="G1589" s="27" t="s">
        <v>5782</v>
      </c>
      <c r="H1589" s="27" t="s">
        <v>96</v>
      </c>
      <c r="I1589">
        <v>1</v>
      </c>
    </row>
    <row r="1590" spans="1:9">
      <c r="A1590" t="s">
        <v>2005</v>
      </c>
      <c r="B1590" s="27" t="s">
        <v>3226</v>
      </c>
      <c r="C1590" s="27" t="s">
        <v>5772</v>
      </c>
      <c r="D1590">
        <f>VLOOKUP(tblTargetMedicos[[#This Row],[codigo_id]],[1]DIM_REPRESENTANTE_MEDICO!$C:$F,4,0)</f>
        <v>12</v>
      </c>
      <c r="E1590">
        <f>VLOOKUP(tblTargetMedicos[[#This Row],[codigo_id]],[1]DIM_REPRESENTANTE_MEDICO!$C:$F,3,0)</f>
        <v>1</v>
      </c>
      <c r="F1590" s="27" t="s">
        <v>5796</v>
      </c>
      <c r="G1590" s="27" t="s">
        <v>5783</v>
      </c>
      <c r="H1590" s="27" t="s">
        <v>96</v>
      </c>
      <c r="I1590">
        <v>1</v>
      </c>
    </row>
    <row r="1591" spans="1:9">
      <c r="A1591" t="s">
        <v>2006</v>
      </c>
      <c r="B1591" s="27" t="s">
        <v>3226</v>
      </c>
      <c r="C1591" s="27" t="s">
        <v>5772</v>
      </c>
      <c r="D1591">
        <f>VLOOKUP(tblTargetMedicos[[#This Row],[codigo_id]],[1]DIM_REPRESENTANTE_MEDICO!$C:$F,4,0)</f>
        <v>12</v>
      </c>
      <c r="E1591">
        <f>VLOOKUP(tblTargetMedicos[[#This Row],[codigo_id]],[1]DIM_REPRESENTANTE_MEDICO!$C:$F,3,0)</f>
        <v>1</v>
      </c>
      <c r="F1591" s="27" t="s">
        <v>5796</v>
      </c>
      <c r="G1591" s="27" t="s">
        <v>5784</v>
      </c>
      <c r="H1591" s="27" t="s">
        <v>95</v>
      </c>
      <c r="I1591">
        <v>1</v>
      </c>
    </row>
    <row r="1592" spans="1:9">
      <c r="A1592" t="s">
        <v>2007</v>
      </c>
      <c r="B1592" s="27" t="s">
        <v>3226</v>
      </c>
      <c r="C1592" s="27" t="s">
        <v>5772</v>
      </c>
      <c r="D1592">
        <f>VLOOKUP(tblTargetMedicos[[#This Row],[codigo_id]],[1]DIM_REPRESENTANTE_MEDICO!$C:$F,4,0)</f>
        <v>12</v>
      </c>
      <c r="E1592">
        <f>VLOOKUP(tblTargetMedicos[[#This Row],[codigo_id]],[1]DIM_REPRESENTANTE_MEDICO!$C:$F,3,0)</f>
        <v>1</v>
      </c>
      <c r="F1592" s="27" t="s">
        <v>5796</v>
      </c>
      <c r="G1592" s="27" t="s">
        <v>5784</v>
      </c>
      <c r="H1592" s="27" t="s">
        <v>95</v>
      </c>
      <c r="I1592">
        <v>1</v>
      </c>
    </row>
    <row r="1593" spans="1:9">
      <c r="A1593" t="s">
        <v>2008</v>
      </c>
      <c r="B1593" s="27" t="s">
        <v>3226</v>
      </c>
      <c r="C1593" s="27" t="s">
        <v>5772</v>
      </c>
      <c r="D1593">
        <f>VLOOKUP(tblTargetMedicos[[#This Row],[codigo_id]],[1]DIM_REPRESENTANTE_MEDICO!$C:$F,4,0)</f>
        <v>12</v>
      </c>
      <c r="E1593">
        <f>VLOOKUP(tblTargetMedicos[[#This Row],[codigo_id]],[1]DIM_REPRESENTANTE_MEDICO!$C:$F,3,0)</f>
        <v>1</v>
      </c>
      <c r="F1593" s="27" t="s">
        <v>5796</v>
      </c>
      <c r="G1593" s="27" t="s">
        <v>5784</v>
      </c>
      <c r="H1593" s="27" t="s">
        <v>97</v>
      </c>
      <c r="I1593">
        <v>1</v>
      </c>
    </row>
    <row r="1594" spans="1:9">
      <c r="A1594" t="s">
        <v>2009</v>
      </c>
      <c r="B1594" s="27" t="s">
        <v>3226</v>
      </c>
      <c r="C1594" s="27" t="s">
        <v>5772</v>
      </c>
      <c r="D1594">
        <f>VLOOKUP(tblTargetMedicos[[#This Row],[codigo_id]],[1]DIM_REPRESENTANTE_MEDICO!$C:$F,4,0)</f>
        <v>12</v>
      </c>
      <c r="E1594">
        <f>VLOOKUP(tblTargetMedicos[[#This Row],[codigo_id]],[1]DIM_REPRESENTANTE_MEDICO!$C:$F,3,0)</f>
        <v>1</v>
      </c>
      <c r="F1594" s="27" t="s">
        <v>5796</v>
      </c>
      <c r="G1594" s="27" t="s">
        <v>5783</v>
      </c>
      <c r="H1594" s="27" t="s">
        <v>96</v>
      </c>
      <c r="I1594">
        <v>1</v>
      </c>
    </row>
    <row r="1595" spans="1:9">
      <c r="A1595" t="s">
        <v>2010</v>
      </c>
      <c r="B1595" s="27" t="s">
        <v>3226</v>
      </c>
      <c r="C1595" s="27" t="s">
        <v>5772</v>
      </c>
      <c r="D1595">
        <f>VLOOKUP(tblTargetMedicos[[#This Row],[codigo_id]],[1]DIM_REPRESENTANTE_MEDICO!$C:$F,4,0)</f>
        <v>12</v>
      </c>
      <c r="E1595">
        <f>VLOOKUP(tblTargetMedicos[[#This Row],[codigo_id]],[1]DIM_REPRESENTANTE_MEDICO!$C:$F,3,0)</f>
        <v>1</v>
      </c>
      <c r="F1595" s="27" t="s">
        <v>5796</v>
      </c>
      <c r="G1595" s="27" t="s">
        <v>5784</v>
      </c>
      <c r="H1595" s="27" t="s">
        <v>96</v>
      </c>
      <c r="I1595">
        <v>1</v>
      </c>
    </row>
    <row r="1596" spans="1:9">
      <c r="A1596" t="s">
        <v>2011</v>
      </c>
      <c r="B1596" s="27" t="s">
        <v>3226</v>
      </c>
      <c r="C1596" s="27" t="s">
        <v>5772</v>
      </c>
      <c r="D1596">
        <f>VLOOKUP(tblTargetMedicos[[#This Row],[codigo_id]],[1]DIM_REPRESENTANTE_MEDICO!$C:$F,4,0)</f>
        <v>12</v>
      </c>
      <c r="E1596">
        <f>VLOOKUP(tblTargetMedicos[[#This Row],[codigo_id]],[1]DIM_REPRESENTANTE_MEDICO!$C:$F,3,0)</f>
        <v>1</v>
      </c>
      <c r="F1596" s="27" t="s">
        <v>5796</v>
      </c>
      <c r="G1596" s="27" t="s">
        <v>5781</v>
      </c>
      <c r="H1596" s="27" t="s">
        <v>97</v>
      </c>
      <c r="I1596">
        <v>1</v>
      </c>
    </row>
    <row r="1597" spans="1:9">
      <c r="A1597" t="s">
        <v>2012</v>
      </c>
      <c r="B1597" s="27" t="s">
        <v>3226</v>
      </c>
      <c r="C1597" s="27" t="s">
        <v>5772</v>
      </c>
      <c r="D1597">
        <f>VLOOKUP(tblTargetMedicos[[#This Row],[codigo_id]],[1]DIM_REPRESENTANTE_MEDICO!$C:$F,4,0)</f>
        <v>12</v>
      </c>
      <c r="E1597">
        <f>VLOOKUP(tblTargetMedicos[[#This Row],[codigo_id]],[1]DIM_REPRESENTANTE_MEDICO!$C:$F,3,0)</f>
        <v>1</v>
      </c>
      <c r="F1597" s="27" t="s">
        <v>5796</v>
      </c>
      <c r="G1597" s="27" t="s">
        <v>5783</v>
      </c>
      <c r="H1597" s="27" t="s">
        <v>96</v>
      </c>
      <c r="I1597">
        <v>1</v>
      </c>
    </row>
    <row r="1598" spans="1:9">
      <c r="A1598" t="s">
        <v>2013</v>
      </c>
      <c r="B1598" s="27" t="s">
        <v>3226</v>
      </c>
      <c r="C1598" s="27" t="s">
        <v>5772</v>
      </c>
      <c r="D1598">
        <f>VLOOKUP(tblTargetMedicos[[#This Row],[codigo_id]],[1]DIM_REPRESENTANTE_MEDICO!$C:$F,4,0)</f>
        <v>12</v>
      </c>
      <c r="E1598">
        <f>VLOOKUP(tblTargetMedicos[[#This Row],[codigo_id]],[1]DIM_REPRESENTANTE_MEDICO!$C:$F,3,0)</f>
        <v>1</v>
      </c>
      <c r="F1598" s="27" t="s">
        <v>5796</v>
      </c>
      <c r="G1598" s="27" t="s">
        <v>5781</v>
      </c>
      <c r="H1598" s="27" t="s">
        <v>96</v>
      </c>
      <c r="I1598">
        <v>1</v>
      </c>
    </row>
    <row r="1599" spans="1:9">
      <c r="A1599" t="s">
        <v>2014</v>
      </c>
      <c r="B1599" s="27" t="s">
        <v>3226</v>
      </c>
      <c r="C1599" s="27" t="s">
        <v>5772</v>
      </c>
      <c r="D1599">
        <f>VLOOKUP(tblTargetMedicos[[#This Row],[codigo_id]],[1]DIM_REPRESENTANTE_MEDICO!$C:$F,4,0)</f>
        <v>12</v>
      </c>
      <c r="E1599">
        <f>VLOOKUP(tblTargetMedicos[[#This Row],[codigo_id]],[1]DIM_REPRESENTANTE_MEDICO!$C:$F,3,0)</f>
        <v>1</v>
      </c>
      <c r="F1599" s="27" t="s">
        <v>5796</v>
      </c>
      <c r="G1599" s="27" t="s">
        <v>5785</v>
      </c>
      <c r="H1599" s="27" t="s">
        <v>96</v>
      </c>
      <c r="I1599">
        <v>1</v>
      </c>
    </row>
    <row r="1600" spans="1:9">
      <c r="A1600" t="s">
        <v>2015</v>
      </c>
      <c r="B1600" s="27" t="s">
        <v>3226</v>
      </c>
      <c r="C1600" s="27" t="s">
        <v>5772</v>
      </c>
      <c r="D1600">
        <f>VLOOKUP(tblTargetMedicos[[#This Row],[codigo_id]],[1]DIM_REPRESENTANTE_MEDICO!$C:$F,4,0)</f>
        <v>12</v>
      </c>
      <c r="E1600">
        <f>VLOOKUP(tblTargetMedicos[[#This Row],[codigo_id]],[1]DIM_REPRESENTANTE_MEDICO!$C:$F,3,0)</f>
        <v>1</v>
      </c>
      <c r="F1600" s="27" t="s">
        <v>5796</v>
      </c>
      <c r="G1600" s="27" t="s">
        <v>5783</v>
      </c>
      <c r="H1600" s="27" t="s">
        <v>96</v>
      </c>
      <c r="I1600">
        <v>1</v>
      </c>
    </row>
    <row r="1601" spans="1:9">
      <c r="A1601" t="s">
        <v>2016</v>
      </c>
      <c r="B1601" s="27" t="s">
        <v>3226</v>
      </c>
      <c r="C1601" s="27" t="s">
        <v>5772</v>
      </c>
      <c r="D1601">
        <f>VLOOKUP(tblTargetMedicos[[#This Row],[codigo_id]],[1]DIM_REPRESENTANTE_MEDICO!$C:$F,4,0)</f>
        <v>12</v>
      </c>
      <c r="E1601">
        <f>VLOOKUP(tblTargetMedicos[[#This Row],[codigo_id]],[1]DIM_REPRESENTANTE_MEDICO!$C:$F,3,0)</f>
        <v>1</v>
      </c>
      <c r="F1601" s="27" t="s">
        <v>5796</v>
      </c>
      <c r="G1601" s="27" t="s">
        <v>5783</v>
      </c>
      <c r="H1601" s="27" t="s">
        <v>96</v>
      </c>
      <c r="I1601">
        <v>1</v>
      </c>
    </row>
    <row r="1602" spans="1:9">
      <c r="A1602" t="s">
        <v>2017</v>
      </c>
      <c r="B1602" s="27" t="s">
        <v>3226</v>
      </c>
      <c r="C1602" s="27" t="s">
        <v>5772</v>
      </c>
      <c r="D1602">
        <f>VLOOKUP(tblTargetMedicos[[#This Row],[codigo_id]],[1]DIM_REPRESENTANTE_MEDICO!$C:$F,4,0)</f>
        <v>12</v>
      </c>
      <c r="E1602">
        <f>VLOOKUP(tblTargetMedicos[[#This Row],[codigo_id]],[1]DIM_REPRESENTANTE_MEDICO!$C:$F,3,0)</f>
        <v>1</v>
      </c>
      <c r="F1602" s="27" t="s">
        <v>5796</v>
      </c>
      <c r="G1602" s="27" t="s">
        <v>5784</v>
      </c>
      <c r="H1602" s="27" t="s">
        <v>97</v>
      </c>
      <c r="I1602">
        <v>1</v>
      </c>
    </row>
    <row r="1603" spans="1:9">
      <c r="A1603" t="s">
        <v>2018</v>
      </c>
      <c r="B1603" s="27" t="s">
        <v>3226</v>
      </c>
      <c r="C1603" s="27" t="s">
        <v>5772</v>
      </c>
      <c r="D1603">
        <f>VLOOKUP(tblTargetMedicos[[#This Row],[codigo_id]],[1]DIM_REPRESENTANTE_MEDICO!$C:$F,4,0)</f>
        <v>12</v>
      </c>
      <c r="E1603">
        <f>VLOOKUP(tblTargetMedicos[[#This Row],[codigo_id]],[1]DIM_REPRESENTANTE_MEDICO!$C:$F,3,0)</f>
        <v>1</v>
      </c>
      <c r="F1603" s="27" t="s">
        <v>5796</v>
      </c>
      <c r="G1603" s="27" t="s">
        <v>5783</v>
      </c>
      <c r="H1603" s="27" t="s">
        <v>96</v>
      </c>
      <c r="I1603">
        <v>1</v>
      </c>
    </row>
    <row r="1604" spans="1:9">
      <c r="A1604" t="s">
        <v>2019</v>
      </c>
      <c r="B1604" s="27" t="s">
        <v>3226</v>
      </c>
      <c r="C1604" s="27" t="s">
        <v>5772</v>
      </c>
      <c r="D1604">
        <f>VLOOKUP(tblTargetMedicos[[#This Row],[codigo_id]],[1]DIM_REPRESENTANTE_MEDICO!$C:$F,4,0)</f>
        <v>12</v>
      </c>
      <c r="E1604">
        <f>VLOOKUP(tblTargetMedicos[[#This Row],[codigo_id]],[1]DIM_REPRESENTANTE_MEDICO!$C:$F,3,0)</f>
        <v>1</v>
      </c>
      <c r="F1604" s="27" t="s">
        <v>5796</v>
      </c>
      <c r="G1604" s="27" t="s">
        <v>5783</v>
      </c>
      <c r="H1604" s="27" t="s">
        <v>96</v>
      </c>
      <c r="I1604">
        <v>1</v>
      </c>
    </row>
    <row r="1605" spans="1:9">
      <c r="A1605" t="s">
        <v>2020</v>
      </c>
      <c r="B1605" s="27" t="s">
        <v>3226</v>
      </c>
      <c r="C1605" s="27" t="s">
        <v>5772</v>
      </c>
      <c r="D1605">
        <f>VLOOKUP(tblTargetMedicos[[#This Row],[codigo_id]],[1]DIM_REPRESENTANTE_MEDICO!$C:$F,4,0)</f>
        <v>12</v>
      </c>
      <c r="E1605">
        <f>VLOOKUP(tblTargetMedicos[[#This Row],[codigo_id]],[1]DIM_REPRESENTANTE_MEDICO!$C:$F,3,0)</f>
        <v>1</v>
      </c>
      <c r="F1605" s="27" t="s">
        <v>5796</v>
      </c>
      <c r="G1605" s="27" t="s">
        <v>5783</v>
      </c>
      <c r="H1605" s="27" t="s">
        <v>5793</v>
      </c>
      <c r="I1605">
        <v>1</v>
      </c>
    </row>
    <row r="1606" spans="1:9">
      <c r="A1606" t="s">
        <v>2021</v>
      </c>
      <c r="B1606" s="27" t="s">
        <v>3226</v>
      </c>
      <c r="C1606" s="27" t="s">
        <v>5772</v>
      </c>
      <c r="D1606">
        <f>VLOOKUP(tblTargetMedicos[[#This Row],[codigo_id]],[1]DIM_REPRESENTANTE_MEDICO!$C:$F,4,0)</f>
        <v>12</v>
      </c>
      <c r="E1606">
        <f>VLOOKUP(tblTargetMedicos[[#This Row],[codigo_id]],[1]DIM_REPRESENTANTE_MEDICO!$C:$F,3,0)</f>
        <v>1</v>
      </c>
      <c r="F1606" s="27" t="s">
        <v>5796</v>
      </c>
      <c r="G1606" s="27" t="s">
        <v>5783</v>
      </c>
      <c r="H1606" s="27" t="s">
        <v>96</v>
      </c>
      <c r="I1606">
        <v>1</v>
      </c>
    </row>
    <row r="1607" spans="1:9">
      <c r="A1607" t="s">
        <v>2022</v>
      </c>
      <c r="B1607" s="27" t="s">
        <v>3226</v>
      </c>
      <c r="C1607" s="27" t="s">
        <v>5772</v>
      </c>
      <c r="D1607">
        <f>VLOOKUP(tblTargetMedicos[[#This Row],[codigo_id]],[1]DIM_REPRESENTANTE_MEDICO!$C:$F,4,0)</f>
        <v>12</v>
      </c>
      <c r="E1607">
        <f>VLOOKUP(tblTargetMedicos[[#This Row],[codigo_id]],[1]DIM_REPRESENTANTE_MEDICO!$C:$F,3,0)</f>
        <v>1</v>
      </c>
      <c r="F1607" s="27" t="s">
        <v>5796</v>
      </c>
      <c r="G1607" s="27" t="s">
        <v>5786</v>
      </c>
      <c r="H1607" s="27" t="s">
        <v>96</v>
      </c>
      <c r="I1607">
        <v>1</v>
      </c>
    </row>
    <row r="1608" spans="1:9">
      <c r="A1608" t="s">
        <v>2023</v>
      </c>
      <c r="B1608" s="27" t="s">
        <v>3226</v>
      </c>
      <c r="C1608" s="27" t="s">
        <v>5772</v>
      </c>
      <c r="D1608">
        <f>VLOOKUP(tblTargetMedicos[[#This Row],[codigo_id]],[1]DIM_REPRESENTANTE_MEDICO!$C:$F,4,0)</f>
        <v>12</v>
      </c>
      <c r="E1608">
        <f>VLOOKUP(tblTargetMedicos[[#This Row],[codigo_id]],[1]DIM_REPRESENTANTE_MEDICO!$C:$F,3,0)</f>
        <v>1</v>
      </c>
      <c r="F1608" s="27" t="s">
        <v>5796</v>
      </c>
      <c r="G1608" s="27" t="s">
        <v>5783</v>
      </c>
      <c r="H1608" s="27" t="s">
        <v>97</v>
      </c>
      <c r="I1608">
        <v>1</v>
      </c>
    </row>
    <row r="1609" spans="1:9">
      <c r="A1609" t="s">
        <v>2024</v>
      </c>
      <c r="B1609" s="27" t="s">
        <v>3226</v>
      </c>
      <c r="C1609" s="27" t="s">
        <v>5772</v>
      </c>
      <c r="D1609">
        <f>VLOOKUP(tblTargetMedicos[[#This Row],[codigo_id]],[1]DIM_REPRESENTANTE_MEDICO!$C:$F,4,0)</f>
        <v>12</v>
      </c>
      <c r="E1609">
        <f>VLOOKUP(tblTargetMedicos[[#This Row],[codigo_id]],[1]DIM_REPRESENTANTE_MEDICO!$C:$F,3,0)</f>
        <v>1</v>
      </c>
      <c r="F1609" s="27" t="s">
        <v>5796</v>
      </c>
      <c r="G1609" s="27" t="s">
        <v>5783</v>
      </c>
      <c r="H1609" s="27" t="s">
        <v>97</v>
      </c>
      <c r="I1609">
        <v>1</v>
      </c>
    </row>
    <row r="1610" spans="1:9">
      <c r="A1610" t="s">
        <v>2025</v>
      </c>
      <c r="B1610" s="27" t="s">
        <v>3226</v>
      </c>
      <c r="C1610" s="27" t="s">
        <v>5772</v>
      </c>
      <c r="D1610">
        <f>VLOOKUP(tblTargetMedicos[[#This Row],[codigo_id]],[1]DIM_REPRESENTANTE_MEDICO!$C:$F,4,0)</f>
        <v>12</v>
      </c>
      <c r="E1610">
        <f>VLOOKUP(tblTargetMedicos[[#This Row],[codigo_id]],[1]DIM_REPRESENTANTE_MEDICO!$C:$F,3,0)</f>
        <v>1</v>
      </c>
      <c r="F1610" s="27" t="s">
        <v>5796</v>
      </c>
      <c r="G1610" s="27" t="s">
        <v>5783</v>
      </c>
      <c r="H1610" s="27" t="s">
        <v>97</v>
      </c>
      <c r="I1610">
        <v>1</v>
      </c>
    </row>
    <row r="1611" spans="1:9">
      <c r="A1611" t="s">
        <v>2026</v>
      </c>
      <c r="B1611" s="27" t="s">
        <v>3226</v>
      </c>
      <c r="C1611" s="27" t="s">
        <v>5772</v>
      </c>
      <c r="D1611">
        <f>VLOOKUP(tblTargetMedicos[[#This Row],[codigo_id]],[1]DIM_REPRESENTANTE_MEDICO!$C:$F,4,0)</f>
        <v>12</v>
      </c>
      <c r="E1611">
        <f>VLOOKUP(tblTargetMedicos[[#This Row],[codigo_id]],[1]DIM_REPRESENTANTE_MEDICO!$C:$F,3,0)</f>
        <v>1</v>
      </c>
      <c r="F1611" s="27" t="s">
        <v>5796</v>
      </c>
      <c r="G1611" s="27" t="s">
        <v>5783</v>
      </c>
      <c r="H1611" s="27" t="s">
        <v>96</v>
      </c>
      <c r="I1611">
        <v>1</v>
      </c>
    </row>
    <row r="1612" spans="1:9">
      <c r="A1612" t="s">
        <v>2027</v>
      </c>
      <c r="B1612" s="27" t="s">
        <v>3226</v>
      </c>
      <c r="C1612" s="27" t="s">
        <v>5772</v>
      </c>
      <c r="D1612">
        <f>VLOOKUP(tblTargetMedicos[[#This Row],[codigo_id]],[1]DIM_REPRESENTANTE_MEDICO!$C:$F,4,0)</f>
        <v>12</v>
      </c>
      <c r="E1612">
        <f>VLOOKUP(tblTargetMedicos[[#This Row],[codigo_id]],[1]DIM_REPRESENTANTE_MEDICO!$C:$F,3,0)</f>
        <v>1</v>
      </c>
      <c r="F1612" s="27" t="s">
        <v>5796</v>
      </c>
      <c r="G1612" s="27" t="s">
        <v>5780</v>
      </c>
      <c r="H1612" s="27" t="s">
        <v>96</v>
      </c>
      <c r="I1612">
        <v>1</v>
      </c>
    </row>
    <row r="1613" spans="1:9">
      <c r="A1613" t="s">
        <v>2028</v>
      </c>
      <c r="B1613" s="27" t="s">
        <v>3225</v>
      </c>
      <c r="C1613" s="27" t="s">
        <v>5771</v>
      </c>
      <c r="D1613">
        <f>VLOOKUP(tblTargetMedicos[[#This Row],[codigo_id]],[1]DIM_REPRESENTANTE_MEDICO!$C:$F,4,0)</f>
        <v>12</v>
      </c>
      <c r="E1613">
        <f>VLOOKUP(tblTargetMedicos[[#This Row],[codigo_id]],[1]DIM_REPRESENTANTE_MEDICO!$C:$F,3,0)</f>
        <v>1</v>
      </c>
      <c r="F1613" s="27" t="s">
        <v>5796</v>
      </c>
      <c r="G1613" s="27" t="s">
        <v>5781</v>
      </c>
      <c r="H1613" s="27" t="s">
        <v>96</v>
      </c>
      <c r="I1613">
        <v>1</v>
      </c>
    </row>
    <row r="1614" spans="1:9">
      <c r="A1614" t="s">
        <v>2029</v>
      </c>
      <c r="B1614" s="27" t="s">
        <v>3225</v>
      </c>
      <c r="C1614" s="27" t="s">
        <v>5771</v>
      </c>
      <c r="D1614">
        <f>VLOOKUP(tblTargetMedicos[[#This Row],[codigo_id]],[1]DIM_REPRESENTANTE_MEDICO!$C:$F,4,0)</f>
        <v>12</v>
      </c>
      <c r="E1614">
        <f>VLOOKUP(tblTargetMedicos[[#This Row],[codigo_id]],[1]DIM_REPRESENTANTE_MEDICO!$C:$F,3,0)</f>
        <v>1</v>
      </c>
      <c r="F1614" s="27" t="s">
        <v>5796</v>
      </c>
      <c r="G1614" s="27" t="s">
        <v>5782</v>
      </c>
      <c r="H1614" s="27" t="s">
        <v>96</v>
      </c>
      <c r="I1614">
        <v>1</v>
      </c>
    </row>
    <row r="1615" spans="1:9">
      <c r="A1615" t="s">
        <v>2030</v>
      </c>
      <c r="B1615" s="27" t="s">
        <v>3225</v>
      </c>
      <c r="C1615" s="27" t="s">
        <v>5771</v>
      </c>
      <c r="D1615">
        <f>VLOOKUP(tblTargetMedicos[[#This Row],[codigo_id]],[1]DIM_REPRESENTANTE_MEDICO!$C:$F,4,0)</f>
        <v>12</v>
      </c>
      <c r="E1615">
        <f>VLOOKUP(tblTargetMedicos[[#This Row],[codigo_id]],[1]DIM_REPRESENTANTE_MEDICO!$C:$F,3,0)</f>
        <v>1</v>
      </c>
      <c r="F1615" s="27" t="s">
        <v>5796</v>
      </c>
      <c r="G1615" s="27" t="s">
        <v>5781</v>
      </c>
      <c r="H1615" s="27" t="s">
        <v>96</v>
      </c>
      <c r="I1615">
        <v>1</v>
      </c>
    </row>
    <row r="1616" spans="1:9">
      <c r="A1616" t="s">
        <v>2031</v>
      </c>
      <c r="B1616" s="27" t="s">
        <v>3225</v>
      </c>
      <c r="C1616" s="27" t="s">
        <v>5771</v>
      </c>
      <c r="D1616">
        <f>VLOOKUP(tblTargetMedicos[[#This Row],[codigo_id]],[1]DIM_REPRESENTANTE_MEDICO!$C:$F,4,0)</f>
        <v>12</v>
      </c>
      <c r="E1616">
        <f>VLOOKUP(tblTargetMedicos[[#This Row],[codigo_id]],[1]DIM_REPRESENTANTE_MEDICO!$C:$F,3,0)</f>
        <v>1</v>
      </c>
      <c r="F1616" s="27" t="s">
        <v>5796</v>
      </c>
      <c r="G1616" s="27" t="s">
        <v>5780</v>
      </c>
      <c r="H1616" s="27" t="s">
        <v>96</v>
      </c>
      <c r="I1616">
        <v>1</v>
      </c>
    </row>
    <row r="1617" spans="1:9">
      <c r="A1617" t="s">
        <v>2032</v>
      </c>
      <c r="B1617" s="27" t="s">
        <v>3225</v>
      </c>
      <c r="C1617" s="27" t="s">
        <v>5771</v>
      </c>
      <c r="D1617">
        <f>VLOOKUP(tblTargetMedicos[[#This Row],[codigo_id]],[1]DIM_REPRESENTANTE_MEDICO!$C:$F,4,0)</f>
        <v>12</v>
      </c>
      <c r="E1617">
        <f>VLOOKUP(tblTargetMedicos[[#This Row],[codigo_id]],[1]DIM_REPRESENTANTE_MEDICO!$C:$F,3,0)</f>
        <v>1</v>
      </c>
      <c r="F1617" s="27" t="s">
        <v>5796</v>
      </c>
      <c r="G1617" s="27" t="s">
        <v>5781</v>
      </c>
      <c r="H1617" s="27" t="s">
        <v>96</v>
      </c>
      <c r="I1617">
        <v>1</v>
      </c>
    </row>
    <row r="1618" spans="1:9">
      <c r="A1618" t="s">
        <v>2033</v>
      </c>
      <c r="B1618" s="27" t="s">
        <v>3225</v>
      </c>
      <c r="C1618" s="27" t="s">
        <v>5771</v>
      </c>
      <c r="D1618">
        <f>VLOOKUP(tblTargetMedicos[[#This Row],[codigo_id]],[1]DIM_REPRESENTANTE_MEDICO!$C:$F,4,0)</f>
        <v>12</v>
      </c>
      <c r="E1618">
        <f>VLOOKUP(tblTargetMedicos[[#This Row],[codigo_id]],[1]DIM_REPRESENTANTE_MEDICO!$C:$F,3,0)</f>
        <v>1</v>
      </c>
      <c r="F1618" s="27" t="s">
        <v>5796</v>
      </c>
      <c r="G1618" s="27" t="s">
        <v>5783</v>
      </c>
      <c r="H1618" s="27" t="s">
        <v>96</v>
      </c>
      <c r="I1618">
        <v>1</v>
      </c>
    </row>
    <row r="1619" spans="1:9">
      <c r="A1619" t="s">
        <v>2034</v>
      </c>
      <c r="B1619" s="27" t="s">
        <v>3225</v>
      </c>
      <c r="C1619" s="27" t="s">
        <v>5771</v>
      </c>
      <c r="D1619">
        <f>VLOOKUP(tblTargetMedicos[[#This Row],[codigo_id]],[1]DIM_REPRESENTANTE_MEDICO!$C:$F,4,0)</f>
        <v>12</v>
      </c>
      <c r="E1619">
        <f>VLOOKUP(tblTargetMedicos[[#This Row],[codigo_id]],[1]DIM_REPRESENTANTE_MEDICO!$C:$F,3,0)</f>
        <v>1</v>
      </c>
      <c r="F1619" s="27" t="s">
        <v>5796</v>
      </c>
      <c r="G1619" s="27" t="s">
        <v>5781</v>
      </c>
      <c r="H1619" s="27" t="s">
        <v>96</v>
      </c>
      <c r="I1619">
        <v>1</v>
      </c>
    </row>
    <row r="1620" spans="1:9">
      <c r="A1620" t="s">
        <v>2035</v>
      </c>
      <c r="B1620" s="27" t="s">
        <v>3225</v>
      </c>
      <c r="C1620" s="27" t="s">
        <v>5771</v>
      </c>
      <c r="D1620">
        <f>VLOOKUP(tblTargetMedicos[[#This Row],[codigo_id]],[1]DIM_REPRESENTANTE_MEDICO!$C:$F,4,0)</f>
        <v>12</v>
      </c>
      <c r="E1620">
        <f>VLOOKUP(tblTargetMedicos[[#This Row],[codigo_id]],[1]DIM_REPRESENTANTE_MEDICO!$C:$F,3,0)</f>
        <v>1</v>
      </c>
      <c r="F1620" s="27" t="s">
        <v>5796</v>
      </c>
      <c r="G1620" s="27" t="s">
        <v>5783</v>
      </c>
      <c r="H1620" s="27" t="s">
        <v>96</v>
      </c>
      <c r="I1620">
        <v>1</v>
      </c>
    </row>
    <row r="1621" spans="1:9">
      <c r="A1621" t="s">
        <v>2036</v>
      </c>
      <c r="B1621" s="27" t="s">
        <v>3225</v>
      </c>
      <c r="C1621" s="27" t="s">
        <v>5771</v>
      </c>
      <c r="D1621">
        <f>VLOOKUP(tblTargetMedicos[[#This Row],[codigo_id]],[1]DIM_REPRESENTANTE_MEDICO!$C:$F,4,0)</f>
        <v>12</v>
      </c>
      <c r="E1621">
        <f>VLOOKUP(tblTargetMedicos[[#This Row],[codigo_id]],[1]DIM_REPRESENTANTE_MEDICO!$C:$F,3,0)</f>
        <v>1</v>
      </c>
      <c r="F1621" s="27" t="s">
        <v>5796</v>
      </c>
      <c r="G1621" s="27" t="s">
        <v>5782</v>
      </c>
      <c r="H1621" s="27" t="s">
        <v>96</v>
      </c>
      <c r="I1621">
        <v>1</v>
      </c>
    </row>
    <row r="1622" spans="1:9">
      <c r="A1622" t="s">
        <v>2037</v>
      </c>
      <c r="B1622" s="27" t="s">
        <v>3225</v>
      </c>
      <c r="C1622" s="27" t="s">
        <v>5771</v>
      </c>
      <c r="D1622">
        <f>VLOOKUP(tblTargetMedicos[[#This Row],[codigo_id]],[1]DIM_REPRESENTANTE_MEDICO!$C:$F,4,0)</f>
        <v>12</v>
      </c>
      <c r="E1622">
        <f>VLOOKUP(tblTargetMedicos[[#This Row],[codigo_id]],[1]DIM_REPRESENTANTE_MEDICO!$C:$F,3,0)</f>
        <v>1</v>
      </c>
      <c r="F1622" s="27" t="s">
        <v>5796</v>
      </c>
      <c r="G1622" s="27" t="s">
        <v>5779</v>
      </c>
      <c r="H1622" s="27" t="s">
        <v>96</v>
      </c>
      <c r="I1622">
        <v>1</v>
      </c>
    </row>
    <row r="1623" spans="1:9">
      <c r="A1623" t="s">
        <v>2038</v>
      </c>
      <c r="B1623" s="27" t="s">
        <v>3225</v>
      </c>
      <c r="C1623" s="27" t="s">
        <v>5771</v>
      </c>
      <c r="D1623">
        <f>VLOOKUP(tblTargetMedicos[[#This Row],[codigo_id]],[1]DIM_REPRESENTANTE_MEDICO!$C:$F,4,0)</f>
        <v>12</v>
      </c>
      <c r="E1623">
        <f>VLOOKUP(tblTargetMedicos[[#This Row],[codigo_id]],[1]DIM_REPRESENTANTE_MEDICO!$C:$F,3,0)</f>
        <v>1</v>
      </c>
      <c r="F1623" s="27" t="s">
        <v>5796</v>
      </c>
      <c r="G1623" s="27" t="s">
        <v>5781</v>
      </c>
      <c r="H1623" s="27" t="s">
        <v>96</v>
      </c>
      <c r="I1623">
        <v>1</v>
      </c>
    </row>
    <row r="1624" spans="1:9">
      <c r="A1624" t="s">
        <v>2039</v>
      </c>
      <c r="B1624" s="27" t="s">
        <v>3225</v>
      </c>
      <c r="C1624" s="27" t="s">
        <v>5771</v>
      </c>
      <c r="D1624">
        <f>VLOOKUP(tblTargetMedicos[[#This Row],[codigo_id]],[1]DIM_REPRESENTANTE_MEDICO!$C:$F,4,0)</f>
        <v>12</v>
      </c>
      <c r="E1624">
        <f>VLOOKUP(tblTargetMedicos[[#This Row],[codigo_id]],[1]DIM_REPRESENTANTE_MEDICO!$C:$F,3,0)</f>
        <v>1</v>
      </c>
      <c r="F1624" s="27" t="s">
        <v>5796</v>
      </c>
      <c r="G1624" s="27" t="s">
        <v>5781</v>
      </c>
      <c r="H1624" s="27" t="s">
        <v>96</v>
      </c>
      <c r="I1624">
        <v>1</v>
      </c>
    </row>
    <row r="1625" spans="1:9">
      <c r="A1625" t="s">
        <v>2040</v>
      </c>
      <c r="B1625" s="27" t="s">
        <v>3225</v>
      </c>
      <c r="C1625" s="27" t="s">
        <v>5771</v>
      </c>
      <c r="D1625">
        <f>VLOOKUP(tblTargetMedicos[[#This Row],[codigo_id]],[1]DIM_REPRESENTANTE_MEDICO!$C:$F,4,0)</f>
        <v>12</v>
      </c>
      <c r="E1625">
        <f>VLOOKUP(tblTargetMedicos[[#This Row],[codigo_id]],[1]DIM_REPRESENTANTE_MEDICO!$C:$F,3,0)</f>
        <v>1</v>
      </c>
      <c r="F1625" s="27" t="s">
        <v>5796</v>
      </c>
      <c r="G1625" s="27" t="s">
        <v>5783</v>
      </c>
      <c r="H1625" s="27" t="s">
        <v>96</v>
      </c>
      <c r="I1625">
        <v>1</v>
      </c>
    </row>
    <row r="1626" spans="1:9">
      <c r="A1626" t="s">
        <v>2041</v>
      </c>
      <c r="B1626" s="27" t="s">
        <v>3225</v>
      </c>
      <c r="C1626" s="27" t="s">
        <v>5771</v>
      </c>
      <c r="D1626">
        <f>VLOOKUP(tblTargetMedicos[[#This Row],[codigo_id]],[1]DIM_REPRESENTANTE_MEDICO!$C:$F,4,0)</f>
        <v>12</v>
      </c>
      <c r="E1626">
        <f>VLOOKUP(tblTargetMedicos[[#This Row],[codigo_id]],[1]DIM_REPRESENTANTE_MEDICO!$C:$F,3,0)</f>
        <v>1</v>
      </c>
      <c r="F1626" s="27" t="s">
        <v>5796</v>
      </c>
      <c r="G1626" s="27" t="s">
        <v>5783</v>
      </c>
      <c r="H1626" s="27" t="s">
        <v>96</v>
      </c>
      <c r="I1626">
        <v>1</v>
      </c>
    </row>
    <row r="1627" spans="1:9">
      <c r="A1627" t="s">
        <v>2042</v>
      </c>
      <c r="B1627" s="27" t="s">
        <v>3225</v>
      </c>
      <c r="C1627" s="27" t="s">
        <v>5771</v>
      </c>
      <c r="D1627">
        <f>VLOOKUP(tblTargetMedicos[[#This Row],[codigo_id]],[1]DIM_REPRESENTANTE_MEDICO!$C:$F,4,0)</f>
        <v>12</v>
      </c>
      <c r="E1627">
        <f>VLOOKUP(tblTargetMedicos[[#This Row],[codigo_id]],[1]DIM_REPRESENTANTE_MEDICO!$C:$F,3,0)</f>
        <v>1</v>
      </c>
      <c r="F1627" s="27" t="s">
        <v>5796</v>
      </c>
      <c r="G1627" s="27" t="s">
        <v>5784</v>
      </c>
      <c r="H1627" s="27" t="s">
        <v>96</v>
      </c>
      <c r="I1627">
        <v>1</v>
      </c>
    </row>
    <row r="1628" spans="1:9">
      <c r="A1628" t="s">
        <v>2043</v>
      </c>
      <c r="B1628" s="27" t="s">
        <v>3225</v>
      </c>
      <c r="C1628" s="27" t="s">
        <v>5771</v>
      </c>
      <c r="D1628">
        <f>VLOOKUP(tblTargetMedicos[[#This Row],[codigo_id]],[1]DIM_REPRESENTANTE_MEDICO!$C:$F,4,0)</f>
        <v>12</v>
      </c>
      <c r="E1628">
        <f>VLOOKUP(tblTargetMedicos[[#This Row],[codigo_id]],[1]DIM_REPRESENTANTE_MEDICO!$C:$F,3,0)</f>
        <v>1</v>
      </c>
      <c r="F1628" s="27" t="s">
        <v>5796</v>
      </c>
      <c r="G1628" s="27" t="s">
        <v>5785</v>
      </c>
      <c r="H1628" s="27" t="s">
        <v>96</v>
      </c>
      <c r="I1628">
        <v>1</v>
      </c>
    </row>
    <row r="1629" spans="1:9">
      <c r="A1629" t="s">
        <v>2044</v>
      </c>
      <c r="B1629" s="27" t="s">
        <v>3225</v>
      </c>
      <c r="C1629" s="27" t="s">
        <v>5771</v>
      </c>
      <c r="D1629">
        <f>VLOOKUP(tblTargetMedicos[[#This Row],[codigo_id]],[1]DIM_REPRESENTANTE_MEDICO!$C:$F,4,0)</f>
        <v>12</v>
      </c>
      <c r="E1629">
        <f>VLOOKUP(tblTargetMedicos[[#This Row],[codigo_id]],[1]DIM_REPRESENTANTE_MEDICO!$C:$F,3,0)</f>
        <v>1</v>
      </c>
      <c r="F1629" s="27" t="s">
        <v>5796</v>
      </c>
      <c r="G1629" s="27" t="s">
        <v>5779</v>
      </c>
      <c r="H1629" s="27" t="s">
        <v>96</v>
      </c>
      <c r="I1629">
        <v>1</v>
      </c>
    </row>
    <row r="1630" spans="1:9">
      <c r="A1630" t="s">
        <v>2045</v>
      </c>
      <c r="B1630" s="27" t="s">
        <v>3225</v>
      </c>
      <c r="C1630" s="27" t="s">
        <v>5771</v>
      </c>
      <c r="D1630">
        <f>VLOOKUP(tblTargetMedicos[[#This Row],[codigo_id]],[1]DIM_REPRESENTANTE_MEDICO!$C:$F,4,0)</f>
        <v>12</v>
      </c>
      <c r="E1630">
        <f>VLOOKUP(tblTargetMedicos[[#This Row],[codigo_id]],[1]DIM_REPRESENTANTE_MEDICO!$C:$F,3,0)</f>
        <v>1</v>
      </c>
      <c r="F1630" s="27" t="s">
        <v>5796</v>
      </c>
      <c r="G1630" s="27" t="s">
        <v>5786</v>
      </c>
      <c r="H1630" s="27" t="s">
        <v>96</v>
      </c>
      <c r="I1630">
        <v>1</v>
      </c>
    </row>
    <row r="1631" spans="1:9">
      <c r="A1631" t="s">
        <v>2046</v>
      </c>
      <c r="B1631" s="27" t="s">
        <v>3225</v>
      </c>
      <c r="C1631" s="27" t="s">
        <v>5771</v>
      </c>
      <c r="D1631">
        <f>VLOOKUP(tblTargetMedicos[[#This Row],[codigo_id]],[1]DIM_REPRESENTANTE_MEDICO!$C:$F,4,0)</f>
        <v>12</v>
      </c>
      <c r="E1631">
        <f>VLOOKUP(tblTargetMedicos[[#This Row],[codigo_id]],[1]DIM_REPRESENTANTE_MEDICO!$C:$F,3,0)</f>
        <v>1</v>
      </c>
      <c r="F1631" s="27" t="s">
        <v>5796</v>
      </c>
      <c r="G1631" s="27" t="s">
        <v>5785</v>
      </c>
      <c r="H1631" s="27" t="s">
        <v>95</v>
      </c>
      <c r="I1631">
        <v>1</v>
      </c>
    </row>
    <row r="1632" spans="1:9">
      <c r="A1632" t="s">
        <v>2047</v>
      </c>
      <c r="B1632" s="27" t="s">
        <v>3225</v>
      </c>
      <c r="C1632" s="27" t="s">
        <v>5771</v>
      </c>
      <c r="D1632">
        <f>VLOOKUP(tblTargetMedicos[[#This Row],[codigo_id]],[1]DIM_REPRESENTANTE_MEDICO!$C:$F,4,0)</f>
        <v>12</v>
      </c>
      <c r="E1632">
        <f>VLOOKUP(tblTargetMedicos[[#This Row],[codigo_id]],[1]DIM_REPRESENTANTE_MEDICO!$C:$F,3,0)</f>
        <v>1</v>
      </c>
      <c r="F1632" s="27" t="s">
        <v>5796</v>
      </c>
      <c r="G1632" s="27" t="s">
        <v>5787</v>
      </c>
      <c r="H1632" s="27" t="s">
        <v>96</v>
      </c>
      <c r="I1632">
        <v>1</v>
      </c>
    </row>
    <row r="1633" spans="1:9">
      <c r="A1633" t="s">
        <v>2048</v>
      </c>
      <c r="B1633" s="27" t="s">
        <v>3225</v>
      </c>
      <c r="C1633" s="27" t="s">
        <v>5771</v>
      </c>
      <c r="D1633">
        <f>VLOOKUP(tblTargetMedicos[[#This Row],[codigo_id]],[1]DIM_REPRESENTANTE_MEDICO!$C:$F,4,0)</f>
        <v>12</v>
      </c>
      <c r="E1633">
        <f>VLOOKUP(tblTargetMedicos[[#This Row],[codigo_id]],[1]DIM_REPRESENTANTE_MEDICO!$C:$F,3,0)</f>
        <v>1</v>
      </c>
      <c r="F1633" s="27" t="s">
        <v>5796</v>
      </c>
      <c r="G1633" s="27" t="s">
        <v>5779</v>
      </c>
      <c r="H1633" s="27" t="s">
        <v>96</v>
      </c>
      <c r="I1633">
        <v>1</v>
      </c>
    </row>
    <row r="1634" spans="1:9">
      <c r="A1634" t="s">
        <v>2049</v>
      </c>
      <c r="B1634" s="27" t="s">
        <v>3225</v>
      </c>
      <c r="C1634" s="27" t="s">
        <v>5771</v>
      </c>
      <c r="D1634">
        <f>VLOOKUP(tblTargetMedicos[[#This Row],[codigo_id]],[1]DIM_REPRESENTANTE_MEDICO!$C:$F,4,0)</f>
        <v>12</v>
      </c>
      <c r="E1634">
        <f>VLOOKUP(tblTargetMedicos[[#This Row],[codigo_id]],[1]DIM_REPRESENTANTE_MEDICO!$C:$F,3,0)</f>
        <v>1</v>
      </c>
      <c r="F1634" s="27" t="s">
        <v>5796</v>
      </c>
      <c r="G1634" s="27" t="s">
        <v>5784</v>
      </c>
      <c r="H1634" s="27" t="s">
        <v>96</v>
      </c>
      <c r="I1634">
        <v>1</v>
      </c>
    </row>
    <row r="1635" spans="1:9">
      <c r="A1635" t="s">
        <v>2050</v>
      </c>
      <c r="B1635" s="27" t="s">
        <v>3225</v>
      </c>
      <c r="C1635" s="27" t="s">
        <v>5771</v>
      </c>
      <c r="D1635">
        <f>VLOOKUP(tblTargetMedicos[[#This Row],[codigo_id]],[1]DIM_REPRESENTANTE_MEDICO!$C:$F,4,0)</f>
        <v>12</v>
      </c>
      <c r="E1635">
        <f>VLOOKUP(tblTargetMedicos[[#This Row],[codigo_id]],[1]DIM_REPRESENTANTE_MEDICO!$C:$F,3,0)</f>
        <v>1</v>
      </c>
      <c r="F1635" s="27" t="s">
        <v>5796</v>
      </c>
      <c r="G1635" s="27" t="s">
        <v>5784</v>
      </c>
      <c r="H1635" s="27" t="s">
        <v>96</v>
      </c>
      <c r="I1635">
        <v>1</v>
      </c>
    </row>
    <row r="1636" spans="1:9">
      <c r="A1636" t="s">
        <v>2051</v>
      </c>
      <c r="B1636" s="27" t="s">
        <v>3225</v>
      </c>
      <c r="C1636" s="27" t="s">
        <v>5771</v>
      </c>
      <c r="D1636">
        <f>VLOOKUP(tblTargetMedicos[[#This Row],[codigo_id]],[1]DIM_REPRESENTANTE_MEDICO!$C:$F,4,0)</f>
        <v>12</v>
      </c>
      <c r="E1636">
        <f>VLOOKUP(tblTargetMedicos[[#This Row],[codigo_id]],[1]DIM_REPRESENTANTE_MEDICO!$C:$F,3,0)</f>
        <v>1</v>
      </c>
      <c r="F1636" s="27" t="s">
        <v>5796</v>
      </c>
      <c r="G1636" s="27" t="s">
        <v>5779</v>
      </c>
      <c r="H1636" s="27" t="s">
        <v>96</v>
      </c>
      <c r="I1636">
        <v>1</v>
      </c>
    </row>
    <row r="1637" spans="1:9">
      <c r="A1637" t="s">
        <v>2052</v>
      </c>
      <c r="B1637" s="27" t="s">
        <v>3225</v>
      </c>
      <c r="C1637" s="27" t="s">
        <v>5771</v>
      </c>
      <c r="D1637">
        <f>VLOOKUP(tblTargetMedicos[[#This Row],[codigo_id]],[1]DIM_REPRESENTANTE_MEDICO!$C:$F,4,0)</f>
        <v>12</v>
      </c>
      <c r="E1637">
        <f>VLOOKUP(tblTargetMedicos[[#This Row],[codigo_id]],[1]DIM_REPRESENTANTE_MEDICO!$C:$F,3,0)</f>
        <v>1</v>
      </c>
      <c r="F1637" s="27" t="s">
        <v>5796</v>
      </c>
      <c r="G1637" s="27" t="s">
        <v>5784</v>
      </c>
      <c r="H1637" s="27" t="s">
        <v>96</v>
      </c>
      <c r="I1637">
        <v>1</v>
      </c>
    </row>
    <row r="1638" spans="1:9">
      <c r="A1638" t="s">
        <v>2053</v>
      </c>
      <c r="B1638" s="27" t="s">
        <v>3225</v>
      </c>
      <c r="C1638" s="27" t="s">
        <v>5771</v>
      </c>
      <c r="D1638">
        <f>VLOOKUP(tblTargetMedicos[[#This Row],[codigo_id]],[1]DIM_REPRESENTANTE_MEDICO!$C:$F,4,0)</f>
        <v>12</v>
      </c>
      <c r="E1638">
        <f>VLOOKUP(tblTargetMedicos[[#This Row],[codigo_id]],[1]DIM_REPRESENTANTE_MEDICO!$C:$F,3,0)</f>
        <v>1</v>
      </c>
      <c r="F1638" s="27" t="s">
        <v>5796</v>
      </c>
      <c r="G1638" s="27" t="s">
        <v>5785</v>
      </c>
      <c r="H1638" s="27" t="s">
        <v>96</v>
      </c>
      <c r="I1638">
        <v>1</v>
      </c>
    </row>
    <row r="1639" spans="1:9">
      <c r="A1639" t="s">
        <v>2054</v>
      </c>
      <c r="B1639" s="27" t="s">
        <v>3225</v>
      </c>
      <c r="C1639" s="27" t="s">
        <v>5771</v>
      </c>
      <c r="D1639">
        <f>VLOOKUP(tblTargetMedicos[[#This Row],[codigo_id]],[1]DIM_REPRESENTANTE_MEDICO!$C:$F,4,0)</f>
        <v>12</v>
      </c>
      <c r="E1639">
        <f>VLOOKUP(tblTargetMedicos[[#This Row],[codigo_id]],[1]DIM_REPRESENTANTE_MEDICO!$C:$F,3,0)</f>
        <v>1</v>
      </c>
      <c r="F1639" s="27" t="s">
        <v>5796</v>
      </c>
      <c r="G1639" s="27" t="s">
        <v>5783</v>
      </c>
      <c r="H1639" s="27" t="s">
        <v>96</v>
      </c>
      <c r="I1639">
        <v>1</v>
      </c>
    </row>
    <row r="1640" spans="1:9">
      <c r="A1640" t="s">
        <v>2055</v>
      </c>
      <c r="B1640" s="27" t="s">
        <v>3225</v>
      </c>
      <c r="C1640" s="27" t="s">
        <v>5771</v>
      </c>
      <c r="D1640">
        <f>VLOOKUP(tblTargetMedicos[[#This Row],[codigo_id]],[1]DIM_REPRESENTANTE_MEDICO!$C:$F,4,0)</f>
        <v>12</v>
      </c>
      <c r="E1640">
        <f>VLOOKUP(tblTargetMedicos[[#This Row],[codigo_id]],[1]DIM_REPRESENTANTE_MEDICO!$C:$F,3,0)</f>
        <v>1</v>
      </c>
      <c r="F1640" s="27" t="s">
        <v>5796</v>
      </c>
      <c r="G1640" s="27" t="s">
        <v>5786</v>
      </c>
      <c r="H1640" s="27" t="s">
        <v>96</v>
      </c>
      <c r="I1640">
        <v>1</v>
      </c>
    </row>
    <row r="1641" spans="1:9">
      <c r="A1641" t="s">
        <v>2056</v>
      </c>
      <c r="B1641" s="27" t="s">
        <v>3225</v>
      </c>
      <c r="C1641" s="27" t="s">
        <v>5771</v>
      </c>
      <c r="D1641">
        <f>VLOOKUP(tblTargetMedicos[[#This Row],[codigo_id]],[1]DIM_REPRESENTANTE_MEDICO!$C:$F,4,0)</f>
        <v>12</v>
      </c>
      <c r="E1641">
        <f>VLOOKUP(tblTargetMedicos[[#This Row],[codigo_id]],[1]DIM_REPRESENTANTE_MEDICO!$C:$F,3,0)</f>
        <v>1</v>
      </c>
      <c r="F1641" s="27" t="s">
        <v>5796</v>
      </c>
      <c r="G1641" s="27" t="s">
        <v>5787</v>
      </c>
      <c r="H1641" s="27" t="s">
        <v>96</v>
      </c>
      <c r="I1641">
        <v>1</v>
      </c>
    </row>
    <row r="1642" spans="1:9">
      <c r="A1642" t="s">
        <v>2057</v>
      </c>
      <c r="B1642" s="27" t="s">
        <v>3225</v>
      </c>
      <c r="C1642" s="27" t="s">
        <v>5771</v>
      </c>
      <c r="D1642">
        <f>VLOOKUP(tblTargetMedicos[[#This Row],[codigo_id]],[1]DIM_REPRESENTANTE_MEDICO!$C:$F,4,0)</f>
        <v>12</v>
      </c>
      <c r="E1642">
        <f>VLOOKUP(tblTargetMedicos[[#This Row],[codigo_id]],[1]DIM_REPRESENTANTE_MEDICO!$C:$F,3,0)</f>
        <v>1</v>
      </c>
      <c r="F1642" s="27" t="s">
        <v>5796</v>
      </c>
      <c r="G1642" s="27" t="s">
        <v>5784</v>
      </c>
      <c r="H1642" s="27" t="s">
        <v>96</v>
      </c>
      <c r="I1642">
        <v>1</v>
      </c>
    </row>
    <row r="1643" spans="1:9">
      <c r="A1643" t="s">
        <v>2058</v>
      </c>
      <c r="B1643" s="27" t="s">
        <v>3225</v>
      </c>
      <c r="C1643" s="27" t="s">
        <v>5771</v>
      </c>
      <c r="D1643">
        <f>VLOOKUP(tblTargetMedicos[[#This Row],[codigo_id]],[1]DIM_REPRESENTANTE_MEDICO!$C:$F,4,0)</f>
        <v>12</v>
      </c>
      <c r="E1643">
        <f>VLOOKUP(tblTargetMedicos[[#This Row],[codigo_id]],[1]DIM_REPRESENTANTE_MEDICO!$C:$F,3,0)</f>
        <v>1</v>
      </c>
      <c r="F1643" s="27" t="s">
        <v>5796</v>
      </c>
      <c r="G1643" s="27" t="s">
        <v>5786</v>
      </c>
      <c r="H1643" s="27" t="s">
        <v>96</v>
      </c>
      <c r="I1643">
        <v>1</v>
      </c>
    </row>
    <row r="1644" spans="1:9">
      <c r="A1644" t="s">
        <v>2059</v>
      </c>
      <c r="B1644" s="27" t="s">
        <v>3225</v>
      </c>
      <c r="C1644" s="27" t="s">
        <v>5771</v>
      </c>
      <c r="D1644">
        <f>VLOOKUP(tblTargetMedicos[[#This Row],[codigo_id]],[1]DIM_REPRESENTANTE_MEDICO!$C:$F,4,0)</f>
        <v>12</v>
      </c>
      <c r="E1644">
        <f>VLOOKUP(tblTargetMedicos[[#This Row],[codigo_id]],[1]DIM_REPRESENTANTE_MEDICO!$C:$F,3,0)</f>
        <v>1</v>
      </c>
      <c r="F1644" s="27" t="s">
        <v>5796</v>
      </c>
      <c r="G1644" s="27" t="s">
        <v>5786</v>
      </c>
      <c r="H1644" s="27" t="s">
        <v>96</v>
      </c>
      <c r="I1644">
        <v>1</v>
      </c>
    </row>
    <row r="1645" spans="1:9">
      <c r="A1645" t="s">
        <v>2060</v>
      </c>
      <c r="B1645" s="27" t="s">
        <v>3225</v>
      </c>
      <c r="C1645" s="27" t="s">
        <v>5771</v>
      </c>
      <c r="D1645">
        <f>VLOOKUP(tblTargetMedicos[[#This Row],[codigo_id]],[1]DIM_REPRESENTANTE_MEDICO!$C:$F,4,0)</f>
        <v>12</v>
      </c>
      <c r="E1645">
        <f>VLOOKUP(tblTargetMedicos[[#This Row],[codigo_id]],[1]DIM_REPRESENTANTE_MEDICO!$C:$F,3,0)</f>
        <v>1</v>
      </c>
      <c r="F1645" s="27" t="s">
        <v>5796</v>
      </c>
      <c r="G1645" s="27" t="s">
        <v>5785</v>
      </c>
      <c r="H1645" s="27" t="s">
        <v>95</v>
      </c>
      <c r="I1645">
        <v>1</v>
      </c>
    </row>
    <row r="1646" spans="1:9">
      <c r="A1646" t="s">
        <v>2061</v>
      </c>
      <c r="B1646" s="27" t="s">
        <v>3225</v>
      </c>
      <c r="C1646" s="27" t="s">
        <v>5771</v>
      </c>
      <c r="D1646">
        <f>VLOOKUP(tblTargetMedicos[[#This Row],[codigo_id]],[1]DIM_REPRESENTANTE_MEDICO!$C:$F,4,0)</f>
        <v>12</v>
      </c>
      <c r="E1646">
        <f>VLOOKUP(tblTargetMedicos[[#This Row],[codigo_id]],[1]DIM_REPRESENTANTE_MEDICO!$C:$F,3,0)</f>
        <v>1</v>
      </c>
      <c r="F1646" s="27" t="s">
        <v>5796</v>
      </c>
      <c r="G1646" s="27" t="s">
        <v>5785</v>
      </c>
      <c r="H1646" s="27" t="s">
        <v>96</v>
      </c>
      <c r="I1646">
        <v>1</v>
      </c>
    </row>
    <row r="1647" spans="1:9">
      <c r="A1647" t="s">
        <v>2062</v>
      </c>
      <c r="B1647" s="27" t="s">
        <v>3225</v>
      </c>
      <c r="C1647" s="27" t="s">
        <v>5771</v>
      </c>
      <c r="D1647">
        <f>VLOOKUP(tblTargetMedicos[[#This Row],[codigo_id]],[1]DIM_REPRESENTANTE_MEDICO!$C:$F,4,0)</f>
        <v>12</v>
      </c>
      <c r="E1647">
        <f>VLOOKUP(tblTargetMedicos[[#This Row],[codigo_id]],[1]DIM_REPRESENTANTE_MEDICO!$C:$F,3,0)</f>
        <v>1</v>
      </c>
      <c r="F1647" s="27" t="s">
        <v>5796</v>
      </c>
      <c r="G1647" s="27" t="s">
        <v>5783</v>
      </c>
      <c r="H1647" s="27" t="s">
        <v>96</v>
      </c>
      <c r="I1647">
        <v>1</v>
      </c>
    </row>
    <row r="1648" spans="1:9">
      <c r="A1648" t="s">
        <v>2063</v>
      </c>
      <c r="B1648" s="27" t="s">
        <v>3225</v>
      </c>
      <c r="C1648" s="27" t="s">
        <v>5771</v>
      </c>
      <c r="D1648">
        <f>VLOOKUP(tblTargetMedicos[[#This Row],[codigo_id]],[1]DIM_REPRESENTANTE_MEDICO!$C:$F,4,0)</f>
        <v>12</v>
      </c>
      <c r="E1648">
        <f>VLOOKUP(tblTargetMedicos[[#This Row],[codigo_id]],[1]DIM_REPRESENTANTE_MEDICO!$C:$F,3,0)</f>
        <v>1</v>
      </c>
      <c r="F1648" s="27" t="s">
        <v>5796</v>
      </c>
      <c r="G1648" s="27" t="s">
        <v>5787</v>
      </c>
      <c r="H1648" s="27" t="s">
        <v>96</v>
      </c>
      <c r="I1648">
        <v>1</v>
      </c>
    </row>
    <row r="1649" spans="1:9">
      <c r="A1649" t="s">
        <v>2064</v>
      </c>
      <c r="B1649" s="27" t="s">
        <v>3225</v>
      </c>
      <c r="C1649" s="27" t="s">
        <v>5771</v>
      </c>
      <c r="D1649">
        <f>VLOOKUP(tblTargetMedicos[[#This Row],[codigo_id]],[1]DIM_REPRESENTANTE_MEDICO!$C:$F,4,0)</f>
        <v>12</v>
      </c>
      <c r="E1649">
        <f>VLOOKUP(tblTargetMedicos[[#This Row],[codigo_id]],[1]DIM_REPRESENTANTE_MEDICO!$C:$F,3,0)</f>
        <v>1</v>
      </c>
      <c r="F1649" s="27" t="s">
        <v>5796</v>
      </c>
      <c r="G1649" s="27" t="s">
        <v>5784</v>
      </c>
      <c r="H1649" s="27" t="s">
        <v>96</v>
      </c>
      <c r="I1649">
        <v>1</v>
      </c>
    </row>
    <row r="1650" spans="1:9">
      <c r="A1650" t="s">
        <v>2065</v>
      </c>
      <c r="B1650" s="27" t="s">
        <v>3225</v>
      </c>
      <c r="C1650" s="27" t="s">
        <v>5771</v>
      </c>
      <c r="D1650">
        <f>VLOOKUP(tblTargetMedicos[[#This Row],[codigo_id]],[1]DIM_REPRESENTANTE_MEDICO!$C:$F,4,0)</f>
        <v>12</v>
      </c>
      <c r="E1650">
        <f>VLOOKUP(tblTargetMedicos[[#This Row],[codigo_id]],[1]DIM_REPRESENTANTE_MEDICO!$C:$F,3,0)</f>
        <v>1</v>
      </c>
      <c r="F1650" s="27" t="s">
        <v>5796</v>
      </c>
      <c r="G1650" s="27" t="s">
        <v>5784</v>
      </c>
      <c r="H1650" s="27" t="s">
        <v>96</v>
      </c>
      <c r="I1650">
        <v>1</v>
      </c>
    </row>
    <row r="1651" spans="1:9">
      <c r="A1651" t="s">
        <v>2066</v>
      </c>
      <c r="B1651" s="27" t="s">
        <v>3225</v>
      </c>
      <c r="C1651" s="27" t="s">
        <v>5771</v>
      </c>
      <c r="D1651">
        <f>VLOOKUP(tblTargetMedicos[[#This Row],[codigo_id]],[1]DIM_REPRESENTANTE_MEDICO!$C:$F,4,0)</f>
        <v>12</v>
      </c>
      <c r="E1651">
        <f>VLOOKUP(tblTargetMedicos[[#This Row],[codigo_id]],[1]DIM_REPRESENTANTE_MEDICO!$C:$F,3,0)</f>
        <v>1</v>
      </c>
      <c r="F1651" s="27" t="s">
        <v>5796</v>
      </c>
      <c r="G1651" s="27" t="s">
        <v>5784</v>
      </c>
      <c r="H1651" s="27" t="s">
        <v>96</v>
      </c>
      <c r="I1651">
        <v>1</v>
      </c>
    </row>
    <row r="1652" spans="1:9">
      <c r="A1652" t="s">
        <v>2067</v>
      </c>
      <c r="B1652" s="27" t="s">
        <v>3225</v>
      </c>
      <c r="C1652" s="27" t="s">
        <v>5771</v>
      </c>
      <c r="D1652">
        <f>VLOOKUP(tblTargetMedicos[[#This Row],[codigo_id]],[1]DIM_REPRESENTANTE_MEDICO!$C:$F,4,0)</f>
        <v>12</v>
      </c>
      <c r="E1652">
        <f>VLOOKUP(tblTargetMedicos[[#This Row],[codigo_id]],[1]DIM_REPRESENTANTE_MEDICO!$C:$F,3,0)</f>
        <v>1</v>
      </c>
      <c r="F1652" s="27" t="s">
        <v>5796</v>
      </c>
      <c r="G1652" s="27" t="s">
        <v>5786</v>
      </c>
      <c r="H1652" s="27" t="s">
        <v>96</v>
      </c>
      <c r="I1652">
        <v>1</v>
      </c>
    </row>
    <row r="1653" spans="1:9">
      <c r="A1653" t="s">
        <v>2068</v>
      </c>
      <c r="B1653" s="27" t="s">
        <v>3225</v>
      </c>
      <c r="C1653" s="27" t="s">
        <v>5771</v>
      </c>
      <c r="D1653">
        <f>VLOOKUP(tblTargetMedicos[[#This Row],[codigo_id]],[1]DIM_REPRESENTANTE_MEDICO!$C:$F,4,0)</f>
        <v>12</v>
      </c>
      <c r="E1653">
        <f>VLOOKUP(tblTargetMedicos[[#This Row],[codigo_id]],[1]DIM_REPRESENTANTE_MEDICO!$C:$F,3,0)</f>
        <v>1</v>
      </c>
      <c r="F1653" s="27" t="s">
        <v>5796</v>
      </c>
      <c r="G1653" s="27" t="s">
        <v>5787</v>
      </c>
      <c r="H1653" s="27" t="s">
        <v>96</v>
      </c>
      <c r="I1653">
        <v>1</v>
      </c>
    </row>
    <row r="1654" spans="1:9">
      <c r="A1654" t="s">
        <v>2069</v>
      </c>
      <c r="B1654" s="27" t="s">
        <v>3225</v>
      </c>
      <c r="C1654" s="27" t="s">
        <v>5771</v>
      </c>
      <c r="D1654">
        <f>VLOOKUP(tblTargetMedicos[[#This Row],[codigo_id]],[1]DIM_REPRESENTANTE_MEDICO!$C:$F,4,0)</f>
        <v>12</v>
      </c>
      <c r="E1654">
        <f>VLOOKUP(tblTargetMedicos[[#This Row],[codigo_id]],[1]DIM_REPRESENTANTE_MEDICO!$C:$F,3,0)</f>
        <v>1</v>
      </c>
      <c r="F1654" s="27" t="s">
        <v>5796</v>
      </c>
      <c r="G1654" s="27" t="s">
        <v>5784</v>
      </c>
      <c r="H1654" s="27" t="s">
        <v>96</v>
      </c>
      <c r="I1654">
        <v>1</v>
      </c>
    </row>
    <row r="1655" spans="1:9">
      <c r="A1655" t="s">
        <v>2070</v>
      </c>
      <c r="B1655" s="27" t="s">
        <v>3225</v>
      </c>
      <c r="C1655" s="27" t="s">
        <v>5771</v>
      </c>
      <c r="D1655">
        <f>VLOOKUP(tblTargetMedicos[[#This Row],[codigo_id]],[1]DIM_REPRESENTANTE_MEDICO!$C:$F,4,0)</f>
        <v>12</v>
      </c>
      <c r="E1655">
        <f>VLOOKUP(tblTargetMedicos[[#This Row],[codigo_id]],[1]DIM_REPRESENTANTE_MEDICO!$C:$F,3,0)</f>
        <v>1</v>
      </c>
      <c r="F1655" s="27" t="s">
        <v>5796</v>
      </c>
      <c r="G1655" s="27" t="s">
        <v>5779</v>
      </c>
      <c r="H1655" s="27" t="s">
        <v>96</v>
      </c>
      <c r="I1655">
        <v>1</v>
      </c>
    </row>
    <row r="1656" spans="1:9">
      <c r="A1656" t="s">
        <v>2071</v>
      </c>
      <c r="B1656" s="27" t="s">
        <v>3225</v>
      </c>
      <c r="C1656" s="27" t="s">
        <v>5771</v>
      </c>
      <c r="D1656">
        <f>VLOOKUP(tblTargetMedicos[[#This Row],[codigo_id]],[1]DIM_REPRESENTANTE_MEDICO!$C:$F,4,0)</f>
        <v>12</v>
      </c>
      <c r="E1656">
        <f>VLOOKUP(tblTargetMedicos[[#This Row],[codigo_id]],[1]DIM_REPRESENTANTE_MEDICO!$C:$F,3,0)</f>
        <v>1</v>
      </c>
      <c r="F1656" s="27" t="s">
        <v>5796</v>
      </c>
      <c r="G1656" s="27" t="s">
        <v>5784</v>
      </c>
      <c r="H1656" s="27" t="s">
        <v>96</v>
      </c>
      <c r="I1656">
        <v>1</v>
      </c>
    </row>
    <row r="1657" spans="1:9">
      <c r="A1657" t="s">
        <v>2072</v>
      </c>
      <c r="B1657" s="27" t="s">
        <v>3225</v>
      </c>
      <c r="C1657" s="27" t="s">
        <v>5771</v>
      </c>
      <c r="D1657">
        <f>VLOOKUP(tblTargetMedicos[[#This Row],[codigo_id]],[1]DIM_REPRESENTANTE_MEDICO!$C:$F,4,0)</f>
        <v>12</v>
      </c>
      <c r="E1657">
        <f>VLOOKUP(tblTargetMedicos[[#This Row],[codigo_id]],[1]DIM_REPRESENTANTE_MEDICO!$C:$F,3,0)</f>
        <v>1</v>
      </c>
      <c r="F1657" s="27" t="s">
        <v>5796</v>
      </c>
      <c r="G1657" s="27" t="s">
        <v>5787</v>
      </c>
      <c r="H1657" s="27" t="s">
        <v>96</v>
      </c>
      <c r="I1657">
        <v>1</v>
      </c>
    </row>
    <row r="1658" spans="1:9">
      <c r="A1658" t="s">
        <v>2073</v>
      </c>
      <c r="B1658" s="27" t="s">
        <v>3225</v>
      </c>
      <c r="C1658" s="27" t="s">
        <v>5771</v>
      </c>
      <c r="D1658">
        <f>VLOOKUP(tblTargetMedicos[[#This Row],[codigo_id]],[1]DIM_REPRESENTANTE_MEDICO!$C:$F,4,0)</f>
        <v>12</v>
      </c>
      <c r="E1658">
        <f>VLOOKUP(tblTargetMedicos[[#This Row],[codigo_id]],[1]DIM_REPRESENTANTE_MEDICO!$C:$F,3,0)</f>
        <v>1</v>
      </c>
      <c r="F1658" s="27" t="s">
        <v>5796</v>
      </c>
      <c r="G1658" s="27" t="s">
        <v>5787</v>
      </c>
      <c r="H1658" s="27" t="s">
        <v>96</v>
      </c>
      <c r="I1658">
        <v>1</v>
      </c>
    </row>
    <row r="1659" spans="1:9">
      <c r="A1659" t="s">
        <v>2074</v>
      </c>
      <c r="B1659" s="27" t="s">
        <v>3225</v>
      </c>
      <c r="C1659" s="27" t="s">
        <v>5771</v>
      </c>
      <c r="D1659">
        <f>VLOOKUP(tblTargetMedicos[[#This Row],[codigo_id]],[1]DIM_REPRESENTANTE_MEDICO!$C:$F,4,0)</f>
        <v>12</v>
      </c>
      <c r="E1659">
        <f>VLOOKUP(tblTargetMedicos[[#This Row],[codigo_id]],[1]DIM_REPRESENTANTE_MEDICO!$C:$F,3,0)</f>
        <v>1</v>
      </c>
      <c r="F1659" s="27" t="s">
        <v>5796</v>
      </c>
      <c r="G1659" s="27" t="s">
        <v>5784</v>
      </c>
      <c r="H1659" s="27" t="s">
        <v>96</v>
      </c>
      <c r="I1659">
        <v>1</v>
      </c>
    </row>
    <row r="1660" spans="1:9">
      <c r="A1660" t="s">
        <v>2075</v>
      </c>
      <c r="B1660" s="27" t="s">
        <v>3225</v>
      </c>
      <c r="C1660" s="27" t="s">
        <v>5771</v>
      </c>
      <c r="D1660">
        <f>VLOOKUP(tblTargetMedicos[[#This Row],[codigo_id]],[1]DIM_REPRESENTANTE_MEDICO!$C:$F,4,0)</f>
        <v>12</v>
      </c>
      <c r="E1660">
        <f>VLOOKUP(tblTargetMedicos[[#This Row],[codigo_id]],[1]DIM_REPRESENTANTE_MEDICO!$C:$F,3,0)</f>
        <v>1</v>
      </c>
      <c r="F1660" s="27" t="s">
        <v>5796</v>
      </c>
      <c r="G1660" s="27" t="s">
        <v>5784</v>
      </c>
      <c r="H1660" s="27" t="s">
        <v>96</v>
      </c>
      <c r="I1660">
        <v>1</v>
      </c>
    </row>
    <row r="1661" spans="1:9">
      <c r="A1661" t="s">
        <v>2076</v>
      </c>
      <c r="B1661" s="27" t="s">
        <v>3225</v>
      </c>
      <c r="C1661" s="27" t="s">
        <v>5771</v>
      </c>
      <c r="D1661">
        <f>VLOOKUP(tblTargetMedicos[[#This Row],[codigo_id]],[1]DIM_REPRESENTANTE_MEDICO!$C:$F,4,0)</f>
        <v>12</v>
      </c>
      <c r="E1661">
        <f>VLOOKUP(tblTargetMedicos[[#This Row],[codigo_id]],[1]DIM_REPRESENTANTE_MEDICO!$C:$F,3,0)</f>
        <v>1</v>
      </c>
      <c r="F1661" s="27" t="s">
        <v>5796</v>
      </c>
      <c r="G1661" s="27" t="s">
        <v>5784</v>
      </c>
      <c r="H1661" s="27" t="s">
        <v>96</v>
      </c>
      <c r="I1661">
        <v>1</v>
      </c>
    </row>
    <row r="1662" spans="1:9">
      <c r="A1662" t="s">
        <v>2077</v>
      </c>
      <c r="B1662" s="27" t="s">
        <v>3225</v>
      </c>
      <c r="C1662" s="27" t="s">
        <v>5771</v>
      </c>
      <c r="D1662">
        <f>VLOOKUP(tblTargetMedicos[[#This Row],[codigo_id]],[1]DIM_REPRESENTANTE_MEDICO!$C:$F,4,0)</f>
        <v>12</v>
      </c>
      <c r="E1662">
        <f>VLOOKUP(tblTargetMedicos[[#This Row],[codigo_id]],[1]DIM_REPRESENTANTE_MEDICO!$C:$F,3,0)</f>
        <v>1</v>
      </c>
      <c r="F1662" s="27" t="s">
        <v>5796</v>
      </c>
      <c r="G1662" s="27" t="s">
        <v>5779</v>
      </c>
      <c r="H1662" s="27" t="s">
        <v>96</v>
      </c>
      <c r="I1662">
        <v>1</v>
      </c>
    </row>
    <row r="1663" spans="1:9">
      <c r="A1663" t="s">
        <v>2078</v>
      </c>
      <c r="B1663" s="27" t="s">
        <v>3225</v>
      </c>
      <c r="C1663" s="27" t="s">
        <v>5771</v>
      </c>
      <c r="D1663">
        <f>VLOOKUP(tblTargetMedicos[[#This Row],[codigo_id]],[1]DIM_REPRESENTANTE_MEDICO!$C:$F,4,0)</f>
        <v>12</v>
      </c>
      <c r="E1663">
        <f>VLOOKUP(tblTargetMedicos[[#This Row],[codigo_id]],[1]DIM_REPRESENTANTE_MEDICO!$C:$F,3,0)</f>
        <v>1</v>
      </c>
      <c r="F1663" s="27" t="s">
        <v>5796</v>
      </c>
      <c r="G1663" s="27" t="s">
        <v>5784</v>
      </c>
      <c r="H1663" s="27" t="s">
        <v>96</v>
      </c>
      <c r="I1663">
        <v>1</v>
      </c>
    </row>
    <row r="1664" spans="1:9">
      <c r="A1664" t="s">
        <v>2079</v>
      </c>
      <c r="B1664" s="27" t="s">
        <v>3225</v>
      </c>
      <c r="C1664" s="27" t="s">
        <v>5771</v>
      </c>
      <c r="D1664">
        <f>VLOOKUP(tblTargetMedicos[[#This Row],[codigo_id]],[1]DIM_REPRESENTANTE_MEDICO!$C:$F,4,0)</f>
        <v>12</v>
      </c>
      <c r="E1664">
        <f>VLOOKUP(tblTargetMedicos[[#This Row],[codigo_id]],[1]DIM_REPRESENTANTE_MEDICO!$C:$F,3,0)</f>
        <v>1</v>
      </c>
      <c r="F1664" s="27" t="s">
        <v>5796</v>
      </c>
      <c r="G1664" s="27" t="s">
        <v>5784</v>
      </c>
      <c r="H1664" s="27" t="s">
        <v>96</v>
      </c>
      <c r="I1664">
        <v>1</v>
      </c>
    </row>
    <row r="1665" spans="1:9">
      <c r="A1665" t="s">
        <v>2080</v>
      </c>
      <c r="B1665" s="27" t="s">
        <v>3225</v>
      </c>
      <c r="C1665" s="27" t="s">
        <v>5771</v>
      </c>
      <c r="D1665">
        <f>VLOOKUP(tblTargetMedicos[[#This Row],[codigo_id]],[1]DIM_REPRESENTANTE_MEDICO!$C:$F,4,0)</f>
        <v>12</v>
      </c>
      <c r="E1665">
        <f>VLOOKUP(tblTargetMedicos[[#This Row],[codigo_id]],[1]DIM_REPRESENTANTE_MEDICO!$C:$F,3,0)</f>
        <v>1</v>
      </c>
      <c r="F1665" s="27" t="s">
        <v>5796</v>
      </c>
      <c r="G1665" s="27" t="s">
        <v>5784</v>
      </c>
      <c r="H1665" s="27" t="s">
        <v>96</v>
      </c>
      <c r="I1665">
        <v>1</v>
      </c>
    </row>
    <row r="1666" spans="1:9">
      <c r="A1666" t="s">
        <v>2081</v>
      </c>
      <c r="B1666" s="27" t="s">
        <v>3225</v>
      </c>
      <c r="C1666" s="27" t="s">
        <v>5771</v>
      </c>
      <c r="D1666">
        <f>VLOOKUP(tblTargetMedicos[[#This Row],[codigo_id]],[1]DIM_REPRESENTANTE_MEDICO!$C:$F,4,0)</f>
        <v>12</v>
      </c>
      <c r="E1666">
        <f>VLOOKUP(tblTargetMedicos[[#This Row],[codigo_id]],[1]DIM_REPRESENTANTE_MEDICO!$C:$F,3,0)</f>
        <v>1</v>
      </c>
      <c r="F1666" s="27" t="s">
        <v>5796</v>
      </c>
      <c r="G1666" s="27" t="s">
        <v>5783</v>
      </c>
      <c r="H1666" s="27" t="s">
        <v>96</v>
      </c>
      <c r="I1666">
        <v>1</v>
      </c>
    </row>
    <row r="1667" spans="1:9">
      <c r="A1667" t="s">
        <v>2082</v>
      </c>
      <c r="B1667" s="27" t="s">
        <v>3225</v>
      </c>
      <c r="C1667" s="27" t="s">
        <v>5771</v>
      </c>
      <c r="D1667">
        <f>VLOOKUP(tblTargetMedicos[[#This Row],[codigo_id]],[1]DIM_REPRESENTANTE_MEDICO!$C:$F,4,0)</f>
        <v>12</v>
      </c>
      <c r="E1667">
        <f>VLOOKUP(tblTargetMedicos[[#This Row],[codigo_id]],[1]DIM_REPRESENTANTE_MEDICO!$C:$F,3,0)</f>
        <v>1</v>
      </c>
      <c r="F1667" s="27" t="s">
        <v>5796</v>
      </c>
      <c r="G1667" s="27" t="s">
        <v>5784</v>
      </c>
      <c r="H1667" s="27" t="s">
        <v>97</v>
      </c>
      <c r="I1667">
        <v>1</v>
      </c>
    </row>
    <row r="1668" spans="1:9">
      <c r="A1668" t="s">
        <v>2083</v>
      </c>
      <c r="B1668" s="27" t="s">
        <v>3225</v>
      </c>
      <c r="C1668" s="27" t="s">
        <v>5771</v>
      </c>
      <c r="D1668">
        <f>VLOOKUP(tblTargetMedicos[[#This Row],[codigo_id]],[1]DIM_REPRESENTANTE_MEDICO!$C:$F,4,0)</f>
        <v>12</v>
      </c>
      <c r="E1668">
        <f>VLOOKUP(tblTargetMedicos[[#This Row],[codigo_id]],[1]DIM_REPRESENTANTE_MEDICO!$C:$F,3,0)</f>
        <v>1</v>
      </c>
      <c r="F1668" s="27" t="s">
        <v>5796</v>
      </c>
      <c r="G1668" s="27" t="s">
        <v>5783</v>
      </c>
      <c r="H1668" s="27" t="s">
        <v>97</v>
      </c>
      <c r="I1668">
        <v>1</v>
      </c>
    </row>
    <row r="1669" spans="1:9">
      <c r="A1669" t="s">
        <v>2084</v>
      </c>
      <c r="B1669" s="27" t="s">
        <v>3225</v>
      </c>
      <c r="C1669" s="27" t="s">
        <v>5771</v>
      </c>
      <c r="D1669">
        <f>VLOOKUP(tblTargetMedicos[[#This Row],[codigo_id]],[1]DIM_REPRESENTANTE_MEDICO!$C:$F,4,0)</f>
        <v>12</v>
      </c>
      <c r="E1669">
        <f>VLOOKUP(tblTargetMedicos[[#This Row],[codigo_id]],[1]DIM_REPRESENTANTE_MEDICO!$C:$F,3,0)</f>
        <v>1</v>
      </c>
      <c r="F1669" s="27" t="s">
        <v>5796</v>
      </c>
      <c r="G1669" s="27" t="s">
        <v>5786</v>
      </c>
      <c r="H1669" s="27" t="s">
        <v>97</v>
      </c>
      <c r="I1669">
        <v>1</v>
      </c>
    </row>
    <row r="1670" spans="1:9">
      <c r="A1670" t="s">
        <v>2085</v>
      </c>
      <c r="B1670" s="27" t="s">
        <v>3225</v>
      </c>
      <c r="C1670" s="27" t="s">
        <v>5771</v>
      </c>
      <c r="D1670">
        <f>VLOOKUP(tblTargetMedicos[[#This Row],[codigo_id]],[1]DIM_REPRESENTANTE_MEDICO!$C:$F,4,0)</f>
        <v>12</v>
      </c>
      <c r="E1670">
        <f>VLOOKUP(tblTargetMedicos[[#This Row],[codigo_id]],[1]DIM_REPRESENTANTE_MEDICO!$C:$F,3,0)</f>
        <v>1</v>
      </c>
      <c r="F1670" s="27" t="s">
        <v>5796</v>
      </c>
      <c r="G1670" s="27" t="s">
        <v>5785</v>
      </c>
      <c r="H1670" s="27" t="s">
        <v>97</v>
      </c>
      <c r="I1670">
        <v>1</v>
      </c>
    </row>
    <row r="1671" spans="1:9">
      <c r="A1671" t="s">
        <v>2086</v>
      </c>
      <c r="B1671" s="27" t="s">
        <v>3225</v>
      </c>
      <c r="C1671" s="27" t="s">
        <v>5771</v>
      </c>
      <c r="D1671">
        <f>VLOOKUP(tblTargetMedicos[[#This Row],[codigo_id]],[1]DIM_REPRESENTANTE_MEDICO!$C:$F,4,0)</f>
        <v>12</v>
      </c>
      <c r="E1671">
        <f>VLOOKUP(tblTargetMedicos[[#This Row],[codigo_id]],[1]DIM_REPRESENTANTE_MEDICO!$C:$F,3,0)</f>
        <v>1</v>
      </c>
      <c r="F1671" s="27" t="s">
        <v>5796</v>
      </c>
      <c r="G1671" s="27" t="s">
        <v>5786</v>
      </c>
      <c r="H1671" s="27" t="s">
        <v>96</v>
      </c>
      <c r="I1671">
        <v>1</v>
      </c>
    </row>
    <row r="1672" spans="1:9">
      <c r="A1672" t="s">
        <v>2087</v>
      </c>
      <c r="B1672" s="27" t="s">
        <v>3225</v>
      </c>
      <c r="C1672" s="27" t="s">
        <v>5771</v>
      </c>
      <c r="D1672">
        <f>VLOOKUP(tblTargetMedicos[[#This Row],[codigo_id]],[1]DIM_REPRESENTANTE_MEDICO!$C:$F,4,0)</f>
        <v>12</v>
      </c>
      <c r="E1672">
        <f>VLOOKUP(tblTargetMedicos[[#This Row],[codigo_id]],[1]DIM_REPRESENTANTE_MEDICO!$C:$F,3,0)</f>
        <v>1</v>
      </c>
      <c r="F1672" s="27" t="s">
        <v>5796</v>
      </c>
      <c r="G1672" s="27" t="s">
        <v>5784</v>
      </c>
      <c r="H1672" s="27" t="s">
        <v>96</v>
      </c>
      <c r="I1672">
        <v>1</v>
      </c>
    </row>
    <row r="1673" spans="1:9">
      <c r="A1673" t="s">
        <v>2088</v>
      </c>
      <c r="B1673" s="27" t="s">
        <v>3225</v>
      </c>
      <c r="C1673" s="27" t="s">
        <v>5771</v>
      </c>
      <c r="D1673">
        <f>VLOOKUP(tblTargetMedicos[[#This Row],[codigo_id]],[1]DIM_REPRESENTANTE_MEDICO!$C:$F,4,0)</f>
        <v>12</v>
      </c>
      <c r="E1673">
        <f>VLOOKUP(tblTargetMedicos[[#This Row],[codigo_id]],[1]DIM_REPRESENTANTE_MEDICO!$C:$F,3,0)</f>
        <v>1</v>
      </c>
      <c r="F1673" s="27" t="s">
        <v>5796</v>
      </c>
      <c r="G1673" s="27" t="s">
        <v>5784</v>
      </c>
      <c r="H1673" s="27" t="s">
        <v>96</v>
      </c>
      <c r="I1673">
        <v>1</v>
      </c>
    </row>
    <row r="1674" spans="1:9">
      <c r="A1674" t="s">
        <v>2089</v>
      </c>
      <c r="B1674" s="27" t="s">
        <v>3225</v>
      </c>
      <c r="C1674" s="27" t="s">
        <v>5771</v>
      </c>
      <c r="D1674">
        <f>VLOOKUP(tblTargetMedicos[[#This Row],[codigo_id]],[1]DIM_REPRESENTANTE_MEDICO!$C:$F,4,0)</f>
        <v>12</v>
      </c>
      <c r="E1674">
        <f>VLOOKUP(tblTargetMedicos[[#This Row],[codigo_id]],[1]DIM_REPRESENTANTE_MEDICO!$C:$F,3,0)</f>
        <v>1</v>
      </c>
      <c r="F1674" s="27" t="s">
        <v>5796</v>
      </c>
      <c r="G1674" s="27" t="s">
        <v>5784</v>
      </c>
      <c r="H1674" s="27" t="s">
        <v>96</v>
      </c>
      <c r="I1674">
        <v>1</v>
      </c>
    </row>
    <row r="1675" spans="1:9">
      <c r="A1675" t="s">
        <v>2090</v>
      </c>
      <c r="B1675" s="27" t="s">
        <v>3225</v>
      </c>
      <c r="C1675" s="27" t="s">
        <v>5771</v>
      </c>
      <c r="D1675">
        <f>VLOOKUP(tblTargetMedicos[[#This Row],[codigo_id]],[1]DIM_REPRESENTANTE_MEDICO!$C:$F,4,0)</f>
        <v>12</v>
      </c>
      <c r="E1675">
        <f>VLOOKUP(tblTargetMedicos[[#This Row],[codigo_id]],[1]DIM_REPRESENTANTE_MEDICO!$C:$F,3,0)</f>
        <v>1</v>
      </c>
      <c r="F1675" s="27" t="s">
        <v>5796</v>
      </c>
      <c r="G1675" s="27" t="s">
        <v>5785</v>
      </c>
      <c r="H1675" s="27" t="s">
        <v>96</v>
      </c>
      <c r="I1675">
        <v>1</v>
      </c>
    </row>
    <row r="1676" spans="1:9">
      <c r="A1676" t="s">
        <v>2091</v>
      </c>
      <c r="B1676" s="27" t="s">
        <v>3225</v>
      </c>
      <c r="C1676" s="27" t="s">
        <v>5771</v>
      </c>
      <c r="D1676">
        <f>VLOOKUP(tblTargetMedicos[[#This Row],[codigo_id]],[1]DIM_REPRESENTANTE_MEDICO!$C:$F,4,0)</f>
        <v>12</v>
      </c>
      <c r="E1676">
        <f>VLOOKUP(tblTargetMedicos[[#This Row],[codigo_id]],[1]DIM_REPRESENTANTE_MEDICO!$C:$F,3,0)</f>
        <v>1</v>
      </c>
      <c r="F1676" s="27" t="s">
        <v>5796</v>
      </c>
      <c r="G1676" s="27" t="s">
        <v>5784</v>
      </c>
      <c r="H1676" s="27" t="s">
        <v>96</v>
      </c>
      <c r="I1676">
        <v>1</v>
      </c>
    </row>
    <row r="1677" spans="1:9">
      <c r="A1677" t="s">
        <v>2092</v>
      </c>
      <c r="B1677" s="27" t="s">
        <v>3225</v>
      </c>
      <c r="C1677" s="27" t="s">
        <v>5771</v>
      </c>
      <c r="D1677">
        <f>VLOOKUP(tblTargetMedicos[[#This Row],[codigo_id]],[1]DIM_REPRESENTANTE_MEDICO!$C:$F,4,0)</f>
        <v>12</v>
      </c>
      <c r="E1677">
        <f>VLOOKUP(tblTargetMedicos[[#This Row],[codigo_id]],[1]DIM_REPRESENTANTE_MEDICO!$C:$F,3,0)</f>
        <v>1</v>
      </c>
      <c r="F1677" s="27" t="s">
        <v>5796</v>
      </c>
      <c r="G1677" s="27" t="s">
        <v>5784</v>
      </c>
      <c r="H1677" s="27" t="s">
        <v>96</v>
      </c>
      <c r="I1677">
        <v>1</v>
      </c>
    </row>
    <row r="1678" spans="1:9">
      <c r="A1678" t="s">
        <v>2093</v>
      </c>
      <c r="B1678" s="27" t="s">
        <v>3225</v>
      </c>
      <c r="C1678" s="27" t="s">
        <v>5771</v>
      </c>
      <c r="D1678">
        <f>VLOOKUP(tblTargetMedicos[[#This Row],[codigo_id]],[1]DIM_REPRESENTANTE_MEDICO!$C:$F,4,0)</f>
        <v>12</v>
      </c>
      <c r="E1678">
        <f>VLOOKUP(tblTargetMedicos[[#This Row],[codigo_id]],[1]DIM_REPRESENTANTE_MEDICO!$C:$F,3,0)</f>
        <v>1</v>
      </c>
      <c r="F1678" s="27" t="s">
        <v>5796</v>
      </c>
      <c r="G1678" s="27" t="s">
        <v>5785</v>
      </c>
      <c r="H1678" s="27" t="s">
        <v>96</v>
      </c>
      <c r="I1678">
        <v>1</v>
      </c>
    </row>
    <row r="1679" spans="1:9">
      <c r="A1679" t="s">
        <v>2094</v>
      </c>
      <c r="B1679" s="27" t="s">
        <v>3225</v>
      </c>
      <c r="C1679" s="27" t="s">
        <v>5771</v>
      </c>
      <c r="D1679">
        <f>VLOOKUP(tblTargetMedicos[[#This Row],[codigo_id]],[1]DIM_REPRESENTANTE_MEDICO!$C:$F,4,0)</f>
        <v>12</v>
      </c>
      <c r="E1679">
        <f>VLOOKUP(tblTargetMedicos[[#This Row],[codigo_id]],[1]DIM_REPRESENTANTE_MEDICO!$C:$F,3,0)</f>
        <v>1</v>
      </c>
      <c r="F1679" s="27" t="s">
        <v>5796</v>
      </c>
      <c r="G1679" s="27" t="s">
        <v>5782</v>
      </c>
      <c r="H1679" s="27" t="s">
        <v>96</v>
      </c>
      <c r="I1679">
        <v>1</v>
      </c>
    </row>
    <row r="1680" spans="1:9">
      <c r="A1680" t="s">
        <v>2095</v>
      </c>
      <c r="B1680" s="27" t="s">
        <v>3225</v>
      </c>
      <c r="C1680" s="27" t="s">
        <v>5771</v>
      </c>
      <c r="D1680">
        <f>VLOOKUP(tblTargetMedicos[[#This Row],[codigo_id]],[1]DIM_REPRESENTANTE_MEDICO!$C:$F,4,0)</f>
        <v>12</v>
      </c>
      <c r="E1680">
        <f>VLOOKUP(tblTargetMedicos[[#This Row],[codigo_id]],[1]DIM_REPRESENTANTE_MEDICO!$C:$F,3,0)</f>
        <v>1</v>
      </c>
      <c r="F1680" s="27" t="s">
        <v>5796</v>
      </c>
      <c r="G1680" s="27" t="s">
        <v>5784</v>
      </c>
      <c r="H1680" s="27" t="s">
        <v>96</v>
      </c>
      <c r="I1680">
        <v>1</v>
      </c>
    </row>
    <row r="1681" spans="1:9">
      <c r="A1681" t="s">
        <v>2096</v>
      </c>
      <c r="B1681" s="27" t="s">
        <v>3225</v>
      </c>
      <c r="C1681" s="27" t="s">
        <v>5771</v>
      </c>
      <c r="D1681">
        <f>VLOOKUP(tblTargetMedicos[[#This Row],[codigo_id]],[1]DIM_REPRESENTANTE_MEDICO!$C:$F,4,0)</f>
        <v>12</v>
      </c>
      <c r="E1681">
        <f>VLOOKUP(tblTargetMedicos[[#This Row],[codigo_id]],[1]DIM_REPRESENTANTE_MEDICO!$C:$F,3,0)</f>
        <v>1</v>
      </c>
      <c r="F1681" s="27" t="s">
        <v>5796</v>
      </c>
      <c r="G1681" s="27" t="s">
        <v>5787</v>
      </c>
      <c r="H1681" s="27" t="s">
        <v>96</v>
      </c>
      <c r="I1681">
        <v>1</v>
      </c>
    </row>
    <row r="1682" spans="1:9">
      <c r="A1682" t="s">
        <v>2097</v>
      </c>
      <c r="B1682" s="27" t="s">
        <v>3225</v>
      </c>
      <c r="C1682" s="27" t="s">
        <v>5771</v>
      </c>
      <c r="D1682">
        <f>VLOOKUP(tblTargetMedicos[[#This Row],[codigo_id]],[1]DIM_REPRESENTANTE_MEDICO!$C:$F,4,0)</f>
        <v>12</v>
      </c>
      <c r="E1682">
        <f>VLOOKUP(tblTargetMedicos[[#This Row],[codigo_id]],[1]DIM_REPRESENTANTE_MEDICO!$C:$F,3,0)</f>
        <v>1</v>
      </c>
      <c r="F1682" s="27" t="s">
        <v>5796</v>
      </c>
      <c r="G1682" s="27" t="s">
        <v>5784</v>
      </c>
      <c r="H1682" s="27" t="s">
        <v>95</v>
      </c>
      <c r="I1682">
        <v>1</v>
      </c>
    </row>
    <row r="1683" spans="1:9">
      <c r="A1683" t="s">
        <v>2098</v>
      </c>
      <c r="B1683" s="27" t="s">
        <v>3225</v>
      </c>
      <c r="C1683" s="27" t="s">
        <v>5771</v>
      </c>
      <c r="D1683">
        <f>VLOOKUP(tblTargetMedicos[[#This Row],[codigo_id]],[1]DIM_REPRESENTANTE_MEDICO!$C:$F,4,0)</f>
        <v>12</v>
      </c>
      <c r="E1683">
        <f>VLOOKUP(tblTargetMedicos[[#This Row],[codigo_id]],[1]DIM_REPRESENTANTE_MEDICO!$C:$F,3,0)</f>
        <v>1</v>
      </c>
      <c r="F1683" s="27" t="s">
        <v>5796</v>
      </c>
      <c r="G1683" s="27" t="s">
        <v>5783</v>
      </c>
      <c r="H1683" s="27" t="s">
        <v>96</v>
      </c>
      <c r="I1683">
        <v>1</v>
      </c>
    </row>
    <row r="1684" spans="1:9">
      <c r="A1684" t="s">
        <v>2099</v>
      </c>
      <c r="B1684" s="27" t="s">
        <v>3225</v>
      </c>
      <c r="C1684" s="27" t="s">
        <v>5771</v>
      </c>
      <c r="D1684">
        <f>VLOOKUP(tblTargetMedicos[[#This Row],[codigo_id]],[1]DIM_REPRESENTANTE_MEDICO!$C:$F,4,0)</f>
        <v>12</v>
      </c>
      <c r="E1684">
        <f>VLOOKUP(tblTargetMedicos[[#This Row],[codigo_id]],[1]DIM_REPRESENTANTE_MEDICO!$C:$F,3,0)</f>
        <v>1</v>
      </c>
      <c r="F1684" s="27" t="s">
        <v>5796</v>
      </c>
      <c r="G1684" s="27" t="s">
        <v>5786</v>
      </c>
      <c r="H1684" s="27" t="s">
        <v>96</v>
      </c>
      <c r="I1684">
        <v>1</v>
      </c>
    </row>
    <row r="1685" spans="1:9">
      <c r="A1685" t="s">
        <v>2100</v>
      </c>
      <c r="B1685" s="27" t="s">
        <v>3225</v>
      </c>
      <c r="C1685" s="27" t="s">
        <v>5771</v>
      </c>
      <c r="D1685">
        <f>VLOOKUP(tblTargetMedicos[[#This Row],[codigo_id]],[1]DIM_REPRESENTANTE_MEDICO!$C:$F,4,0)</f>
        <v>12</v>
      </c>
      <c r="E1685">
        <f>VLOOKUP(tblTargetMedicos[[#This Row],[codigo_id]],[1]DIM_REPRESENTANTE_MEDICO!$C:$F,3,0)</f>
        <v>1</v>
      </c>
      <c r="F1685" s="27" t="s">
        <v>5796</v>
      </c>
      <c r="G1685" s="27" t="s">
        <v>5784</v>
      </c>
      <c r="H1685" s="27" t="s">
        <v>96</v>
      </c>
      <c r="I1685">
        <v>1</v>
      </c>
    </row>
    <row r="1686" spans="1:9">
      <c r="A1686" t="s">
        <v>2101</v>
      </c>
      <c r="B1686" s="27" t="s">
        <v>3225</v>
      </c>
      <c r="C1686" s="27" t="s">
        <v>5771</v>
      </c>
      <c r="D1686">
        <f>VLOOKUP(tblTargetMedicos[[#This Row],[codigo_id]],[1]DIM_REPRESENTANTE_MEDICO!$C:$F,4,0)</f>
        <v>12</v>
      </c>
      <c r="E1686">
        <f>VLOOKUP(tblTargetMedicos[[#This Row],[codigo_id]],[1]DIM_REPRESENTANTE_MEDICO!$C:$F,3,0)</f>
        <v>1</v>
      </c>
      <c r="F1686" s="27" t="s">
        <v>5796</v>
      </c>
      <c r="G1686" s="27" t="s">
        <v>5784</v>
      </c>
      <c r="H1686" s="27" t="s">
        <v>95</v>
      </c>
      <c r="I1686">
        <v>1</v>
      </c>
    </row>
    <row r="1687" spans="1:9">
      <c r="A1687" t="s">
        <v>2102</v>
      </c>
      <c r="B1687" s="27" t="s">
        <v>3225</v>
      </c>
      <c r="C1687" s="27" t="s">
        <v>5771</v>
      </c>
      <c r="D1687">
        <f>VLOOKUP(tblTargetMedicos[[#This Row],[codigo_id]],[1]DIM_REPRESENTANTE_MEDICO!$C:$F,4,0)</f>
        <v>12</v>
      </c>
      <c r="E1687">
        <f>VLOOKUP(tblTargetMedicos[[#This Row],[codigo_id]],[1]DIM_REPRESENTANTE_MEDICO!$C:$F,3,0)</f>
        <v>1</v>
      </c>
      <c r="F1687" s="27" t="s">
        <v>5796</v>
      </c>
      <c r="G1687" s="27" t="s">
        <v>5779</v>
      </c>
      <c r="H1687" s="27" t="s">
        <v>96</v>
      </c>
      <c r="I1687">
        <v>1</v>
      </c>
    </row>
    <row r="1688" spans="1:9">
      <c r="A1688" t="s">
        <v>2103</v>
      </c>
      <c r="B1688" s="27" t="s">
        <v>3225</v>
      </c>
      <c r="C1688" s="27" t="s">
        <v>5771</v>
      </c>
      <c r="D1688">
        <f>VLOOKUP(tblTargetMedicos[[#This Row],[codigo_id]],[1]DIM_REPRESENTANTE_MEDICO!$C:$F,4,0)</f>
        <v>12</v>
      </c>
      <c r="E1688">
        <f>VLOOKUP(tblTargetMedicos[[#This Row],[codigo_id]],[1]DIM_REPRESENTANTE_MEDICO!$C:$F,3,0)</f>
        <v>1</v>
      </c>
      <c r="F1688" s="27" t="s">
        <v>5796</v>
      </c>
      <c r="G1688" s="27" t="s">
        <v>5786</v>
      </c>
      <c r="H1688" s="27" t="s">
        <v>96</v>
      </c>
      <c r="I1688">
        <v>1</v>
      </c>
    </row>
    <row r="1689" spans="1:9">
      <c r="A1689" t="s">
        <v>2104</v>
      </c>
      <c r="B1689" s="27" t="s">
        <v>3225</v>
      </c>
      <c r="C1689" s="27" t="s">
        <v>5771</v>
      </c>
      <c r="D1689">
        <f>VLOOKUP(tblTargetMedicos[[#This Row],[codigo_id]],[1]DIM_REPRESENTANTE_MEDICO!$C:$F,4,0)</f>
        <v>12</v>
      </c>
      <c r="E1689">
        <f>VLOOKUP(tblTargetMedicos[[#This Row],[codigo_id]],[1]DIM_REPRESENTANTE_MEDICO!$C:$F,3,0)</f>
        <v>1</v>
      </c>
      <c r="F1689" s="27" t="s">
        <v>5796</v>
      </c>
      <c r="G1689" s="27" t="s">
        <v>5782</v>
      </c>
      <c r="H1689" s="27" t="s">
        <v>96</v>
      </c>
      <c r="I1689">
        <v>1</v>
      </c>
    </row>
    <row r="1690" spans="1:9">
      <c r="A1690" t="s">
        <v>2105</v>
      </c>
      <c r="B1690" s="27" t="s">
        <v>3225</v>
      </c>
      <c r="C1690" s="27" t="s">
        <v>5771</v>
      </c>
      <c r="D1690">
        <f>VLOOKUP(tblTargetMedicos[[#This Row],[codigo_id]],[1]DIM_REPRESENTANTE_MEDICO!$C:$F,4,0)</f>
        <v>12</v>
      </c>
      <c r="E1690">
        <f>VLOOKUP(tblTargetMedicos[[#This Row],[codigo_id]],[1]DIM_REPRESENTANTE_MEDICO!$C:$F,3,0)</f>
        <v>1</v>
      </c>
      <c r="F1690" s="27" t="s">
        <v>5796</v>
      </c>
      <c r="G1690" s="27" t="s">
        <v>5784</v>
      </c>
      <c r="H1690" s="27" t="s">
        <v>97</v>
      </c>
      <c r="I1690">
        <v>1</v>
      </c>
    </row>
    <row r="1691" spans="1:9">
      <c r="A1691" t="s">
        <v>2106</v>
      </c>
      <c r="B1691" s="27" t="s">
        <v>3225</v>
      </c>
      <c r="C1691" s="27" t="s">
        <v>5771</v>
      </c>
      <c r="D1691">
        <f>VLOOKUP(tblTargetMedicos[[#This Row],[codigo_id]],[1]DIM_REPRESENTANTE_MEDICO!$C:$F,4,0)</f>
        <v>12</v>
      </c>
      <c r="E1691">
        <f>VLOOKUP(tblTargetMedicos[[#This Row],[codigo_id]],[1]DIM_REPRESENTANTE_MEDICO!$C:$F,3,0)</f>
        <v>1</v>
      </c>
      <c r="F1691" s="27" t="s">
        <v>5796</v>
      </c>
      <c r="G1691" s="27" t="s">
        <v>5787</v>
      </c>
      <c r="H1691" s="27" t="s">
        <v>96</v>
      </c>
      <c r="I1691">
        <v>1</v>
      </c>
    </row>
    <row r="1692" spans="1:9">
      <c r="A1692" t="s">
        <v>2107</v>
      </c>
      <c r="B1692" s="27" t="s">
        <v>3225</v>
      </c>
      <c r="C1692" s="27" t="s">
        <v>5771</v>
      </c>
      <c r="D1692">
        <f>VLOOKUP(tblTargetMedicos[[#This Row],[codigo_id]],[1]DIM_REPRESENTANTE_MEDICO!$C:$F,4,0)</f>
        <v>12</v>
      </c>
      <c r="E1692">
        <f>VLOOKUP(tblTargetMedicos[[#This Row],[codigo_id]],[1]DIM_REPRESENTANTE_MEDICO!$C:$F,3,0)</f>
        <v>1</v>
      </c>
      <c r="F1692" s="27" t="s">
        <v>5796</v>
      </c>
      <c r="G1692" s="27" t="s">
        <v>5783</v>
      </c>
      <c r="H1692" s="27" t="s">
        <v>96</v>
      </c>
      <c r="I1692">
        <v>1</v>
      </c>
    </row>
    <row r="1693" spans="1:9">
      <c r="A1693" t="s">
        <v>2108</v>
      </c>
      <c r="B1693" s="27" t="s">
        <v>3225</v>
      </c>
      <c r="C1693" s="27" t="s">
        <v>5771</v>
      </c>
      <c r="D1693">
        <f>VLOOKUP(tblTargetMedicos[[#This Row],[codigo_id]],[1]DIM_REPRESENTANTE_MEDICO!$C:$F,4,0)</f>
        <v>12</v>
      </c>
      <c r="E1693">
        <f>VLOOKUP(tblTargetMedicos[[#This Row],[codigo_id]],[1]DIM_REPRESENTANTE_MEDICO!$C:$F,3,0)</f>
        <v>1</v>
      </c>
      <c r="F1693" s="27" t="s">
        <v>5796</v>
      </c>
      <c r="G1693" s="27" t="s">
        <v>5786</v>
      </c>
      <c r="H1693" s="27" t="s">
        <v>96</v>
      </c>
      <c r="I1693">
        <v>1</v>
      </c>
    </row>
    <row r="1694" spans="1:9">
      <c r="A1694" t="s">
        <v>2109</v>
      </c>
      <c r="B1694" s="27" t="s">
        <v>3225</v>
      </c>
      <c r="C1694" s="27" t="s">
        <v>5771</v>
      </c>
      <c r="D1694">
        <f>VLOOKUP(tblTargetMedicos[[#This Row],[codigo_id]],[1]DIM_REPRESENTANTE_MEDICO!$C:$F,4,0)</f>
        <v>12</v>
      </c>
      <c r="E1694">
        <f>VLOOKUP(tblTargetMedicos[[#This Row],[codigo_id]],[1]DIM_REPRESENTANTE_MEDICO!$C:$F,3,0)</f>
        <v>1</v>
      </c>
      <c r="F1694" s="27" t="s">
        <v>5796</v>
      </c>
      <c r="G1694" s="27" t="s">
        <v>5784</v>
      </c>
      <c r="H1694" s="27" t="s">
        <v>96</v>
      </c>
      <c r="I1694">
        <v>1</v>
      </c>
    </row>
    <row r="1695" spans="1:9">
      <c r="A1695" t="s">
        <v>2110</v>
      </c>
      <c r="B1695" s="27" t="s">
        <v>3225</v>
      </c>
      <c r="C1695" s="27" t="s">
        <v>5771</v>
      </c>
      <c r="D1695">
        <f>VLOOKUP(tblTargetMedicos[[#This Row],[codigo_id]],[1]DIM_REPRESENTANTE_MEDICO!$C:$F,4,0)</f>
        <v>12</v>
      </c>
      <c r="E1695">
        <f>VLOOKUP(tblTargetMedicos[[#This Row],[codigo_id]],[1]DIM_REPRESENTANTE_MEDICO!$C:$F,3,0)</f>
        <v>1</v>
      </c>
      <c r="F1695" s="27" t="s">
        <v>5796</v>
      </c>
      <c r="G1695" s="27" t="s">
        <v>5787</v>
      </c>
      <c r="H1695" s="27" t="s">
        <v>96</v>
      </c>
      <c r="I1695">
        <v>1</v>
      </c>
    </row>
    <row r="1696" spans="1:9">
      <c r="A1696" t="s">
        <v>2111</v>
      </c>
      <c r="B1696" s="27" t="s">
        <v>3225</v>
      </c>
      <c r="C1696" s="27" t="s">
        <v>5771</v>
      </c>
      <c r="D1696">
        <f>VLOOKUP(tblTargetMedicos[[#This Row],[codigo_id]],[1]DIM_REPRESENTANTE_MEDICO!$C:$F,4,0)</f>
        <v>12</v>
      </c>
      <c r="E1696">
        <f>VLOOKUP(tblTargetMedicos[[#This Row],[codigo_id]],[1]DIM_REPRESENTANTE_MEDICO!$C:$F,3,0)</f>
        <v>1</v>
      </c>
      <c r="F1696" s="27" t="s">
        <v>5796</v>
      </c>
      <c r="G1696" s="27" t="s">
        <v>5785</v>
      </c>
      <c r="H1696" s="27" t="s">
        <v>96</v>
      </c>
      <c r="I1696">
        <v>1</v>
      </c>
    </row>
    <row r="1697" spans="1:9">
      <c r="A1697" t="s">
        <v>2112</v>
      </c>
      <c r="B1697" s="27" t="s">
        <v>3225</v>
      </c>
      <c r="C1697" s="27" t="s">
        <v>5771</v>
      </c>
      <c r="D1697">
        <f>VLOOKUP(tblTargetMedicos[[#This Row],[codigo_id]],[1]DIM_REPRESENTANTE_MEDICO!$C:$F,4,0)</f>
        <v>12</v>
      </c>
      <c r="E1697">
        <f>VLOOKUP(tblTargetMedicos[[#This Row],[codigo_id]],[1]DIM_REPRESENTANTE_MEDICO!$C:$F,3,0)</f>
        <v>1</v>
      </c>
      <c r="F1697" s="27" t="s">
        <v>5796</v>
      </c>
      <c r="G1697" s="27" t="s">
        <v>5784</v>
      </c>
      <c r="H1697" s="27" t="s">
        <v>96</v>
      </c>
      <c r="I1697">
        <v>1</v>
      </c>
    </row>
    <row r="1698" spans="1:9">
      <c r="A1698" t="s">
        <v>2113</v>
      </c>
      <c r="B1698" s="27" t="s">
        <v>3225</v>
      </c>
      <c r="C1698" s="27" t="s">
        <v>5771</v>
      </c>
      <c r="D1698">
        <f>VLOOKUP(tblTargetMedicos[[#This Row],[codigo_id]],[1]DIM_REPRESENTANTE_MEDICO!$C:$F,4,0)</f>
        <v>12</v>
      </c>
      <c r="E1698">
        <f>VLOOKUP(tblTargetMedicos[[#This Row],[codigo_id]],[1]DIM_REPRESENTANTE_MEDICO!$C:$F,3,0)</f>
        <v>1</v>
      </c>
      <c r="F1698" s="27" t="s">
        <v>5796</v>
      </c>
      <c r="G1698" s="27" t="s">
        <v>5779</v>
      </c>
      <c r="H1698" s="27" t="s">
        <v>96</v>
      </c>
      <c r="I1698">
        <v>1</v>
      </c>
    </row>
    <row r="1699" spans="1:9">
      <c r="A1699" t="s">
        <v>2114</v>
      </c>
      <c r="B1699" s="27" t="s">
        <v>3225</v>
      </c>
      <c r="C1699" s="27" t="s">
        <v>5771</v>
      </c>
      <c r="D1699">
        <f>VLOOKUP(tblTargetMedicos[[#This Row],[codigo_id]],[1]DIM_REPRESENTANTE_MEDICO!$C:$F,4,0)</f>
        <v>12</v>
      </c>
      <c r="E1699">
        <f>VLOOKUP(tblTargetMedicos[[#This Row],[codigo_id]],[1]DIM_REPRESENTANTE_MEDICO!$C:$F,3,0)</f>
        <v>1</v>
      </c>
      <c r="F1699" s="27" t="s">
        <v>5796</v>
      </c>
      <c r="G1699" s="27" t="s">
        <v>5784</v>
      </c>
      <c r="H1699" s="27" t="s">
        <v>96</v>
      </c>
      <c r="I1699">
        <v>1</v>
      </c>
    </row>
    <row r="1700" spans="1:9">
      <c r="A1700" t="s">
        <v>2115</v>
      </c>
      <c r="B1700" s="27" t="s">
        <v>3225</v>
      </c>
      <c r="C1700" s="27" t="s">
        <v>5771</v>
      </c>
      <c r="D1700">
        <f>VLOOKUP(tblTargetMedicos[[#This Row],[codigo_id]],[1]DIM_REPRESENTANTE_MEDICO!$C:$F,4,0)</f>
        <v>12</v>
      </c>
      <c r="E1700">
        <f>VLOOKUP(tblTargetMedicos[[#This Row],[codigo_id]],[1]DIM_REPRESENTANTE_MEDICO!$C:$F,3,0)</f>
        <v>1</v>
      </c>
      <c r="F1700" s="27" t="s">
        <v>5796</v>
      </c>
      <c r="G1700" s="27" t="s">
        <v>5784</v>
      </c>
      <c r="H1700" s="27" t="s">
        <v>96</v>
      </c>
      <c r="I1700">
        <v>1</v>
      </c>
    </row>
    <row r="1701" spans="1:9">
      <c r="A1701" t="s">
        <v>2116</v>
      </c>
      <c r="B1701" s="27" t="s">
        <v>3225</v>
      </c>
      <c r="C1701" s="27" t="s">
        <v>5771</v>
      </c>
      <c r="D1701">
        <f>VLOOKUP(tblTargetMedicos[[#This Row],[codigo_id]],[1]DIM_REPRESENTANTE_MEDICO!$C:$F,4,0)</f>
        <v>12</v>
      </c>
      <c r="E1701">
        <f>VLOOKUP(tblTargetMedicos[[#This Row],[codigo_id]],[1]DIM_REPRESENTANTE_MEDICO!$C:$F,3,0)</f>
        <v>1</v>
      </c>
      <c r="F1701" s="27" t="s">
        <v>5796</v>
      </c>
      <c r="G1701" s="27" t="s">
        <v>5783</v>
      </c>
      <c r="H1701" s="27" t="s">
        <v>96</v>
      </c>
      <c r="I1701">
        <v>1</v>
      </c>
    </row>
    <row r="1702" spans="1:9">
      <c r="A1702" t="s">
        <v>2117</v>
      </c>
      <c r="B1702" s="27" t="s">
        <v>3225</v>
      </c>
      <c r="C1702" s="27" t="s">
        <v>5771</v>
      </c>
      <c r="D1702">
        <f>VLOOKUP(tblTargetMedicos[[#This Row],[codigo_id]],[1]DIM_REPRESENTANTE_MEDICO!$C:$F,4,0)</f>
        <v>12</v>
      </c>
      <c r="E1702">
        <f>VLOOKUP(tblTargetMedicos[[#This Row],[codigo_id]],[1]DIM_REPRESENTANTE_MEDICO!$C:$F,3,0)</f>
        <v>1</v>
      </c>
      <c r="F1702" s="27" t="s">
        <v>5796</v>
      </c>
      <c r="G1702" s="27" t="s">
        <v>5791</v>
      </c>
      <c r="H1702" s="27" t="s">
        <v>96</v>
      </c>
      <c r="I1702">
        <v>1</v>
      </c>
    </row>
    <row r="1703" spans="1:9">
      <c r="A1703" t="s">
        <v>2118</v>
      </c>
      <c r="B1703" s="27" t="s">
        <v>3225</v>
      </c>
      <c r="C1703" s="27" t="s">
        <v>5771</v>
      </c>
      <c r="D1703">
        <f>VLOOKUP(tblTargetMedicos[[#This Row],[codigo_id]],[1]DIM_REPRESENTANTE_MEDICO!$C:$F,4,0)</f>
        <v>12</v>
      </c>
      <c r="E1703">
        <f>VLOOKUP(tblTargetMedicos[[#This Row],[codigo_id]],[1]DIM_REPRESENTANTE_MEDICO!$C:$F,3,0)</f>
        <v>1</v>
      </c>
      <c r="F1703" s="27" t="s">
        <v>5796</v>
      </c>
      <c r="G1703" s="27" t="s">
        <v>5786</v>
      </c>
      <c r="H1703" s="27" t="s">
        <v>96</v>
      </c>
      <c r="I1703">
        <v>1</v>
      </c>
    </row>
    <row r="1704" spans="1:9">
      <c r="A1704" t="s">
        <v>2119</v>
      </c>
      <c r="B1704" s="27" t="s">
        <v>3225</v>
      </c>
      <c r="C1704" s="27" t="s">
        <v>5771</v>
      </c>
      <c r="D1704">
        <f>VLOOKUP(tblTargetMedicos[[#This Row],[codigo_id]],[1]DIM_REPRESENTANTE_MEDICO!$C:$F,4,0)</f>
        <v>12</v>
      </c>
      <c r="E1704">
        <f>VLOOKUP(tblTargetMedicos[[#This Row],[codigo_id]],[1]DIM_REPRESENTANTE_MEDICO!$C:$F,3,0)</f>
        <v>1</v>
      </c>
      <c r="F1704" s="27" t="s">
        <v>5796</v>
      </c>
      <c r="G1704" s="27" t="s">
        <v>5783</v>
      </c>
      <c r="H1704" s="27" t="s">
        <v>5793</v>
      </c>
      <c r="I1704">
        <v>1</v>
      </c>
    </row>
    <row r="1705" spans="1:9">
      <c r="A1705" t="s">
        <v>2120</v>
      </c>
      <c r="B1705" s="27" t="s">
        <v>3225</v>
      </c>
      <c r="C1705" s="27" t="s">
        <v>5771</v>
      </c>
      <c r="D1705">
        <f>VLOOKUP(tblTargetMedicos[[#This Row],[codigo_id]],[1]DIM_REPRESENTANTE_MEDICO!$C:$F,4,0)</f>
        <v>12</v>
      </c>
      <c r="E1705">
        <f>VLOOKUP(tblTargetMedicos[[#This Row],[codigo_id]],[1]DIM_REPRESENTANTE_MEDICO!$C:$F,3,0)</f>
        <v>1</v>
      </c>
      <c r="F1705" s="27" t="s">
        <v>5796</v>
      </c>
      <c r="G1705" s="27" t="s">
        <v>5779</v>
      </c>
      <c r="H1705" s="27" t="s">
        <v>96</v>
      </c>
      <c r="I1705">
        <v>1</v>
      </c>
    </row>
    <row r="1706" spans="1:9">
      <c r="A1706" t="s">
        <v>2121</v>
      </c>
      <c r="B1706" s="27" t="s">
        <v>3225</v>
      </c>
      <c r="C1706" s="27" t="s">
        <v>5771</v>
      </c>
      <c r="D1706">
        <f>VLOOKUP(tblTargetMedicos[[#This Row],[codigo_id]],[1]DIM_REPRESENTANTE_MEDICO!$C:$F,4,0)</f>
        <v>12</v>
      </c>
      <c r="E1706">
        <f>VLOOKUP(tblTargetMedicos[[#This Row],[codigo_id]],[1]DIM_REPRESENTANTE_MEDICO!$C:$F,3,0)</f>
        <v>1</v>
      </c>
      <c r="F1706" s="27" t="s">
        <v>5796</v>
      </c>
      <c r="G1706" s="27" t="s">
        <v>5783</v>
      </c>
      <c r="H1706" s="27" t="s">
        <v>96</v>
      </c>
      <c r="I1706">
        <v>1</v>
      </c>
    </row>
    <row r="1707" spans="1:9">
      <c r="A1707" t="s">
        <v>2122</v>
      </c>
      <c r="B1707" s="27" t="s">
        <v>3225</v>
      </c>
      <c r="C1707" s="27" t="s">
        <v>5771</v>
      </c>
      <c r="D1707">
        <f>VLOOKUP(tblTargetMedicos[[#This Row],[codigo_id]],[1]DIM_REPRESENTANTE_MEDICO!$C:$F,4,0)</f>
        <v>12</v>
      </c>
      <c r="E1707">
        <f>VLOOKUP(tblTargetMedicos[[#This Row],[codigo_id]],[1]DIM_REPRESENTANTE_MEDICO!$C:$F,3,0)</f>
        <v>1</v>
      </c>
      <c r="F1707" s="27" t="s">
        <v>5796</v>
      </c>
      <c r="G1707" s="27" t="s">
        <v>5787</v>
      </c>
      <c r="H1707" s="27" t="s">
        <v>96</v>
      </c>
      <c r="I1707">
        <v>1</v>
      </c>
    </row>
    <row r="1708" spans="1:9">
      <c r="A1708" t="s">
        <v>2123</v>
      </c>
      <c r="B1708" s="27" t="s">
        <v>3225</v>
      </c>
      <c r="C1708" s="27" t="s">
        <v>5771</v>
      </c>
      <c r="D1708">
        <f>VLOOKUP(tblTargetMedicos[[#This Row],[codigo_id]],[1]DIM_REPRESENTANTE_MEDICO!$C:$F,4,0)</f>
        <v>12</v>
      </c>
      <c r="E1708">
        <f>VLOOKUP(tblTargetMedicos[[#This Row],[codigo_id]],[1]DIM_REPRESENTANTE_MEDICO!$C:$F,3,0)</f>
        <v>1</v>
      </c>
      <c r="F1708" s="27" t="s">
        <v>5796</v>
      </c>
      <c r="G1708" s="27" t="s">
        <v>5783</v>
      </c>
      <c r="H1708" s="27" t="s">
        <v>96</v>
      </c>
      <c r="I1708">
        <v>1</v>
      </c>
    </row>
    <row r="1709" spans="1:9">
      <c r="A1709" t="s">
        <v>2124</v>
      </c>
      <c r="B1709" s="27" t="s">
        <v>3225</v>
      </c>
      <c r="C1709" s="27" t="s">
        <v>5771</v>
      </c>
      <c r="D1709">
        <f>VLOOKUP(tblTargetMedicos[[#This Row],[codigo_id]],[1]DIM_REPRESENTANTE_MEDICO!$C:$F,4,0)</f>
        <v>12</v>
      </c>
      <c r="E1709">
        <f>VLOOKUP(tblTargetMedicos[[#This Row],[codigo_id]],[1]DIM_REPRESENTANTE_MEDICO!$C:$F,3,0)</f>
        <v>1</v>
      </c>
      <c r="F1709" s="27" t="s">
        <v>5796</v>
      </c>
      <c r="G1709" s="27" t="s">
        <v>5785</v>
      </c>
      <c r="H1709" s="27" t="s">
        <v>96</v>
      </c>
      <c r="I1709">
        <v>1</v>
      </c>
    </row>
    <row r="1710" spans="1:9">
      <c r="A1710" t="s">
        <v>2125</v>
      </c>
      <c r="B1710" s="27" t="s">
        <v>3225</v>
      </c>
      <c r="C1710" s="27" t="s">
        <v>5771</v>
      </c>
      <c r="D1710">
        <f>VLOOKUP(tblTargetMedicos[[#This Row],[codigo_id]],[1]DIM_REPRESENTANTE_MEDICO!$C:$F,4,0)</f>
        <v>12</v>
      </c>
      <c r="E1710">
        <f>VLOOKUP(tblTargetMedicos[[#This Row],[codigo_id]],[1]DIM_REPRESENTANTE_MEDICO!$C:$F,3,0)</f>
        <v>1</v>
      </c>
      <c r="F1710" s="27" t="s">
        <v>5796</v>
      </c>
      <c r="G1710" s="27" t="s">
        <v>5783</v>
      </c>
      <c r="H1710" s="27" t="s">
        <v>96</v>
      </c>
      <c r="I1710">
        <v>1</v>
      </c>
    </row>
    <row r="1711" spans="1:9">
      <c r="A1711" t="s">
        <v>2126</v>
      </c>
      <c r="B1711" s="27" t="s">
        <v>3225</v>
      </c>
      <c r="C1711" s="27" t="s">
        <v>5771</v>
      </c>
      <c r="D1711">
        <f>VLOOKUP(tblTargetMedicos[[#This Row],[codigo_id]],[1]DIM_REPRESENTANTE_MEDICO!$C:$F,4,0)</f>
        <v>12</v>
      </c>
      <c r="E1711">
        <f>VLOOKUP(tblTargetMedicos[[#This Row],[codigo_id]],[1]DIM_REPRESENTANTE_MEDICO!$C:$F,3,0)</f>
        <v>1</v>
      </c>
      <c r="F1711" s="27" t="s">
        <v>5796</v>
      </c>
      <c r="G1711" s="27" t="s">
        <v>5784</v>
      </c>
      <c r="H1711" s="27" t="s">
        <v>95</v>
      </c>
      <c r="I1711">
        <v>1</v>
      </c>
    </row>
    <row r="1712" spans="1:9">
      <c r="A1712" t="s">
        <v>2127</v>
      </c>
      <c r="B1712" s="27" t="s">
        <v>3225</v>
      </c>
      <c r="C1712" s="27" t="s">
        <v>5771</v>
      </c>
      <c r="D1712">
        <f>VLOOKUP(tblTargetMedicos[[#This Row],[codigo_id]],[1]DIM_REPRESENTANTE_MEDICO!$C:$F,4,0)</f>
        <v>12</v>
      </c>
      <c r="E1712">
        <f>VLOOKUP(tblTargetMedicos[[#This Row],[codigo_id]],[1]DIM_REPRESENTANTE_MEDICO!$C:$F,3,0)</f>
        <v>1</v>
      </c>
      <c r="F1712" s="27" t="s">
        <v>5796</v>
      </c>
      <c r="G1712" s="27" t="s">
        <v>5782</v>
      </c>
      <c r="H1712" s="27" t="s">
        <v>96</v>
      </c>
      <c r="I1712">
        <v>1</v>
      </c>
    </row>
    <row r="1713" spans="1:9">
      <c r="A1713" t="s">
        <v>2128</v>
      </c>
      <c r="B1713" s="27" t="s">
        <v>3225</v>
      </c>
      <c r="C1713" s="27" t="s">
        <v>5771</v>
      </c>
      <c r="D1713">
        <f>VLOOKUP(tblTargetMedicos[[#This Row],[codigo_id]],[1]DIM_REPRESENTANTE_MEDICO!$C:$F,4,0)</f>
        <v>12</v>
      </c>
      <c r="E1713">
        <f>VLOOKUP(tblTargetMedicos[[#This Row],[codigo_id]],[1]DIM_REPRESENTANTE_MEDICO!$C:$F,3,0)</f>
        <v>1</v>
      </c>
      <c r="F1713" s="27" t="s">
        <v>5796</v>
      </c>
      <c r="G1713" s="27" t="s">
        <v>5784</v>
      </c>
      <c r="H1713" s="27" t="s">
        <v>96</v>
      </c>
      <c r="I1713">
        <v>1</v>
      </c>
    </row>
    <row r="1714" spans="1:9">
      <c r="A1714" t="s">
        <v>2129</v>
      </c>
      <c r="B1714" s="27" t="s">
        <v>3225</v>
      </c>
      <c r="C1714" s="27" t="s">
        <v>5771</v>
      </c>
      <c r="D1714">
        <f>VLOOKUP(tblTargetMedicos[[#This Row],[codigo_id]],[1]DIM_REPRESENTANTE_MEDICO!$C:$F,4,0)</f>
        <v>12</v>
      </c>
      <c r="E1714">
        <f>VLOOKUP(tblTargetMedicos[[#This Row],[codigo_id]],[1]DIM_REPRESENTANTE_MEDICO!$C:$F,3,0)</f>
        <v>1</v>
      </c>
      <c r="F1714" s="27" t="s">
        <v>5796</v>
      </c>
      <c r="G1714" s="27" t="s">
        <v>5783</v>
      </c>
      <c r="H1714" s="27" t="s">
        <v>96</v>
      </c>
      <c r="I1714">
        <v>1</v>
      </c>
    </row>
    <row r="1715" spans="1:9">
      <c r="A1715" t="s">
        <v>2130</v>
      </c>
      <c r="B1715" s="27" t="s">
        <v>3225</v>
      </c>
      <c r="C1715" s="27" t="s">
        <v>5771</v>
      </c>
      <c r="D1715">
        <f>VLOOKUP(tblTargetMedicos[[#This Row],[codigo_id]],[1]DIM_REPRESENTANTE_MEDICO!$C:$F,4,0)</f>
        <v>12</v>
      </c>
      <c r="E1715">
        <f>VLOOKUP(tblTargetMedicos[[#This Row],[codigo_id]],[1]DIM_REPRESENTANTE_MEDICO!$C:$F,3,0)</f>
        <v>1</v>
      </c>
      <c r="F1715" s="27" t="s">
        <v>5796</v>
      </c>
      <c r="G1715" s="27" t="s">
        <v>5784</v>
      </c>
      <c r="H1715" s="27" t="s">
        <v>96</v>
      </c>
      <c r="I1715">
        <v>1</v>
      </c>
    </row>
    <row r="1716" spans="1:9">
      <c r="A1716" t="s">
        <v>2131</v>
      </c>
      <c r="B1716" s="27" t="s">
        <v>3225</v>
      </c>
      <c r="C1716" s="27" t="s">
        <v>5771</v>
      </c>
      <c r="D1716">
        <f>VLOOKUP(tblTargetMedicos[[#This Row],[codigo_id]],[1]DIM_REPRESENTANTE_MEDICO!$C:$F,4,0)</f>
        <v>12</v>
      </c>
      <c r="E1716">
        <f>VLOOKUP(tblTargetMedicos[[#This Row],[codigo_id]],[1]DIM_REPRESENTANTE_MEDICO!$C:$F,3,0)</f>
        <v>1</v>
      </c>
      <c r="F1716" s="27" t="s">
        <v>5796</v>
      </c>
      <c r="G1716" s="27" t="s">
        <v>5784</v>
      </c>
      <c r="H1716" s="27" t="s">
        <v>96</v>
      </c>
      <c r="I1716">
        <v>1</v>
      </c>
    </row>
    <row r="1717" spans="1:9">
      <c r="A1717" t="s">
        <v>2132</v>
      </c>
      <c r="B1717" s="27" t="s">
        <v>3225</v>
      </c>
      <c r="C1717" s="27" t="s">
        <v>5771</v>
      </c>
      <c r="D1717">
        <f>VLOOKUP(tblTargetMedicos[[#This Row],[codigo_id]],[1]DIM_REPRESENTANTE_MEDICO!$C:$F,4,0)</f>
        <v>12</v>
      </c>
      <c r="E1717">
        <f>VLOOKUP(tblTargetMedicos[[#This Row],[codigo_id]],[1]DIM_REPRESENTANTE_MEDICO!$C:$F,3,0)</f>
        <v>1</v>
      </c>
      <c r="F1717" s="27" t="s">
        <v>5796</v>
      </c>
      <c r="G1717" s="27" t="s">
        <v>5779</v>
      </c>
      <c r="H1717" s="27" t="s">
        <v>95</v>
      </c>
      <c r="I1717">
        <v>1</v>
      </c>
    </row>
    <row r="1718" spans="1:9">
      <c r="A1718" t="s">
        <v>2133</v>
      </c>
      <c r="B1718" s="27" t="s">
        <v>3225</v>
      </c>
      <c r="C1718" s="27" t="s">
        <v>5771</v>
      </c>
      <c r="D1718">
        <f>VLOOKUP(tblTargetMedicos[[#This Row],[codigo_id]],[1]DIM_REPRESENTANTE_MEDICO!$C:$F,4,0)</f>
        <v>12</v>
      </c>
      <c r="E1718">
        <f>VLOOKUP(tblTargetMedicos[[#This Row],[codigo_id]],[1]DIM_REPRESENTANTE_MEDICO!$C:$F,3,0)</f>
        <v>1</v>
      </c>
      <c r="F1718" s="27" t="s">
        <v>5796</v>
      </c>
      <c r="G1718" s="27" t="s">
        <v>5786</v>
      </c>
      <c r="H1718" s="27" t="s">
        <v>95</v>
      </c>
      <c r="I1718">
        <v>1</v>
      </c>
    </row>
    <row r="1719" spans="1:9">
      <c r="A1719" t="s">
        <v>2134</v>
      </c>
      <c r="B1719" s="27" t="s">
        <v>3225</v>
      </c>
      <c r="C1719" s="27" t="s">
        <v>5771</v>
      </c>
      <c r="D1719">
        <f>VLOOKUP(tblTargetMedicos[[#This Row],[codigo_id]],[1]DIM_REPRESENTANTE_MEDICO!$C:$F,4,0)</f>
        <v>12</v>
      </c>
      <c r="E1719">
        <f>VLOOKUP(tblTargetMedicos[[#This Row],[codigo_id]],[1]DIM_REPRESENTANTE_MEDICO!$C:$F,3,0)</f>
        <v>1</v>
      </c>
      <c r="F1719" s="27" t="s">
        <v>5796</v>
      </c>
      <c r="G1719" s="27" t="s">
        <v>5779</v>
      </c>
      <c r="H1719" s="27" t="s">
        <v>95</v>
      </c>
      <c r="I1719">
        <v>1</v>
      </c>
    </row>
    <row r="1720" spans="1:9">
      <c r="A1720" t="s">
        <v>2135</v>
      </c>
      <c r="B1720" s="27" t="s">
        <v>3225</v>
      </c>
      <c r="C1720" s="27" t="s">
        <v>5771</v>
      </c>
      <c r="D1720">
        <f>VLOOKUP(tblTargetMedicos[[#This Row],[codigo_id]],[1]DIM_REPRESENTANTE_MEDICO!$C:$F,4,0)</f>
        <v>12</v>
      </c>
      <c r="E1720">
        <f>VLOOKUP(tblTargetMedicos[[#This Row],[codigo_id]],[1]DIM_REPRESENTANTE_MEDICO!$C:$F,3,0)</f>
        <v>1</v>
      </c>
      <c r="F1720" s="27" t="s">
        <v>5796</v>
      </c>
      <c r="G1720" s="27" t="s">
        <v>5779</v>
      </c>
      <c r="H1720" s="27" t="s">
        <v>96</v>
      </c>
      <c r="I1720">
        <v>1</v>
      </c>
    </row>
    <row r="1721" spans="1:9">
      <c r="A1721" t="s">
        <v>2136</v>
      </c>
      <c r="B1721" s="27" t="s">
        <v>3225</v>
      </c>
      <c r="C1721" s="27" t="s">
        <v>5771</v>
      </c>
      <c r="D1721">
        <f>VLOOKUP(tblTargetMedicos[[#This Row],[codigo_id]],[1]DIM_REPRESENTANTE_MEDICO!$C:$F,4,0)</f>
        <v>12</v>
      </c>
      <c r="E1721">
        <f>VLOOKUP(tblTargetMedicos[[#This Row],[codigo_id]],[1]DIM_REPRESENTANTE_MEDICO!$C:$F,3,0)</f>
        <v>1</v>
      </c>
      <c r="F1721" s="27" t="s">
        <v>5796</v>
      </c>
      <c r="G1721" s="27" t="s">
        <v>5784</v>
      </c>
      <c r="H1721" s="27" t="s">
        <v>96</v>
      </c>
      <c r="I1721">
        <v>1</v>
      </c>
    </row>
    <row r="1722" spans="1:9">
      <c r="A1722" t="s">
        <v>2137</v>
      </c>
      <c r="B1722" s="27" t="s">
        <v>3225</v>
      </c>
      <c r="C1722" s="27" t="s">
        <v>5771</v>
      </c>
      <c r="D1722">
        <f>VLOOKUP(tblTargetMedicos[[#This Row],[codigo_id]],[1]DIM_REPRESENTANTE_MEDICO!$C:$F,4,0)</f>
        <v>12</v>
      </c>
      <c r="E1722">
        <f>VLOOKUP(tblTargetMedicos[[#This Row],[codigo_id]],[1]DIM_REPRESENTANTE_MEDICO!$C:$F,3,0)</f>
        <v>1</v>
      </c>
      <c r="F1722" s="27" t="s">
        <v>5796</v>
      </c>
      <c r="G1722" s="27" t="s">
        <v>5782</v>
      </c>
      <c r="H1722" s="27" t="s">
        <v>96</v>
      </c>
      <c r="I1722">
        <v>1</v>
      </c>
    </row>
    <row r="1723" spans="1:9">
      <c r="A1723" t="s">
        <v>2138</v>
      </c>
      <c r="B1723" s="27" t="s">
        <v>3225</v>
      </c>
      <c r="C1723" s="27" t="s">
        <v>5771</v>
      </c>
      <c r="D1723">
        <f>VLOOKUP(tblTargetMedicos[[#This Row],[codigo_id]],[1]DIM_REPRESENTANTE_MEDICO!$C:$F,4,0)</f>
        <v>12</v>
      </c>
      <c r="E1723">
        <f>VLOOKUP(tblTargetMedicos[[#This Row],[codigo_id]],[1]DIM_REPRESENTANTE_MEDICO!$C:$F,3,0)</f>
        <v>1</v>
      </c>
      <c r="F1723" s="27" t="s">
        <v>5796</v>
      </c>
      <c r="G1723" s="27" t="s">
        <v>5785</v>
      </c>
      <c r="H1723" s="27" t="s">
        <v>95</v>
      </c>
      <c r="I1723">
        <v>1</v>
      </c>
    </row>
    <row r="1724" spans="1:9">
      <c r="A1724" t="s">
        <v>2139</v>
      </c>
      <c r="B1724" s="27" t="s">
        <v>3225</v>
      </c>
      <c r="C1724" s="27" t="s">
        <v>5771</v>
      </c>
      <c r="D1724">
        <f>VLOOKUP(tblTargetMedicos[[#This Row],[codigo_id]],[1]DIM_REPRESENTANTE_MEDICO!$C:$F,4,0)</f>
        <v>12</v>
      </c>
      <c r="E1724">
        <f>VLOOKUP(tblTargetMedicos[[#This Row],[codigo_id]],[1]DIM_REPRESENTANTE_MEDICO!$C:$F,3,0)</f>
        <v>1</v>
      </c>
      <c r="F1724" s="27" t="s">
        <v>5796</v>
      </c>
      <c r="G1724" s="27" t="s">
        <v>5784</v>
      </c>
      <c r="H1724" s="27" t="s">
        <v>96</v>
      </c>
      <c r="I1724">
        <v>1</v>
      </c>
    </row>
    <row r="1725" spans="1:9">
      <c r="A1725" t="s">
        <v>2140</v>
      </c>
      <c r="B1725" s="27" t="s">
        <v>3225</v>
      </c>
      <c r="C1725" s="27" t="s">
        <v>5771</v>
      </c>
      <c r="D1725">
        <f>VLOOKUP(tblTargetMedicos[[#This Row],[codigo_id]],[1]DIM_REPRESENTANTE_MEDICO!$C:$F,4,0)</f>
        <v>12</v>
      </c>
      <c r="E1725">
        <f>VLOOKUP(tblTargetMedicos[[#This Row],[codigo_id]],[1]DIM_REPRESENTANTE_MEDICO!$C:$F,3,0)</f>
        <v>1</v>
      </c>
      <c r="F1725" s="27" t="s">
        <v>5796</v>
      </c>
      <c r="G1725" s="27" t="s">
        <v>5788</v>
      </c>
      <c r="H1725" s="27" t="s">
        <v>95</v>
      </c>
      <c r="I1725">
        <v>1</v>
      </c>
    </row>
    <row r="1726" spans="1:9">
      <c r="A1726" t="s">
        <v>2141</v>
      </c>
      <c r="B1726" s="27" t="s">
        <v>3225</v>
      </c>
      <c r="C1726" s="27" t="s">
        <v>5771</v>
      </c>
      <c r="D1726">
        <f>VLOOKUP(tblTargetMedicos[[#This Row],[codigo_id]],[1]DIM_REPRESENTANTE_MEDICO!$C:$F,4,0)</f>
        <v>12</v>
      </c>
      <c r="E1726">
        <f>VLOOKUP(tblTargetMedicos[[#This Row],[codigo_id]],[1]DIM_REPRESENTANTE_MEDICO!$C:$F,3,0)</f>
        <v>1</v>
      </c>
      <c r="F1726" s="27" t="s">
        <v>5796</v>
      </c>
      <c r="G1726" s="27" t="s">
        <v>5784</v>
      </c>
      <c r="H1726" s="27" t="s">
        <v>96</v>
      </c>
      <c r="I1726">
        <v>1</v>
      </c>
    </row>
    <row r="1727" spans="1:9">
      <c r="A1727" t="s">
        <v>2142</v>
      </c>
      <c r="B1727" s="27" t="s">
        <v>3225</v>
      </c>
      <c r="C1727" s="27" t="s">
        <v>5771</v>
      </c>
      <c r="D1727">
        <f>VLOOKUP(tblTargetMedicos[[#This Row],[codigo_id]],[1]DIM_REPRESENTANTE_MEDICO!$C:$F,4,0)</f>
        <v>12</v>
      </c>
      <c r="E1727">
        <f>VLOOKUP(tblTargetMedicos[[#This Row],[codigo_id]],[1]DIM_REPRESENTANTE_MEDICO!$C:$F,3,0)</f>
        <v>1</v>
      </c>
      <c r="F1727" s="27" t="s">
        <v>5796</v>
      </c>
      <c r="G1727" s="27" t="s">
        <v>5786</v>
      </c>
      <c r="H1727" s="27" t="s">
        <v>95</v>
      </c>
      <c r="I1727">
        <v>1</v>
      </c>
    </row>
    <row r="1728" spans="1:9">
      <c r="A1728" t="s">
        <v>2143</v>
      </c>
      <c r="B1728" s="27" t="s">
        <v>3225</v>
      </c>
      <c r="C1728" s="27" t="s">
        <v>5771</v>
      </c>
      <c r="D1728">
        <f>VLOOKUP(tblTargetMedicos[[#This Row],[codigo_id]],[1]DIM_REPRESENTANTE_MEDICO!$C:$F,4,0)</f>
        <v>12</v>
      </c>
      <c r="E1728">
        <f>VLOOKUP(tblTargetMedicos[[#This Row],[codigo_id]],[1]DIM_REPRESENTANTE_MEDICO!$C:$F,3,0)</f>
        <v>1</v>
      </c>
      <c r="F1728" s="27" t="s">
        <v>5796</v>
      </c>
      <c r="G1728" s="27" t="s">
        <v>5783</v>
      </c>
      <c r="H1728" s="27" t="s">
        <v>95</v>
      </c>
      <c r="I1728">
        <v>1</v>
      </c>
    </row>
    <row r="1729" spans="1:9">
      <c r="A1729" t="s">
        <v>2144</v>
      </c>
      <c r="B1729" s="27" t="s">
        <v>3225</v>
      </c>
      <c r="C1729" s="27" t="s">
        <v>5771</v>
      </c>
      <c r="D1729">
        <f>VLOOKUP(tblTargetMedicos[[#This Row],[codigo_id]],[1]DIM_REPRESENTANTE_MEDICO!$C:$F,4,0)</f>
        <v>12</v>
      </c>
      <c r="E1729">
        <f>VLOOKUP(tblTargetMedicos[[#This Row],[codigo_id]],[1]DIM_REPRESENTANTE_MEDICO!$C:$F,3,0)</f>
        <v>1</v>
      </c>
      <c r="F1729" s="27" t="s">
        <v>5796</v>
      </c>
      <c r="G1729" s="27" t="s">
        <v>5784</v>
      </c>
      <c r="H1729" s="27" t="s">
        <v>95</v>
      </c>
      <c r="I1729">
        <v>1</v>
      </c>
    </row>
    <row r="1730" spans="1:9">
      <c r="A1730" t="s">
        <v>2145</v>
      </c>
      <c r="B1730" s="27" t="s">
        <v>3225</v>
      </c>
      <c r="C1730" s="27" t="s">
        <v>5771</v>
      </c>
      <c r="D1730">
        <f>VLOOKUP(tblTargetMedicos[[#This Row],[codigo_id]],[1]DIM_REPRESENTANTE_MEDICO!$C:$F,4,0)</f>
        <v>12</v>
      </c>
      <c r="E1730">
        <f>VLOOKUP(tblTargetMedicos[[#This Row],[codigo_id]],[1]DIM_REPRESENTANTE_MEDICO!$C:$F,3,0)</f>
        <v>1</v>
      </c>
      <c r="F1730" s="27" t="s">
        <v>5796</v>
      </c>
      <c r="G1730" s="27" t="s">
        <v>5784</v>
      </c>
      <c r="H1730" s="27" t="s">
        <v>96</v>
      </c>
      <c r="I1730">
        <v>1</v>
      </c>
    </row>
    <row r="1731" spans="1:9">
      <c r="A1731" t="s">
        <v>2146</v>
      </c>
      <c r="B1731" s="27" t="s">
        <v>3225</v>
      </c>
      <c r="C1731" s="27" t="s">
        <v>5771</v>
      </c>
      <c r="D1731">
        <f>VLOOKUP(tblTargetMedicos[[#This Row],[codigo_id]],[1]DIM_REPRESENTANTE_MEDICO!$C:$F,4,0)</f>
        <v>12</v>
      </c>
      <c r="E1731">
        <f>VLOOKUP(tblTargetMedicos[[#This Row],[codigo_id]],[1]DIM_REPRESENTANTE_MEDICO!$C:$F,3,0)</f>
        <v>1</v>
      </c>
      <c r="F1731" s="27" t="s">
        <v>5796</v>
      </c>
      <c r="G1731" s="27" t="s">
        <v>5779</v>
      </c>
      <c r="H1731" s="27" t="s">
        <v>95</v>
      </c>
      <c r="I1731">
        <v>1</v>
      </c>
    </row>
    <row r="1732" spans="1:9">
      <c r="A1732" t="s">
        <v>2147</v>
      </c>
      <c r="B1732" s="27" t="s">
        <v>3225</v>
      </c>
      <c r="C1732" s="27" t="s">
        <v>5771</v>
      </c>
      <c r="D1732">
        <f>VLOOKUP(tblTargetMedicos[[#This Row],[codigo_id]],[1]DIM_REPRESENTANTE_MEDICO!$C:$F,4,0)</f>
        <v>12</v>
      </c>
      <c r="E1732">
        <f>VLOOKUP(tblTargetMedicos[[#This Row],[codigo_id]],[1]DIM_REPRESENTANTE_MEDICO!$C:$F,3,0)</f>
        <v>1</v>
      </c>
      <c r="F1732" s="27" t="s">
        <v>5796</v>
      </c>
      <c r="G1732" s="27" t="s">
        <v>5785</v>
      </c>
      <c r="H1732" s="27" t="s">
        <v>96</v>
      </c>
      <c r="I1732">
        <v>1</v>
      </c>
    </row>
    <row r="1733" spans="1:9">
      <c r="A1733" t="s">
        <v>2148</v>
      </c>
      <c r="B1733" s="27" t="s">
        <v>3225</v>
      </c>
      <c r="C1733" s="27" t="s">
        <v>5771</v>
      </c>
      <c r="D1733">
        <f>VLOOKUP(tblTargetMedicos[[#This Row],[codigo_id]],[1]DIM_REPRESENTANTE_MEDICO!$C:$F,4,0)</f>
        <v>12</v>
      </c>
      <c r="E1733">
        <f>VLOOKUP(tblTargetMedicos[[#This Row],[codigo_id]],[1]DIM_REPRESENTANTE_MEDICO!$C:$F,3,0)</f>
        <v>1</v>
      </c>
      <c r="F1733" s="27" t="s">
        <v>5796</v>
      </c>
      <c r="G1733" s="27" t="s">
        <v>5784</v>
      </c>
      <c r="H1733" s="27" t="s">
        <v>95</v>
      </c>
      <c r="I1733">
        <v>1</v>
      </c>
    </row>
    <row r="1734" spans="1:9">
      <c r="A1734" t="s">
        <v>2149</v>
      </c>
      <c r="B1734" s="27" t="s">
        <v>3225</v>
      </c>
      <c r="C1734" s="27" t="s">
        <v>5771</v>
      </c>
      <c r="D1734">
        <f>VLOOKUP(tblTargetMedicos[[#This Row],[codigo_id]],[1]DIM_REPRESENTANTE_MEDICO!$C:$F,4,0)</f>
        <v>12</v>
      </c>
      <c r="E1734">
        <f>VLOOKUP(tblTargetMedicos[[#This Row],[codigo_id]],[1]DIM_REPRESENTANTE_MEDICO!$C:$F,3,0)</f>
        <v>1</v>
      </c>
      <c r="F1734" s="27" t="s">
        <v>5796</v>
      </c>
      <c r="G1734" s="27" t="s">
        <v>5784</v>
      </c>
      <c r="H1734" s="27" t="s">
        <v>95</v>
      </c>
      <c r="I1734">
        <v>1</v>
      </c>
    </row>
    <row r="1735" spans="1:9">
      <c r="A1735" t="s">
        <v>2150</v>
      </c>
      <c r="B1735" s="27" t="s">
        <v>3225</v>
      </c>
      <c r="C1735" s="27" t="s">
        <v>5771</v>
      </c>
      <c r="D1735">
        <f>VLOOKUP(tblTargetMedicos[[#This Row],[codigo_id]],[1]DIM_REPRESENTANTE_MEDICO!$C:$F,4,0)</f>
        <v>12</v>
      </c>
      <c r="E1735">
        <f>VLOOKUP(tblTargetMedicos[[#This Row],[codigo_id]],[1]DIM_REPRESENTANTE_MEDICO!$C:$F,3,0)</f>
        <v>1</v>
      </c>
      <c r="F1735" s="27" t="s">
        <v>5796</v>
      </c>
      <c r="G1735" s="27" t="s">
        <v>5784</v>
      </c>
      <c r="H1735" s="27" t="s">
        <v>96</v>
      </c>
      <c r="I1735">
        <v>1</v>
      </c>
    </row>
    <row r="1736" spans="1:9">
      <c r="A1736" t="s">
        <v>2151</v>
      </c>
      <c r="B1736" s="27" t="s">
        <v>3225</v>
      </c>
      <c r="C1736" s="27" t="s">
        <v>5771</v>
      </c>
      <c r="D1736">
        <f>VLOOKUP(tblTargetMedicos[[#This Row],[codigo_id]],[1]DIM_REPRESENTANTE_MEDICO!$C:$F,4,0)</f>
        <v>12</v>
      </c>
      <c r="E1736">
        <f>VLOOKUP(tblTargetMedicos[[#This Row],[codigo_id]],[1]DIM_REPRESENTANTE_MEDICO!$C:$F,3,0)</f>
        <v>1</v>
      </c>
      <c r="F1736" s="27" t="s">
        <v>5796</v>
      </c>
      <c r="G1736" s="27" t="s">
        <v>5785</v>
      </c>
      <c r="H1736" s="27" t="s">
        <v>96</v>
      </c>
      <c r="I1736">
        <v>1</v>
      </c>
    </row>
    <row r="1737" spans="1:9">
      <c r="A1737" t="s">
        <v>2152</v>
      </c>
      <c r="B1737" s="27" t="s">
        <v>3225</v>
      </c>
      <c r="C1737" s="27" t="s">
        <v>5771</v>
      </c>
      <c r="D1737">
        <f>VLOOKUP(tblTargetMedicos[[#This Row],[codigo_id]],[1]DIM_REPRESENTANTE_MEDICO!$C:$F,4,0)</f>
        <v>12</v>
      </c>
      <c r="E1737">
        <f>VLOOKUP(tblTargetMedicos[[#This Row],[codigo_id]],[1]DIM_REPRESENTANTE_MEDICO!$C:$F,3,0)</f>
        <v>1</v>
      </c>
      <c r="F1737" s="27" t="s">
        <v>5796</v>
      </c>
      <c r="G1737" s="27" t="s">
        <v>5779</v>
      </c>
      <c r="H1737" s="27" t="s">
        <v>96</v>
      </c>
      <c r="I1737">
        <v>1</v>
      </c>
    </row>
    <row r="1738" spans="1:9">
      <c r="A1738" t="s">
        <v>2153</v>
      </c>
      <c r="B1738" s="27" t="s">
        <v>3225</v>
      </c>
      <c r="C1738" s="27" t="s">
        <v>5771</v>
      </c>
      <c r="D1738">
        <f>VLOOKUP(tblTargetMedicos[[#This Row],[codigo_id]],[1]DIM_REPRESENTANTE_MEDICO!$C:$F,4,0)</f>
        <v>12</v>
      </c>
      <c r="E1738">
        <f>VLOOKUP(tblTargetMedicos[[#This Row],[codigo_id]],[1]DIM_REPRESENTANTE_MEDICO!$C:$F,3,0)</f>
        <v>1</v>
      </c>
      <c r="F1738" s="27" t="s">
        <v>5796</v>
      </c>
      <c r="G1738" s="27" t="s">
        <v>5779</v>
      </c>
      <c r="H1738" s="27" t="s">
        <v>96</v>
      </c>
      <c r="I1738">
        <v>1</v>
      </c>
    </row>
    <row r="1739" spans="1:9">
      <c r="A1739" t="s">
        <v>2154</v>
      </c>
      <c r="B1739" s="27" t="s">
        <v>3225</v>
      </c>
      <c r="C1739" s="27" t="s">
        <v>5771</v>
      </c>
      <c r="D1739">
        <f>VLOOKUP(tblTargetMedicos[[#This Row],[codigo_id]],[1]DIM_REPRESENTANTE_MEDICO!$C:$F,4,0)</f>
        <v>12</v>
      </c>
      <c r="E1739">
        <f>VLOOKUP(tblTargetMedicos[[#This Row],[codigo_id]],[1]DIM_REPRESENTANTE_MEDICO!$C:$F,3,0)</f>
        <v>1</v>
      </c>
      <c r="F1739" s="27" t="s">
        <v>5796</v>
      </c>
      <c r="G1739" s="27" t="s">
        <v>5784</v>
      </c>
      <c r="H1739" s="27" t="s">
        <v>96</v>
      </c>
      <c r="I1739">
        <v>1</v>
      </c>
    </row>
    <row r="1740" spans="1:9">
      <c r="A1740" t="s">
        <v>2155</v>
      </c>
      <c r="B1740" s="27" t="s">
        <v>3225</v>
      </c>
      <c r="C1740" s="27" t="s">
        <v>5771</v>
      </c>
      <c r="D1740">
        <f>VLOOKUP(tblTargetMedicos[[#This Row],[codigo_id]],[1]DIM_REPRESENTANTE_MEDICO!$C:$F,4,0)</f>
        <v>12</v>
      </c>
      <c r="E1740">
        <f>VLOOKUP(tblTargetMedicos[[#This Row],[codigo_id]],[1]DIM_REPRESENTANTE_MEDICO!$C:$F,3,0)</f>
        <v>1</v>
      </c>
      <c r="F1740" s="27" t="s">
        <v>5796</v>
      </c>
      <c r="G1740" s="27" t="s">
        <v>5786</v>
      </c>
      <c r="H1740" s="27" t="s">
        <v>96</v>
      </c>
      <c r="I1740">
        <v>1</v>
      </c>
    </row>
    <row r="1741" spans="1:9">
      <c r="A1741" t="s">
        <v>2156</v>
      </c>
      <c r="B1741" s="27" t="s">
        <v>3225</v>
      </c>
      <c r="C1741" s="27" t="s">
        <v>5771</v>
      </c>
      <c r="D1741">
        <f>VLOOKUP(tblTargetMedicos[[#This Row],[codigo_id]],[1]DIM_REPRESENTANTE_MEDICO!$C:$F,4,0)</f>
        <v>12</v>
      </c>
      <c r="E1741">
        <f>VLOOKUP(tblTargetMedicos[[#This Row],[codigo_id]],[1]DIM_REPRESENTANTE_MEDICO!$C:$F,3,0)</f>
        <v>1</v>
      </c>
      <c r="F1741" s="27" t="s">
        <v>5796</v>
      </c>
      <c r="G1741" s="27" t="s">
        <v>5786</v>
      </c>
      <c r="H1741" s="27" t="s">
        <v>96</v>
      </c>
      <c r="I1741">
        <v>1</v>
      </c>
    </row>
    <row r="1742" spans="1:9">
      <c r="A1742" t="s">
        <v>2157</v>
      </c>
      <c r="B1742" s="27" t="s">
        <v>3225</v>
      </c>
      <c r="C1742" s="27" t="s">
        <v>5771</v>
      </c>
      <c r="D1742">
        <f>VLOOKUP(tblTargetMedicos[[#This Row],[codigo_id]],[1]DIM_REPRESENTANTE_MEDICO!$C:$F,4,0)</f>
        <v>12</v>
      </c>
      <c r="E1742">
        <f>VLOOKUP(tblTargetMedicos[[#This Row],[codigo_id]],[1]DIM_REPRESENTANTE_MEDICO!$C:$F,3,0)</f>
        <v>1</v>
      </c>
      <c r="F1742" s="27" t="s">
        <v>5796</v>
      </c>
      <c r="G1742" s="27" t="s">
        <v>5784</v>
      </c>
      <c r="H1742" s="27" t="s">
        <v>96</v>
      </c>
      <c r="I1742">
        <v>1</v>
      </c>
    </row>
    <row r="1743" spans="1:9">
      <c r="A1743" t="s">
        <v>2158</v>
      </c>
      <c r="B1743" s="27" t="s">
        <v>3225</v>
      </c>
      <c r="C1743" s="27" t="s">
        <v>5771</v>
      </c>
      <c r="D1743">
        <f>VLOOKUP(tblTargetMedicos[[#This Row],[codigo_id]],[1]DIM_REPRESENTANTE_MEDICO!$C:$F,4,0)</f>
        <v>12</v>
      </c>
      <c r="E1743">
        <f>VLOOKUP(tblTargetMedicos[[#This Row],[codigo_id]],[1]DIM_REPRESENTANTE_MEDICO!$C:$F,3,0)</f>
        <v>1</v>
      </c>
      <c r="F1743" s="27" t="s">
        <v>5796</v>
      </c>
      <c r="G1743" s="27" t="s">
        <v>5784</v>
      </c>
      <c r="H1743" s="27" t="s">
        <v>96</v>
      </c>
      <c r="I1743">
        <v>1</v>
      </c>
    </row>
    <row r="1744" spans="1:9">
      <c r="A1744" t="s">
        <v>2159</v>
      </c>
      <c r="B1744" s="27" t="s">
        <v>3225</v>
      </c>
      <c r="C1744" s="27" t="s">
        <v>5771</v>
      </c>
      <c r="D1744">
        <f>VLOOKUP(tblTargetMedicos[[#This Row],[codigo_id]],[1]DIM_REPRESENTANTE_MEDICO!$C:$F,4,0)</f>
        <v>12</v>
      </c>
      <c r="E1744">
        <f>VLOOKUP(tblTargetMedicos[[#This Row],[codigo_id]],[1]DIM_REPRESENTANTE_MEDICO!$C:$F,3,0)</f>
        <v>1</v>
      </c>
      <c r="F1744" s="27" t="s">
        <v>5796</v>
      </c>
      <c r="G1744" s="27" t="s">
        <v>5785</v>
      </c>
      <c r="H1744" s="27" t="s">
        <v>96</v>
      </c>
      <c r="I1744">
        <v>1</v>
      </c>
    </row>
    <row r="1745" spans="1:9">
      <c r="A1745" t="s">
        <v>2160</v>
      </c>
      <c r="B1745" s="27" t="s">
        <v>3225</v>
      </c>
      <c r="C1745" s="27" t="s">
        <v>5771</v>
      </c>
      <c r="D1745">
        <f>VLOOKUP(tblTargetMedicos[[#This Row],[codigo_id]],[1]DIM_REPRESENTANTE_MEDICO!$C:$F,4,0)</f>
        <v>12</v>
      </c>
      <c r="E1745">
        <f>VLOOKUP(tblTargetMedicos[[#This Row],[codigo_id]],[1]DIM_REPRESENTANTE_MEDICO!$C:$F,3,0)</f>
        <v>1</v>
      </c>
      <c r="F1745" s="27" t="s">
        <v>5796</v>
      </c>
      <c r="G1745" s="27" t="s">
        <v>5784</v>
      </c>
      <c r="H1745" s="27" t="s">
        <v>5793</v>
      </c>
      <c r="I1745">
        <v>1</v>
      </c>
    </row>
    <row r="1746" spans="1:9">
      <c r="A1746" t="s">
        <v>2161</v>
      </c>
      <c r="B1746" s="27" t="s">
        <v>3225</v>
      </c>
      <c r="C1746" s="27" t="s">
        <v>5771</v>
      </c>
      <c r="D1746">
        <f>VLOOKUP(tblTargetMedicos[[#This Row],[codigo_id]],[1]DIM_REPRESENTANTE_MEDICO!$C:$F,4,0)</f>
        <v>12</v>
      </c>
      <c r="E1746">
        <f>VLOOKUP(tblTargetMedicos[[#This Row],[codigo_id]],[1]DIM_REPRESENTANTE_MEDICO!$C:$F,3,0)</f>
        <v>1</v>
      </c>
      <c r="F1746" s="27" t="s">
        <v>5796</v>
      </c>
      <c r="G1746" s="27" t="s">
        <v>5779</v>
      </c>
      <c r="H1746" s="27" t="s">
        <v>5793</v>
      </c>
      <c r="I1746">
        <v>1</v>
      </c>
    </row>
    <row r="1747" spans="1:9">
      <c r="A1747" t="s">
        <v>2162</v>
      </c>
      <c r="B1747" s="27" t="s">
        <v>3225</v>
      </c>
      <c r="C1747" s="27" t="s">
        <v>5771</v>
      </c>
      <c r="D1747">
        <f>VLOOKUP(tblTargetMedicos[[#This Row],[codigo_id]],[1]DIM_REPRESENTANTE_MEDICO!$C:$F,4,0)</f>
        <v>12</v>
      </c>
      <c r="E1747">
        <f>VLOOKUP(tblTargetMedicos[[#This Row],[codigo_id]],[1]DIM_REPRESENTANTE_MEDICO!$C:$F,3,0)</f>
        <v>1</v>
      </c>
      <c r="F1747" s="27" t="s">
        <v>5796</v>
      </c>
      <c r="G1747" s="27" t="s">
        <v>5786</v>
      </c>
      <c r="H1747" s="27" t="s">
        <v>5793</v>
      </c>
      <c r="I1747">
        <v>1</v>
      </c>
    </row>
    <row r="1748" spans="1:9">
      <c r="A1748" t="s">
        <v>2163</v>
      </c>
      <c r="B1748" s="27" t="s">
        <v>3225</v>
      </c>
      <c r="C1748" s="27" t="s">
        <v>5771</v>
      </c>
      <c r="D1748">
        <f>VLOOKUP(tblTargetMedicos[[#This Row],[codigo_id]],[1]DIM_REPRESENTANTE_MEDICO!$C:$F,4,0)</f>
        <v>12</v>
      </c>
      <c r="E1748">
        <f>VLOOKUP(tblTargetMedicos[[#This Row],[codigo_id]],[1]DIM_REPRESENTANTE_MEDICO!$C:$F,3,0)</f>
        <v>1</v>
      </c>
      <c r="F1748" s="27" t="s">
        <v>5796</v>
      </c>
      <c r="G1748" s="27" t="s">
        <v>5787</v>
      </c>
      <c r="H1748" s="27" t="s">
        <v>5793</v>
      </c>
      <c r="I1748">
        <v>1</v>
      </c>
    </row>
    <row r="1749" spans="1:9">
      <c r="A1749" t="s">
        <v>2164</v>
      </c>
      <c r="B1749" s="27" t="s">
        <v>3225</v>
      </c>
      <c r="C1749" s="27" t="s">
        <v>5771</v>
      </c>
      <c r="D1749">
        <f>VLOOKUP(tblTargetMedicos[[#This Row],[codigo_id]],[1]DIM_REPRESENTANTE_MEDICO!$C:$F,4,0)</f>
        <v>12</v>
      </c>
      <c r="E1749">
        <f>VLOOKUP(tblTargetMedicos[[#This Row],[codigo_id]],[1]DIM_REPRESENTANTE_MEDICO!$C:$F,3,0)</f>
        <v>1</v>
      </c>
      <c r="F1749" s="27" t="s">
        <v>5796</v>
      </c>
      <c r="G1749" s="27" t="s">
        <v>5785</v>
      </c>
      <c r="H1749" s="27" t="s">
        <v>5793</v>
      </c>
      <c r="I1749">
        <v>1</v>
      </c>
    </row>
    <row r="1750" spans="1:9">
      <c r="A1750" t="s">
        <v>2165</v>
      </c>
      <c r="B1750" s="27" t="s">
        <v>3225</v>
      </c>
      <c r="C1750" s="27" t="s">
        <v>5771</v>
      </c>
      <c r="D1750">
        <f>VLOOKUP(tblTargetMedicos[[#This Row],[codigo_id]],[1]DIM_REPRESENTANTE_MEDICO!$C:$F,4,0)</f>
        <v>12</v>
      </c>
      <c r="E1750">
        <f>VLOOKUP(tblTargetMedicos[[#This Row],[codigo_id]],[1]DIM_REPRESENTANTE_MEDICO!$C:$F,3,0)</f>
        <v>1</v>
      </c>
      <c r="F1750" s="27" t="s">
        <v>5796</v>
      </c>
      <c r="G1750" s="27" t="s">
        <v>5783</v>
      </c>
      <c r="H1750" s="27" t="s">
        <v>5793</v>
      </c>
      <c r="I1750">
        <v>1</v>
      </c>
    </row>
    <row r="1751" spans="1:9">
      <c r="A1751" t="s">
        <v>2166</v>
      </c>
      <c r="B1751" s="27" t="s">
        <v>3225</v>
      </c>
      <c r="C1751" s="27" t="s">
        <v>5771</v>
      </c>
      <c r="D1751">
        <f>VLOOKUP(tblTargetMedicos[[#This Row],[codigo_id]],[1]DIM_REPRESENTANTE_MEDICO!$C:$F,4,0)</f>
        <v>12</v>
      </c>
      <c r="E1751">
        <f>VLOOKUP(tblTargetMedicos[[#This Row],[codigo_id]],[1]DIM_REPRESENTANTE_MEDICO!$C:$F,3,0)</f>
        <v>1</v>
      </c>
      <c r="F1751" s="27" t="s">
        <v>5796</v>
      </c>
      <c r="G1751" s="27" t="s">
        <v>5786</v>
      </c>
      <c r="H1751" s="27" t="s">
        <v>96</v>
      </c>
      <c r="I1751">
        <v>1</v>
      </c>
    </row>
    <row r="1752" spans="1:9">
      <c r="A1752" t="s">
        <v>2167</v>
      </c>
      <c r="B1752" s="27" t="s">
        <v>3225</v>
      </c>
      <c r="C1752" s="27" t="s">
        <v>5771</v>
      </c>
      <c r="D1752">
        <f>VLOOKUP(tblTargetMedicos[[#This Row],[codigo_id]],[1]DIM_REPRESENTANTE_MEDICO!$C:$F,4,0)</f>
        <v>12</v>
      </c>
      <c r="E1752">
        <f>VLOOKUP(tblTargetMedicos[[#This Row],[codigo_id]],[1]DIM_REPRESENTANTE_MEDICO!$C:$F,3,0)</f>
        <v>1</v>
      </c>
      <c r="F1752" s="27" t="s">
        <v>5796</v>
      </c>
      <c r="G1752" s="27" t="s">
        <v>5784</v>
      </c>
      <c r="H1752" s="27" t="s">
        <v>96</v>
      </c>
      <c r="I1752">
        <v>1</v>
      </c>
    </row>
    <row r="1753" spans="1:9">
      <c r="A1753" t="s">
        <v>2168</v>
      </c>
      <c r="B1753" s="27" t="s">
        <v>3225</v>
      </c>
      <c r="C1753" s="27" t="s">
        <v>5771</v>
      </c>
      <c r="D1753">
        <f>VLOOKUP(tblTargetMedicos[[#This Row],[codigo_id]],[1]DIM_REPRESENTANTE_MEDICO!$C:$F,4,0)</f>
        <v>12</v>
      </c>
      <c r="E1753">
        <f>VLOOKUP(tblTargetMedicos[[#This Row],[codigo_id]],[1]DIM_REPRESENTANTE_MEDICO!$C:$F,3,0)</f>
        <v>1</v>
      </c>
      <c r="F1753" s="27" t="s">
        <v>5796</v>
      </c>
      <c r="G1753" s="27" t="s">
        <v>5786</v>
      </c>
      <c r="H1753" s="27" t="s">
        <v>96</v>
      </c>
      <c r="I1753">
        <v>1</v>
      </c>
    </row>
    <row r="1754" spans="1:9">
      <c r="A1754" t="s">
        <v>2169</v>
      </c>
      <c r="B1754" s="27" t="s">
        <v>3225</v>
      </c>
      <c r="C1754" s="27" t="s">
        <v>5771</v>
      </c>
      <c r="D1754">
        <f>VLOOKUP(tblTargetMedicos[[#This Row],[codigo_id]],[1]DIM_REPRESENTANTE_MEDICO!$C:$F,4,0)</f>
        <v>12</v>
      </c>
      <c r="E1754">
        <f>VLOOKUP(tblTargetMedicos[[#This Row],[codigo_id]],[1]DIM_REPRESENTANTE_MEDICO!$C:$F,3,0)</f>
        <v>1</v>
      </c>
      <c r="F1754" s="27" t="s">
        <v>5796</v>
      </c>
      <c r="G1754" s="27" t="s">
        <v>5782</v>
      </c>
      <c r="H1754" s="27" t="s">
        <v>96</v>
      </c>
      <c r="I1754">
        <v>1</v>
      </c>
    </row>
    <row r="1755" spans="1:9">
      <c r="A1755" t="s">
        <v>2170</v>
      </c>
      <c r="B1755" s="27" t="s">
        <v>3225</v>
      </c>
      <c r="C1755" s="27" t="s">
        <v>5771</v>
      </c>
      <c r="D1755">
        <f>VLOOKUP(tblTargetMedicos[[#This Row],[codigo_id]],[1]DIM_REPRESENTANTE_MEDICO!$C:$F,4,0)</f>
        <v>12</v>
      </c>
      <c r="E1755">
        <f>VLOOKUP(tblTargetMedicos[[#This Row],[codigo_id]],[1]DIM_REPRESENTANTE_MEDICO!$C:$F,3,0)</f>
        <v>1</v>
      </c>
      <c r="F1755" s="27" t="s">
        <v>5796</v>
      </c>
      <c r="G1755" s="27" t="s">
        <v>5788</v>
      </c>
      <c r="H1755" s="27" t="s">
        <v>96</v>
      </c>
      <c r="I1755">
        <v>1</v>
      </c>
    </row>
    <row r="1756" spans="1:9">
      <c r="A1756" t="s">
        <v>2171</v>
      </c>
      <c r="B1756" s="27" t="s">
        <v>3225</v>
      </c>
      <c r="C1756" s="27" t="s">
        <v>5771</v>
      </c>
      <c r="D1756">
        <f>VLOOKUP(tblTargetMedicos[[#This Row],[codigo_id]],[1]DIM_REPRESENTANTE_MEDICO!$C:$F,4,0)</f>
        <v>12</v>
      </c>
      <c r="E1756">
        <f>VLOOKUP(tblTargetMedicos[[#This Row],[codigo_id]],[1]DIM_REPRESENTANTE_MEDICO!$C:$F,3,0)</f>
        <v>1</v>
      </c>
      <c r="F1756" s="27" t="s">
        <v>5796</v>
      </c>
      <c r="G1756" s="27" t="s">
        <v>5781</v>
      </c>
      <c r="H1756" s="27" t="s">
        <v>97</v>
      </c>
      <c r="I1756">
        <v>1</v>
      </c>
    </row>
    <row r="1757" spans="1:9">
      <c r="A1757" t="s">
        <v>2172</v>
      </c>
      <c r="B1757" s="27" t="s">
        <v>3225</v>
      </c>
      <c r="C1757" s="27" t="s">
        <v>5771</v>
      </c>
      <c r="D1757">
        <f>VLOOKUP(tblTargetMedicos[[#This Row],[codigo_id]],[1]DIM_REPRESENTANTE_MEDICO!$C:$F,4,0)</f>
        <v>12</v>
      </c>
      <c r="E1757">
        <f>VLOOKUP(tblTargetMedicos[[#This Row],[codigo_id]],[1]DIM_REPRESENTANTE_MEDICO!$C:$F,3,0)</f>
        <v>1</v>
      </c>
      <c r="F1757" s="27" t="s">
        <v>5796</v>
      </c>
      <c r="G1757" s="27" t="s">
        <v>5783</v>
      </c>
      <c r="H1757" s="27" t="s">
        <v>97</v>
      </c>
      <c r="I1757">
        <v>1</v>
      </c>
    </row>
    <row r="1758" spans="1:9">
      <c r="A1758" t="s">
        <v>2173</v>
      </c>
      <c r="B1758" s="27" t="s">
        <v>3225</v>
      </c>
      <c r="C1758" s="27" t="s">
        <v>5771</v>
      </c>
      <c r="D1758">
        <f>VLOOKUP(tblTargetMedicos[[#This Row],[codigo_id]],[1]DIM_REPRESENTANTE_MEDICO!$C:$F,4,0)</f>
        <v>12</v>
      </c>
      <c r="E1758">
        <f>VLOOKUP(tblTargetMedicos[[#This Row],[codigo_id]],[1]DIM_REPRESENTANTE_MEDICO!$C:$F,3,0)</f>
        <v>1</v>
      </c>
      <c r="F1758" s="27" t="s">
        <v>5796</v>
      </c>
      <c r="G1758" s="27" t="s">
        <v>5786</v>
      </c>
      <c r="H1758" s="27" t="s">
        <v>97</v>
      </c>
      <c r="I1758">
        <v>1</v>
      </c>
    </row>
    <row r="1759" spans="1:9">
      <c r="A1759" t="s">
        <v>2174</v>
      </c>
      <c r="B1759" s="27" t="s">
        <v>3225</v>
      </c>
      <c r="C1759" s="27" t="s">
        <v>5771</v>
      </c>
      <c r="D1759">
        <f>VLOOKUP(tblTargetMedicos[[#This Row],[codigo_id]],[1]DIM_REPRESENTANTE_MEDICO!$C:$F,4,0)</f>
        <v>12</v>
      </c>
      <c r="E1759">
        <f>VLOOKUP(tblTargetMedicos[[#This Row],[codigo_id]],[1]DIM_REPRESENTANTE_MEDICO!$C:$F,3,0)</f>
        <v>1</v>
      </c>
      <c r="F1759" s="27" t="s">
        <v>5796</v>
      </c>
      <c r="G1759" s="27" t="s">
        <v>5786</v>
      </c>
      <c r="H1759" s="27" t="s">
        <v>96</v>
      </c>
      <c r="I1759">
        <v>1</v>
      </c>
    </row>
    <row r="1760" spans="1:9">
      <c r="A1760" t="s">
        <v>2175</v>
      </c>
      <c r="B1760" s="27" t="s">
        <v>3225</v>
      </c>
      <c r="C1760" s="27" t="s">
        <v>5771</v>
      </c>
      <c r="D1760">
        <f>VLOOKUP(tblTargetMedicos[[#This Row],[codigo_id]],[1]DIM_REPRESENTANTE_MEDICO!$C:$F,4,0)</f>
        <v>12</v>
      </c>
      <c r="E1760">
        <f>VLOOKUP(tblTargetMedicos[[#This Row],[codigo_id]],[1]DIM_REPRESENTANTE_MEDICO!$C:$F,3,0)</f>
        <v>1</v>
      </c>
      <c r="F1760" s="27" t="s">
        <v>5796</v>
      </c>
      <c r="G1760" s="27" t="s">
        <v>5779</v>
      </c>
      <c r="H1760" s="27" t="s">
        <v>96</v>
      </c>
      <c r="I1760">
        <v>1</v>
      </c>
    </row>
    <row r="1761" spans="1:9">
      <c r="A1761" t="s">
        <v>2176</v>
      </c>
      <c r="B1761" s="27" t="s">
        <v>3225</v>
      </c>
      <c r="C1761" s="27" t="s">
        <v>5771</v>
      </c>
      <c r="D1761">
        <f>VLOOKUP(tblTargetMedicos[[#This Row],[codigo_id]],[1]DIM_REPRESENTANTE_MEDICO!$C:$F,4,0)</f>
        <v>12</v>
      </c>
      <c r="E1761">
        <f>VLOOKUP(tblTargetMedicos[[#This Row],[codigo_id]],[1]DIM_REPRESENTANTE_MEDICO!$C:$F,3,0)</f>
        <v>1</v>
      </c>
      <c r="F1761" s="27" t="s">
        <v>5796</v>
      </c>
      <c r="G1761" s="27" t="s">
        <v>5782</v>
      </c>
      <c r="H1761" s="27" t="s">
        <v>96</v>
      </c>
      <c r="I1761">
        <v>1</v>
      </c>
    </row>
    <row r="1762" spans="1:9">
      <c r="A1762" t="s">
        <v>2177</v>
      </c>
      <c r="B1762" s="27" t="s">
        <v>3225</v>
      </c>
      <c r="C1762" s="27" t="s">
        <v>5771</v>
      </c>
      <c r="D1762">
        <f>VLOOKUP(tblTargetMedicos[[#This Row],[codigo_id]],[1]DIM_REPRESENTANTE_MEDICO!$C:$F,4,0)</f>
        <v>12</v>
      </c>
      <c r="E1762">
        <f>VLOOKUP(tblTargetMedicos[[#This Row],[codigo_id]],[1]DIM_REPRESENTANTE_MEDICO!$C:$F,3,0)</f>
        <v>1</v>
      </c>
      <c r="F1762" s="27" t="s">
        <v>5796</v>
      </c>
      <c r="G1762" s="27" t="s">
        <v>5782</v>
      </c>
      <c r="H1762" s="27" t="s">
        <v>95</v>
      </c>
      <c r="I1762">
        <v>1</v>
      </c>
    </row>
    <row r="1763" spans="1:9">
      <c r="A1763" t="s">
        <v>2178</v>
      </c>
      <c r="B1763" s="27" t="s">
        <v>3225</v>
      </c>
      <c r="C1763" s="27" t="s">
        <v>5771</v>
      </c>
      <c r="D1763">
        <f>VLOOKUP(tblTargetMedicos[[#This Row],[codigo_id]],[1]DIM_REPRESENTANTE_MEDICO!$C:$F,4,0)</f>
        <v>12</v>
      </c>
      <c r="E1763">
        <f>VLOOKUP(tblTargetMedicos[[#This Row],[codigo_id]],[1]DIM_REPRESENTANTE_MEDICO!$C:$F,3,0)</f>
        <v>1</v>
      </c>
      <c r="F1763" s="27" t="s">
        <v>5796</v>
      </c>
      <c r="G1763" s="27" t="s">
        <v>5782</v>
      </c>
      <c r="H1763" s="27" t="s">
        <v>96</v>
      </c>
      <c r="I1763">
        <v>1</v>
      </c>
    </row>
    <row r="1764" spans="1:9">
      <c r="A1764" t="s">
        <v>2179</v>
      </c>
      <c r="B1764" s="27" t="s">
        <v>3225</v>
      </c>
      <c r="C1764" s="27" t="s">
        <v>5771</v>
      </c>
      <c r="D1764">
        <f>VLOOKUP(tblTargetMedicos[[#This Row],[codigo_id]],[1]DIM_REPRESENTANTE_MEDICO!$C:$F,4,0)</f>
        <v>12</v>
      </c>
      <c r="E1764">
        <f>VLOOKUP(tblTargetMedicos[[#This Row],[codigo_id]],[1]DIM_REPRESENTANTE_MEDICO!$C:$F,3,0)</f>
        <v>1</v>
      </c>
      <c r="F1764" s="27" t="s">
        <v>5796</v>
      </c>
      <c r="G1764" s="27" t="s">
        <v>5784</v>
      </c>
      <c r="H1764" s="27" t="s">
        <v>96</v>
      </c>
      <c r="I1764">
        <v>1</v>
      </c>
    </row>
    <row r="1765" spans="1:9">
      <c r="A1765" t="s">
        <v>2180</v>
      </c>
      <c r="B1765" s="27" t="s">
        <v>3225</v>
      </c>
      <c r="C1765" s="27" t="s">
        <v>5771</v>
      </c>
      <c r="D1765">
        <f>VLOOKUP(tblTargetMedicos[[#This Row],[codigo_id]],[1]DIM_REPRESENTANTE_MEDICO!$C:$F,4,0)</f>
        <v>12</v>
      </c>
      <c r="E1765">
        <f>VLOOKUP(tblTargetMedicos[[#This Row],[codigo_id]],[1]DIM_REPRESENTANTE_MEDICO!$C:$F,3,0)</f>
        <v>1</v>
      </c>
      <c r="F1765" s="27" t="s">
        <v>5796</v>
      </c>
      <c r="G1765" s="27" t="s">
        <v>5788</v>
      </c>
      <c r="H1765" s="27" t="s">
        <v>95</v>
      </c>
      <c r="I1765">
        <v>1</v>
      </c>
    </row>
    <row r="1766" spans="1:9">
      <c r="A1766" t="s">
        <v>2181</v>
      </c>
      <c r="B1766" s="27" t="s">
        <v>3225</v>
      </c>
      <c r="C1766" s="27" t="s">
        <v>5771</v>
      </c>
      <c r="D1766">
        <f>VLOOKUP(tblTargetMedicos[[#This Row],[codigo_id]],[1]DIM_REPRESENTANTE_MEDICO!$C:$F,4,0)</f>
        <v>12</v>
      </c>
      <c r="E1766">
        <f>VLOOKUP(tblTargetMedicos[[#This Row],[codigo_id]],[1]DIM_REPRESENTANTE_MEDICO!$C:$F,3,0)</f>
        <v>1</v>
      </c>
      <c r="F1766" s="27" t="s">
        <v>5796</v>
      </c>
      <c r="G1766" s="27" t="s">
        <v>5784</v>
      </c>
      <c r="H1766" s="27" t="s">
        <v>95</v>
      </c>
      <c r="I1766">
        <v>1</v>
      </c>
    </row>
    <row r="1767" spans="1:9">
      <c r="A1767" t="s">
        <v>2182</v>
      </c>
      <c r="B1767" s="27" t="s">
        <v>3225</v>
      </c>
      <c r="C1767" s="27" t="s">
        <v>5771</v>
      </c>
      <c r="D1767">
        <f>VLOOKUP(tblTargetMedicos[[#This Row],[codigo_id]],[1]DIM_REPRESENTANTE_MEDICO!$C:$F,4,0)</f>
        <v>12</v>
      </c>
      <c r="E1767">
        <f>VLOOKUP(tblTargetMedicos[[#This Row],[codigo_id]],[1]DIM_REPRESENTANTE_MEDICO!$C:$F,3,0)</f>
        <v>1</v>
      </c>
      <c r="F1767" s="27" t="s">
        <v>5796</v>
      </c>
      <c r="G1767" s="27" t="s">
        <v>5784</v>
      </c>
      <c r="H1767" s="27" t="s">
        <v>96</v>
      </c>
      <c r="I1767">
        <v>1</v>
      </c>
    </row>
    <row r="1768" spans="1:9">
      <c r="A1768" t="s">
        <v>2183</v>
      </c>
      <c r="B1768" s="27" t="s">
        <v>3225</v>
      </c>
      <c r="C1768" s="27" t="s">
        <v>5771</v>
      </c>
      <c r="D1768">
        <f>VLOOKUP(tblTargetMedicos[[#This Row],[codigo_id]],[1]DIM_REPRESENTANTE_MEDICO!$C:$F,4,0)</f>
        <v>12</v>
      </c>
      <c r="E1768">
        <f>VLOOKUP(tblTargetMedicos[[#This Row],[codigo_id]],[1]DIM_REPRESENTANTE_MEDICO!$C:$F,3,0)</f>
        <v>1</v>
      </c>
      <c r="F1768" s="27" t="s">
        <v>5796</v>
      </c>
      <c r="G1768" s="27" t="s">
        <v>5786</v>
      </c>
      <c r="H1768" s="27" t="s">
        <v>96</v>
      </c>
      <c r="I1768">
        <v>1</v>
      </c>
    </row>
    <row r="1769" spans="1:9">
      <c r="A1769" t="s">
        <v>2184</v>
      </c>
      <c r="B1769" s="27" t="s">
        <v>3225</v>
      </c>
      <c r="C1769" s="27" t="s">
        <v>5771</v>
      </c>
      <c r="D1769">
        <f>VLOOKUP(tblTargetMedicos[[#This Row],[codigo_id]],[1]DIM_REPRESENTANTE_MEDICO!$C:$F,4,0)</f>
        <v>12</v>
      </c>
      <c r="E1769">
        <f>VLOOKUP(tblTargetMedicos[[#This Row],[codigo_id]],[1]DIM_REPRESENTANTE_MEDICO!$C:$F,3,0)</f>
        <v>1</v>
      </c>
      <c r="F1769" s="27" t="s">
        <v>5796</v>
      </c>
      <c r="G1769" s="27" t="s">
        <v>5787</v>
      </c>
      <c r="H1769" s="27" t="s">
        <v>96</v>
      </c>
      <c r="I1769">
        <v>1</v>
      </c>
    </row>
    <row r="1770" spans="1:9">
      <c r="A1770" t="s">
        <v>2185</v>
      </c>
      <c r="B1770" s="27" t="s">
        <v>3225</v>
      </c>
      <c r="C1770" s="27" t="s">
        <v>5771</v>
      </c>
      <c r="D1770">
        <f>VLOOKUP(tblTargetMedicos[[#This Row],[codigo_id]],[1]DIM_REPRESENTANTE_MEDICO!$C:$F,4,0)</f>
        <v>12</v>
      </c>
      <c r="E1770">
        <f>VLOOKUP(tblTargetMedicos[[#This Row],[codigo_id]],[1]DIM_REPRESENTANTE_MEDICO!$C:$F,3,0)</f>
        <v>1</v>
      </c>
      <c r="F1770" s="27" t="s">
        <v>5796</v>
      </c>
      <c r="G1770" s="27" t="s">
        <v>5785</v>
      </c>
      <c r="H1770" s="27" t="s">
        <v>96</v>
      </c>
      <c r="I1770">
        <v>1</v>
      </c>
    </row>
    <row r="1771" spans="1:9">
      <c r="A1771" t="s">
        <v>2186</v>
      </c>
      <c r="B1771" s="27" t="s">
        <v>3225</v>
      </c>
      <c r="C1771" s="27" t="s">
        <v>5771</v>
      </c>
      <c r="D1771">
        <f>VLOOKUP(tblTargetMedicos[[#This Row],[codigo_id]],[1]DIM_REPRESENTANTE_MEDICO!$C:$F,4,0)</f>
        <v>12</v>
      </c>
      <c r="E1771">
        <f>VLOOKUP(tblTargetMedicos[[#This Row],[codigo_id]],[1]DIM_REPRESENTANTE_MEDICO!$C:$F,3,0)</f>
        <v>1</v>
      </c>
      <c r="F1771" s="27" t="s">
        <v>5796</v>
      </c>
      <c r="G1771" s="27" t="s">
        <v>5784</v>
      </c>
      <c r="H1771" s="27" t="s">
        <v>96</v>
      </c>
      <c r="I1771">
        <v>1</v>
      </c>
    </row>
    <row r="1772" spans="1:9">
      <c r="A1772" t="s">
        <v>2187</v>
      </c>
      <c r="B1772" s="27" t="s">
        <v>3225</v>
      </c>
      <c r="C1772" s="27" t="s">
        <v>5771</v>
      </c>
      <c r="D1772">
        <f>VLOOKUP(tblTargetMedicos[[#This Row],[codigo_id]],[1]DIM_REPRESENTANTE_MEDICO!$C:$F,4,0)</f>
        <v>12</v>
      </c>
      <c r="E1772">
        <f>VLOOKUP(tblTargetMedicos[[#This Row],[codigo_id]],[1]DIM_REPRESENTANTE_MEDICO!$C:$F,3,0)</f>
        <v>1</v>
      </c>
      <c r="F1772" s="27" t="s">
        <v>5796</v>
      </c>
      <c r="G1772" s="27" t="s">
        <v>5785</v>
      </c>
      <c r="H1772" s="27" t="s">
        <v>96</v>
      </c>
      <c r="I1772">
        <v>1</v>
      </c>
    </row>
    <row r="1773" spans="1:9">
      <c r="A1773" t="s">
        <v>2188</v>
      </c>
      <c r="B1773" s="27" t="s">
        <v>3225</v>
      </c>
      <c r="C1773" s="27" t="s">
        <v>5771</v>
      </c>
      <c r="D1773">
        <f>VLOOKUP(tblTargetMedicos[[#This Row],[codigo_id]],[1]DIM_REPRESENTANTE_MEDICO!$C:$F,4,0)</f>
        <v>12</v>
      </c>
      <c r="E1773">
        <f>VLOOKUP(tblTargetMedicos[[#This Row],[codigo_id]],[1]DIM_REPRESENTANTE_MEDICO!$C:$F,3,0)</f>
        <v>1</v>
      </c>
      <c r="F1773" s="27" t="s">
        <v>5796</v>
      </c>
      <c r="G1773" s="27" t="s">
        <v>5784</v>
      </c>
      <c r="H1773" s="27" t="s">
        <v>96</v>
      </c>
      <c r="I1773">
        <v>1</v>
      </c>
    </row>
    <row r="1774" spans="1:9">
      <c r="A1774" t="s">
        <v>2189</v>
      </c>
      <c r="B1774" s="27" t="s">
        <v>3225</v>
      </c>
      <c r="C1774" s="27" t="s">
        <v>5771</v>
      </c>
      <c r="D1774">
        <f>VLOOKUP(tblTargetMedicos[[#This Row],[codigo_id]],[1]DIM_REPRESENTANTE_MEDICO!$C:$F,4,0)</f>
        <v>12</v>
      </c>
      <c r="E1774">
        <f>VLOOKUP(tblTargetMedicos[[#This Row],[codigo_id]],[1]DIM_REPRESENTANTE_MEDICO!$C:$F,3,0)</f>
        <v>1</v>
      </c>
      <c r="F1774" s="27" t="s">
        <v>5796</v>
      </c>
      <c r="G1774" s="27" t="s">
        <v>5779</v>
      </c>
      <c r="H1774" s="27" t="s">
        <v>96</v>
      </c>
      <c r="I1774">
        <v>1</v>
      </c>
    </row>
    <row r="1775" spans="1:9">
      <c r="A1775" t="s">
        <v>2190</v>
      </c>
      <c r="B1775" s="27" t="s">
        <v>3225</v>
      </c>
      <c r="C1775" s="27" t="s">
        <v>5771</v>
      </c>
      <c r="D1775">
        <f>VLOOKUP(tblTargetMedicos[[#This Row],[codigo_id]],[1]DIM_REPRESENTANTE_MEDICO!$C:$F,4,0)</f>
        <v>12</v>
      </c>
      <c r="E1775">
        <f>VLOOKUP(tblTargetMedicos[[#This Row],[codigo_id]],[1]DIM_REPRESENTANTE_MEDICO!$C:$F,3,0)</f>
        <v>1</v>
      </c>
      <c r="F1775" s="27" t="s">
        <v>5796</v>
      </c>
      <c r="G1775" s="27" t="s">
        <v>5785</v>
      </c>
      <c r="H1775" s="27" t="s">
        <v>96</v>
      </c>
      <c r="I1775">
        <v>1</v>
      </c>
    </row>
    <row r="1776" spans="1:9">
      <c r="A1776" t="s">
        <v>2191</v>
      </c>
      <c r="B1776" s="27" t="s">
        <v>3225</v>
      </c>
      <c r="C1776" s="27" t="s">
        <v>5771</v>
      </c>
      <c r="D1776">
        <f>VLOOKUP(tblTargetMedicos[[#This Row],[codigo_id]],[1]DIM_REPRESENTANTE_MEDICO!$C:$F,4,0)</f>
        <v>12</v>
      </c>
      <c r="E1776">
        <f>VLOOKUP(tblTargetMedicos[[#This Row],[codigo_id]],[1]DIM_REPRESENTANTE_MEDICO!$C:$F,3,0)</f>
        <v>1</v>
      </c>
      <c r="F1776" s="27" t="s">
        <v>5796</v>
      </c>
      <c r="G1776" s="27" t="s">
        <v>5784</v>
      </c>
      <c r="H1776" s="27" t="s">
        <v>96</v>
      </c>
      <c r="I1776">
        <v>1</v>
      </c>
    </row>
    <row r="1777" spans="1:9">
      <c r="A1777" t="s">
        <v>2192</v>
      </c>
      <c r="B1777" s="27" t="s">
        <v>3225</v>
      </c>
      <c r="C1777" s="27" t="s">
        <v>5771</v>
      </c>
      <c r="D1777">
        <f>VLOOKUP(tblTargetMedicos[[#This Row],[codigo_id]],[1]DIM_REPRESENTANTE_MEDICO!$C:$F,4,0)</f>
        <v>12</v>
      </c>
      <c r="E1777">
        <f>VLOOKUP(tblTargetMedicos[[#This Row],[codigo_id]],[1]DIM_REPRESENTANTE_MEDICO!$C:$F,3,0)</f>
        <v>1</v>
      </c>
      <c r="F1777" s="27" t="s">
        <v>5796</v>
      </c>
      <c r="G1777" s="27" t="s">
        <v>5785</v>
      </c>
      <c r="H1777" s="27" t="s">
        <v>96</v>
      </c>
      <c r="I1777">
        <v>1</v>
      </c>
    </row>
    <row r="1778" spans="1:9">
      <c r="A1778" t="s">
        <v>2193</v>
      </c>
      <c r="B1778" s="27" t="s">
        <v>3225</v>
      </c>
      <c r="C1778" s="27" t="s">
        <v>5771</v>
      </c>
      <c r="D1778">
        <f>VLOOKUP(tblTargetMedicos[[#This Row],[codigo_id]],[1]DIM_REPRESENTANTE_MEDICO!$C:$F,4,0)</f>
        <v>12</v>
      </c>
      <c r="E1778">
        <f>VLOOKUP(tblTargetMedicos[[#This Row],[codigo_id]],[1]DIM_REPRESENTANTE_MEDICO!$C:$F,3,0)</f>
        <v>1</v>
      </c>
      <c r="F1778" s="27" t="s">
        <v>5796</v>
      </c>
      <c r="G1778" s="27" t="s">
        <v>5787</v>
      </c>
      <c r="H1778" s="27" t="s">
        <v>96</v>
      </c>
      <c r="I1778">
        <v>1</v>
      </c>
    </row>
    <row r="1779" spans="1:9">
      <c r="A1779" t="s">
        <v>2194</v>
      </c>
      <c r="B1779" s="27" t="s">
        <v>3225</v>
      </c>
      <c r="C1779" s="27" t="s">
        <v>5771</v>
      </c>
      <c r="D1779">
        <f>VLOOKUP(tblTargetMedicos[[#This Row],[codigo_id]],[1]DIM_REPRESENTANTE_MEDICO!$C:$F,4,0)</f>
        <v>12</v>
      </c>
      <c r="E1779">
        <f>VLOOKUP(tblTargetMedicos[[#This Row],[codigo_id]],[1]DIM_REPRESENTANTE_MEDICO!$C:$F,3,0)</f>
        <v>1</v>
      </c>
      <c r="F1779" s="27" t="s">
        <v>5796</v>
      </c>
      <c r="G1779" s="27" t="s">
        <v>5785</v>
      </c>
      <c r="H1779" s="27" t="s">
        <v>96</v>
      </c>
      <c r="I1779">
        <v>1</v>
      </c>
    </row>
    <row r="1780" spans="1:9">
      <c r="A1780" t="s">
        <v>2195</v>
      </c>
      <c r="B1780" s="27" t="s">
        <v>3225</v>
      </c>
      <c r="C1780" s="27" t="s">
        <v>5771</v>
      </c>
      <c r="D1780">
        <f>VLOOKUP(tblTargetMedicos[[#This Row],[codigo_id]],[1]DIM_REPRESENTANTE_MEDICO!$C:$F,4,0)</f>
        <v>12</v>
      </c>
      <c r="E1780">
        <f>VLOOKUP(tblTargetMedicos[[#This Row],[codigo_id]],[1]DIM_REPRESENTANTE_MEDICO!$C:$F,3,0)</f>
        <v>1</v>
      </c>
      <c r="F1780" s="27" t="s">
        <v>5796</v>
      </c>
      <c r="G1780" s="27" t="s">
        <v>5784</v>
      </c>
      <c r="H1780" s="27" t="s">
        <v>96</v>
      </c>
      <c r="I1780">
        <v>1</v>
      </c>
    </row>
    <row r="1781" spans="1:9">
      <c r="A1781" t="s">
        <v>2196</v>
      </c>
      <c r="B1781" s="27" t="s">
        <v>3225</v>
      </c>
      <c r="C1781" s="27" t="s">
        <v>5771</v>
      </c>
      <c r="D1781">
        <f>VLOOKUP(tblTargetMedicos[[#This Row],[codigo_id]],[1]DIM_REPRESENTANTE_MEDICO!$C:$F,4,0)</f>
        <v>12</v>
      </c>
      <c r="E1781">
        <f>VLOOKUP(tblTargetMedicos[[#This Row],[codigo_id]],[1]DIM_REPRESENTANTE_MEDICO!$C:$F,3,0)</f>
        <v>1</v>
      </c>
      <c r="F1781" s="27" t="s">
        <v>5796</v>
      </c>
      <c r="G1781" s="27" t="s">
        <v>5785</v>
      </c>
      <c r="H1781" s="27" t="s">
        <v>96</v>
      </c>
      <c r="I1781">
        <v>1</v>
      </c>
    </row>
    <row r="1782" spans="1:9">
      <c r="A1782" t="s">
        <v>2197</v>
      </c>
      <c r="B1782" s="27" t="s">
        <v>3225</v>
      </c>
      <c r="C1782" s="27" t="s">
        <v>5771</v>
      </c>
      <c r="D1782">
        <f>VLOOKUP(tblTargetMedicos[[#This Row],[codigo_id]],[1]DIM_REPRESENTANTE_MEDICO!$C:$F,4,0)</f>
        <v>12</v>
      </c>
      <c r="E1782">
        <f>VLOOKUP(tblTargetMedicos[[#This Row],[codigo_id]],[1]DIM_REPRESENTANTE_MEDICO!$C:$F,3,0)</f>
        <v>1</v>
      </c>
      <c r="F1782" s="27" t="s">
        <v>5796</v>
      </c>
      <c r="G1782" s="27" t="s">
        <v>5786</v>
      </c>
      <c r="H1782" s="27" t="s">
        <v>96</v>
      </c>
      <c r="I1782">
        <v>1</v>
      </c>
    </row>
    <row r="1783" spans="1:9">
      <c r="A1783" t="s">
        <v>2198</v>
      </c>
      <c r="B1783" s="27" t="s">
        <v>3225</v>
      </c>
      <c r="C1783" s="27" t="s">
        <v>5771</v>
      </c>
      <c r="D1783">
        <f>VLOOKUP(tblTargetMedicos[[#This Row],[codigo_id]],[1]DIM_REPRESENTANTE_MEDICO!$C:$F,4,0)</f>
        <v>12</v>
      </c>
      <c r="E1783">
        <f>VLOOKUP(tblTargetMedicos[[#This Row],[codigo_id]],[1]DIM_REPRESENTANTE_MEDICO!$C:$F,3,0)</f>
        <v>1</v>
      </c>
      <c r="F1783" s="27" t="s">
        <v>5796</v>
      </c>
      <c r="G1783" s="27" t="s">
        <v>5787</v>
      </c>
      <c r="H1783" s="27" t="s">
        <v>96</v>
      </c>
      <c r="I1783">
        <v>1</v>
      </c>
    </row>
    <row r="1784" spans="1:9">
      <c r="A1784" t="s">
        <v>2199</v>
      </c>
      <c r="B1784" s="27" t="s">
        <v>3225</v>
      </c>
      <c r="C1784" s="27" t="s">
        <v>5771</v>
      </c>
      <c r="D1784">
        <f>VLOOKUP(tblTargetMedicos[[#This Row],[codigo_id]],[1]DIM_REPRESENTANTE_MEDICO!$C:$F,4,0)</f>
        <v>12</v>
      </c>
      <c r="E1784">
        <f>VLOOKUP(tblTargetMedicos[[#This Row],[codigo_id]],[1]DIM_REPRESENTANTE_MEDICO!$C:$F,3,0)</f>
        <v>1</v>
      </c>
      <c r="F1784" s="27" t="s">
        <v>5796</v>
      </c>
      <c r="G1784" s="27" t="s">
        <v>5786</v>
      </c>
      <c r="H1784" s="27" t="s">
        <v>96</v>
      </c>
      <c r="I1784">
        <v>1</v>
      </c>
    </row>
    <row r="1785" spans="1:9">
      <c r="A1785" t="s">
        <v>2200</v>
      </c>
      <c r="B1785" s="27" t="s">
        <v>3225</v>
      </c>
      <c r="C1785" s="27" t="s">
        <v>5771</v>
      </c>
      <c r="D1785">
        <f>VLOOKUP(tblTargetMedicos[[#This Row],[codigo_id]],[1]DIM_REPRESENTANTE_MEDICO!$C:$F,4,0)</f>
        <v>12</v>
      </c>
      <c r="E1785">
        <f>VLOOKUP(tblTargetMedicos[[#This Row],[codigo_id]],[1]DIM_REPRESENTANTE_MEDICO!$C:$F,3,0)</f>
        <v>1</v>
      </c>
      <c r="F1785" s="27" t="s">
        <v>5796</v>
      </c>
      <c r="G1785" s="27" t="s">
        <v>5786</v>
      </c>
      <c r="H1785" s="27" t="s">
        <v>96</v>
      </c>
      <c r="I1785">
        <v>1</v>
      </c>
    </row>
    <row r="1786" spans="1:9">
      <c r="A1786" t="s">
        <v>2201</v>
      </c>
      <c r="B1786" s="27" t="s">
        <v>3225</v>
      </c>
      <c r="C1786" s="27" t="s">
        <v>5771</v>
      </c>
      <c r="D1786">
        <f>VLOOKUP(tblTargetMedicos[[#This Row],[codigo_id]],[1]DIM_REPRESENTANTE_MEDICO!$C:$F,4,0)</f>
        <v>12</v>
      </c>
      <c r="E1786">
        <f>VLOOKUP(tblTargetMedicos[[#This Row],[codigo_id]],[1]DIM_REPRESENTANTE_MEDICO!$C:$F,3,0)</f>
        <v>1</v>
      </c>
      <c r="F1786" s="27" t="s">
        <v>5796</v>
      </c>
      <c r="G1786" s="27" t="s">
        <v>5784</v>
      </c>
      <c r="H1786" s="27" t="s">
        <v>96</v>
      </c>
      <c r="I1786">
        <v>1</v>
      </c>
    </row>
    <row r="1787" spans="1:9">
      <c r="A1787" t="s">
        <v>2202</v>
      </c>
      <c r="B1787" s="27" t="s">
        <v>3225</v>
      </c>
      <c r="C1787" s="27" t="s">
        <v>5771</v>
      </c>
      <c r="D1787">
        <f>VLOOKUP(tblTargetMedicos[[#This Row],[codigo_id]],[1]DIM_REPRESENTANTE_MEDICO!$C:$F,4,0)</f>
        <v>12</v>
      </c>
      <c r="E1787">
        <f>VLOOKUP(tblTargetMedicos[[#This Row],[codigo_id]],[1]DIM_REPRESENTANTE_MEDICO!$C:$F,3,0)</f>
        <v>1</v>
      </c>
      <c r="F1787" s="27" t="s">
        <v>5796</v>
      </c>
      <c r="G1787" s="27" t="s">
        <v>5785</v>
      </c>
      <c r="H1787" s="27" t="s">
        <v>96</v>
      </c>
      <c r="I1787">
        <v>1</v>
      </c>
    </row>
    <row r="1788" spans="1:9">
      <c r="A1788" t="s">
        <v>2203</v>
      </c>
      <c r="B1788" s="27" t="s">
        <v>3225</v>
      </c>
      <c r="C1788" s="27" t="s">
        <v>5771</v>
      </c>
      <c r="D1788">
        <f>VLOOKUP(tblTargetMedicos[[#This Row],[codigo_id]],[1]DIM_REPRESENTANTE_MEDICO!$C:$F,4,0)</f>
        <v>12</v>
      </c>
      <c r="E1788">
        <f>VLOOKUP(tblTargetMedicos[[#This Row],[codigo_id]],[1]DIM_REPRESENTANTE_MEDICO!$C:$F,3,0)</f>
        <v>1</v>
      </c>
      <c r="F1788" s="27" t="s">
        <v>5796</v>
      </c>
      <c r="G1788" s="27" t="s">
        <v>5786</v>
      </c>
      <c r="H1788" s="27" t="s">
        <v>96</v>
      </c>
      <c r="I1788">
        <v>1</v>
      </c>
    </row>
    <row r="1789" spans="1:9">
      <c r="A1789" t="s">
        <v>2204</v>
      </c>
      <c r="B1789" s="27" t="s">
        <v>3225</v>
      </c>
      <c r="C1789" s="27" t="s">
        <v>5771</v>
      </c>
      <c r="D1789">
        <f>VLOOKUP(tblTargetMedicos[[#This Row],[codigo_id]],[1]DIM_REPRESENTANTE_MEDICO!$C:$F,4,0)</f>
        <v>12</v>
      </c>
      <c r="E1789">
        <f>VLOOKUP(tblTargetMedicos[[#This Row],[codigo_id]],[1]DIM_REPRESENTANTE_MEDICO!$C:$F,3,0)</f>
        <v>1</v>
      </c>
      <c r="F1789" s="27" t="s">
        <v>5796</v>
      </c>
      <c r="G1789" s="27" t="s">
        <v>5784</v>
      </c>
      <c r="H1789" s="27" t="s">
        <v>96</v>
      </c>
      <c r="I1789">
        <v>1</v>
      </c>
    </row>
    <row r="1790" spans="1:9">
      <c r="A1790" t="s">
        <v>2205</v>
      </c>
      <c r="B1790" s="27" t="s">
        <v>3225</v>
      </c>
      <c r="C1790" s="27" t="s">
        <v>5771</v>
      </c>
      <c r="D1790">
        <f>VLOOKUP(tblTargetMedicos[[#This Row],[codigo_id]],[1]DIM_REPRESENTANTE_MEDICO!$C:$F,4,0)</f>
        <v>12</v>
      </c>
      <c r="E1790">
        <f>VLOOKUP(tblTargetMedicos[[#This Row],[codigo_id]],[1]DIM_REPRESENTANTE_MEDICO!$C:$F,3,0)</f>
        <v>1</v>
      </c>
      <c r="F1790" s="27" t="s">
        <v>5796</v>
      </c>
      <c r="G1790" s="27" t="s">
        <v>5786</v>
      </c>
      <c r="H1790" s="27" t="s">
        <v>96</v>
      </c>
      <c r="I1790">
        <v>1</v>
      </c>
    </row>
    <row r="1791" spans="1:9">
      <c r="A1791" t="s">
        <v>2206</v>
      </c>
      <c r="B1791" s="27" t="s">
        <v>3225</v>
      </c>
      <c r="C1791" s="27" t="s">
        <v>5771</v>
      </c>
      <c r="D1791">
        <f>VLOOKUP(tblTargetMedicos[[#This Row],[codigo_id]],[1]DIM_REPRESENTANTE_MEDICO!$C:$F,4,0)</f>
        <v>12</v>
      </c>
      <c r="E1791">
        <f>VLOOKUP(tblTargetMedicos[[#This Row],[codigo_id]],[1]DIM_REPRESENTANTE_MEDICO!$C:$F,3,0)</f>
        <v>1</v>
      </c>
      <c r="F1791" s="27" t="s">
        <v>5796</v>
      </c>
      <c r="G1791" s="27" t="s">
        <v>5784</v>
      </c>
      <c r="H1791" s="27" t="s">
        <v>96</v>
      </c>
      <c r="I1791">
        <v>1</v>
      </c>
    </row>
    <row r="1792" spans="1:9">
      <c r="A1792" t="s">
        <v>2207</v>
      </c>
      <c r="B1792" s="27" t="s">
        <v>3225</v>
      </c>
      <c r="C1792" s="27" t="s">
        <v>5771</v>
      </c>
      <c r="D1792">
        <f>VLOOKUP(tblTargetMedicos[[#This Row],[codigo_id]],[1]DIM_REPRESENTANTE_MEDICO!$C:$F,4,0)</f>
        <v>12</v>
      </c>
      <c r="E1792">
        <f>VLOOKUP(tblTargetMedicos[[#This Row],[codigo_id]],[1]DIM_REPRESENTANTE_MEDICO!$C:$F,3,0)</f>
        <v>1</v>
      </c>
      <c r="F1792" s="27" t="s">
        <v>5796</v>
      </c>
      <c r="G1792" s="27" t="s">
        <v>5784</v>
      </c>
      <c r="H1792" s="27" t="s">
        <v>96</v>
      </c>
      <c r="I1792">
        <v>1</v>
      </c>
    </row>
    <row r="1793" spans="1:9">
      <c r="A1793" t="s">
        <v>2208</v>
      </c>
      <c r="B1793" s="27" t="s">
        <v>3225</v>
      </c>
      <c r="C1793" s="27" t="s">
        <v>5771</v>
      </c>
      <c r="D1793">
        <f>VLOOKUP(tblTargetMedicos[[#This Row],[codigo_id]],[1]DIM_REPRESENTANTE_MEDICO!$C:$F,4,0)</f>
        <v>12</v>
      </c>
      <c r="E1793">
        <f>VLOOKUP(tblTargetMedicos[[#This Row],[codigo_id]],[1]DIM_REPRESENTANTE_MEDICO!$C:$F,3,0)</f>
        <v>1</v>
      </c>
      <c r="F1793" s="27" t="s">
        <v>5796</v>
      </c>
      <c r="G1793" s="27" t="s">
        <v>5786</v>
      </c>
      <c r="H1793" s="27" t="s">
        <v>96</v>
      </c>
      <c r="I1793">
        <v>1</v>
      </c>
    </row>
    <row r="1794" spans="1:9">
      <c r="A1794" t="s">
        <v>2209</v>
      </c>
      <c r="B1794" s="27" t="s">
        <v>3225</v>
      </c>
      <c r="C1794" s="27" t="s">
        <v>5771</v>
      </c>
      <c r="D1794">
        <f>VLOOKUP(tblTargetMedicos[[#This Row],[codigo_id]],[1]DIM_REPRESENTANTE_MEDICO!$C:$F,4,0)</f>
        <v>12</v>
      </c>
      <c r="E1794">
        <f>VLOOKUP(tblTargetMedicos[[#This Row],[codigo_id]],[1]DIM_REPRESENTANTE_MEDICO!$C:$F,3,0)</f>
        <v>1</v>
      </c>
      <c r="F1794" s="27" t="s">
        <v>5796</v>
      </c>
      <c r="G1794" s="27" t="s">
        <v>5786</v>
      </c>
      <c r="H1794" s="27" t="s">
        <v>96</v>
      </c>
      <c r="I1794">
        <v>1</v>
      </c>
    </row>
    <row r="1795" spans="1:9">
      <c r="A1795" t="s">
        <v>2210</v>
      </c>
      <c r="B1795" s="27" t="s">
        <v>3225</v>
      </c>
      <c r="C1795" s="27" t="s">
        <v>5771</v>
      </c>
      <c r="D1795">
        <f>VLOOKUP(tblTargetMedicos[[#This Row],[codigo_id]],[1]DIM_REPRESENTANTE_MEDICO!$C:$F,4,0)</f>
        <v>12</v>
      </c>
      <c r="E1795">
        <f>VLOOKUP(tblTargetMedicos[[#This Row],[codigo_id]],[1]DIM_REPRESENTANTE_MEDICO!$C:$F,3,0)</f>
        <v>1</v>
      </c>
      <c r="F1795" s="27" t="s">
        <v>5796</v>
      </c>
      <c r="G1795" s="27" t="s">
        <v>5781</v>
      </c>
      <c r="H1795" s="27" t="s">
        <v>97</v>
      </c>
      <c r="I1795">
        <v>1</v>
      </c>
    </row>
    <row r="1796" spans="1:9">
      <c r="A1796" t="s">
        <v>2211</v>
      </c>
      <c r="B1796" s="27" t="s">
        <v>3225</v>
      </c>
      <c r="C1796" s="27" t="s">
        <v>5771</v>
      </c>
      <c r="D1796">
        <f>VLOOKUP(tblTargetMedicos[[#This Row],[codigo_id]],[1]DIM_REPRESENTANTE_MEDICO!$C:$F,4,0)</f>
        <v>12</v>
      </c>
      <c r="E1796">
        <f>VLOOKUP(tblTargetMedicos[[#This Row],[codigo_id]],[1]DIM_REPRESENTANTE_MEDICO!$C:$F,3,0)</f>
        <v>1</v>
      </c>
      <c r="F1796" s="27" t="s">
        <v>5796</v>
      </c>
      <c r="G1796" s="27" t="s">
        <v>5783</v>
      </c>
      <c r="H1796" s="27" t="s">
        <v>97</v>
      </c>
      <c r="I1796">
        <v>1</v>
      </c>
    </row>
    <row r="1797" spans="1:9">
      <c r="A1797" t="s">
        <v>2212</v>
      </c>
      <c r="B1797" s="27" t="s">
        <v>3225</v>
      </c>
      <c r="C1797" s="27" t="s">
        <v>5771</v>
      </c>
      <c r="D1797">
        <f>VLOOKUP(tblTargetMedicos[[#This Row],[codigo_id]],[1]DIM_REPRESENTANTE_MEDICO!$C:$F,4,0)</f>
        <v>12</v>
      </c>
      <c r="E1797">
        <f>VLOOKUP(tblTargetMedicos[[#This Row],[codigo_id]],[1]DIM_REPRESENTANTE_MEDICO!$C:$F,3,0)</f>
        <v>1</v>
      </c>
      <c r="F1797" s="27" t="s">
        <v>5796</v>
      </c>
      <c r="G1797" s="27" t="s">
        <v>5786</v>
      </c>
      <c r="H1797" s="27" t="s">
        <v>97</v>
      </c>
      <c r="I1797">
        <v>1</v>
      </c>
    </row>
    <row r="1798" spans="1:9">
      <c r="A1798" t="s">
        <v>2213</v>
      </c>
      <c r="B1798" s="27" t="s">
        <v>3225</v>
      </c>
      <c r="C1798" s="27" t="s">
        <v>5771</v>
      </c>
      <c r="D1798">
        <f>VLOOKUP(tblTargetMedicos[[#This Row],[codigo_id]],[1]DIM_REPRESENTANTE_MEDICO!$C:$F,4,0)</f>
        <v>12</v>
      </c>
      <c r="E1798">
        <f>VLOOKUP(tblTargetMedicos[[#This Row],[codigo_id]],[1]DIM_REPRESENTANTE_MEDICO!$C:$F,3,0)</f>
        <v>1</v>
      </c>
      <c r="F1798" s="27" t="s">
        <v>5796</v>
      </c>
      <c r="G1798" s="27" t="s">
        <v>5787</v>
      </c>
      <c r="H1798" s="27" t="s">
        <v>97</v>
      </c>
      <c r="I1798">
        <v>1</v>
      </c>
    </row>
    <row r="1799" spans="1:9">
      <c r="A1799" t="s">
        <v>2214</v>
      </c>
      <c r="B1799" s="27" t="s">
        <v>3225</v>
      </c>
      <c r="C1799" s="27" t="s">
        <v>5771</v>
      </c>
      <c r="D1799">
        <f>VLOOKUP(tblTargetMedicos[[#This Row],[codigo_id]],[1]DIM_REPRESENTANTE_MEDICO!$C:$F,4,0)</f>
        <v>12</v>
      </c>
      <c r="E1799">
        <f>VLOOKUP(tblTargetMedicos[[#This Row],[codigo_id]],[1]DIM_REPRESENTANTE_MEDICO!$C:$F,3,0)</f>
        <v>1</v>
      </c>
      <c r="F1799" s="27" t="s">
        <v>5796</v>
      </c>
      <c r="G1799" s="27" t="s">
        <v>5784</v>
      </c>
      <c r="H1799" s="27" t="s">
        <v>96</v>
      </c>
      <c r="I1799">
        <v>1</v>
      </c>
    </row>
    <row r="1800" spans="1:9">
      <c r="A1800" t="s">
        <v>2215</v>
      </c>
      <c r="B1800" s="27" t="s">
        <v>3225</v>
      </c>
      <c r="C1800" s="27" t="s">
        <v>5771</v>
      </c>
      <c r="D1800">
        <f>VLOOKUP(tblTargetMedicos[[#This Row],[codigo_id]],[1]DIM_REPRESENTANTE_MEDICO!$C:$F,4,0)</f>
        <v>12</v>
      </c>
      <c r="E1800">
        <f>VLOOKUP(tblTargetMedicos[[#This Row],[codigo_id]],[1]DIM_REPRESENTANTE_MEDICO!$C:$F,3,0)</f>
        <v>1</v>
      </c>
      <c r="F1800" s="27" t="s">
        <v>5796</v>
      </c>
      <c r="G1800" s="27" t="s">
        <v>5787</v>
      </c>
      <c r="H1800" s="27" t="s">
        <v>96</v>
      </c>
      <c r="I1800">
        <v>1</v>
      </c>
    </row>
    <row r="1801" spans="1:9">
      <c r="A1801" t="s">
        <v>2216</v>
      </c>
      <c r="B1801" s="27" t="s">
        <v>3225</v>
      </c>
      <c r="C1801" s="27" t="s">
        <v>5771</v>
      </c>
      <c r="D1801">
        <f>VLOOKUP(tblTargetMedicos[[#This Row],[codigo_id]],[1]DIM_REPRESENTANTE_MEDICO!$C:$F,4,0)</f>
        <v>12</v>
      </c>
      <c r="E1801">
        <f>VLOOKUP(tblTargetMedicos[[#This Row],[codigo_id]],[1]DIM_REPRESENTANTE_MEDICO!$C:$F,3,0)</f>
        <v>1</v>
      </c>
      <c r="F1801" s="27" t="s">
        <v>5796</v>
      </c>
      <c r="G1801" s="27" t="s">
        <v>5783</v>
      </c>
      <c r="H1801" s="27" t="s">
        <v>96</v>
      </c>
      <c r="I1801">
        <v>1</v>
      </c>
    </row>
    <row r="1802" spans="1:9">
      <c r="A1802" t="s">
        <v>2217</v>
      </c>
      <c r="B1802" s="27" t="s">
        <v>3225</v>
      </c>
      <c r="C1802" s="27" t="s">
        <v>5771</v>
      </c>
      <c r="D1802">
        <f>VLOOKUP(tblTargetMedicos[[#This Row],[codigo_id]],[1]DIM_REPRESENTANTE_MEDICO!$C:$F,4,0)</f>
        <v>12</v>
      </c>
      <c r="E1802">
        <f>VLOOKUP(tblTargetMedicos[[#This Row],[codigo_id]],[1]DIM_REPRESENTANTE_MEDICO!$C:$F,3,0)</f>
        <v>1</v>
      </c>
      <c r="F1802" s="27" t="s">
        <v>5796</v>
      </c>
      <c r="G1802" s="27" t="s">
        <v>5787</v>
      </c>
      <c r="H1802" s="27" t="s">
        <v>96</v>
      </c>
      <c r="I1802">
        <v>1</v>
      </c>
    </row>
    <row r="1803" spans="1:9">
      <c r="A1803" t="s">
        <v>2218</v>
      </c>
      <c r="B1803" s="27" t="s">
        <v>3225</v>
      </c>
      <c r="C1803" s="27" t="s">
        <v>5771</v>
      </c>
      <c r="D1803">
        <f>VLOOKUP(tblTargetMedicos[[#This Row],[codigo_id]],[1]DIM_REPRESENTANTE_MEDICO!$C:$F,4,0)</f>
        <v>12</v>
      </c>
      <c r="E1803">
        <f>VLOOKUP(tblTargetMedicos[[#This Row],[codigo_id]],[1]DIM_REPRESENTANTE_MEDICO!$C:$F,3,0)</f>
        <v>1</v>
      </c>
      <c r="F1803" s="27" t="s">
        <v>5796</v>
      </c>
      <c r="G1803" s="27" t="s">
        <v>5787</v>
      </c>
      <c r="H1803" s="27" t="s">
        <v>96</v>
      </c>
      <c r="I1803">
        <v>1</v>
      </c>
    </row>
    <row r="1804" spans="1:9">
      <c r="A1804" t="s">
        <v>2219</v>
      </c>
      <c r="B1804" s="27" t="s">
        <v>3225</v>
      </c>
      <c r="C1804" s="27" t="s">
        <v>5771</v>
      </c>
      <c r="D1804">
        <f>VLOOKUP(tblTargetMedicos[[#This Row],[codigo_id]],[1]DIM_REPRESENTANTE_MEDICO!$C:$F,4,0)</f>
        <v>12</v>
      </c>
      <c r="E1804">
        <f>VLOOKUP(tblTargetMedicos[[#This Row],[codigo_id]],[1]DIM_REPRESENTANTE_MEDICO!$C:$F,3,0)</f>
        <v>1</v>
      </c>
      <c r="F1804" s="27" t="s">
        <v>5796</v>
      </c>
      <c r="G1804" s="27" t="s">
        <v>5784</v>
      </c>
      <c r="H1804" s="27" t="s">
        <v>96</v>
      </c>
      <c r="I1804">
        <v>1</v>
      </c>
    </row>
    <row r="1805" spans="1:9">
      <c r="A1805" t="s">
        <v>2220</v>
      </c>
      <c r="B1805" s="27" t="s">
        <v>3225</v>
      </c>
      <c r="C1805" s="27" t="s">
        <v>5771</v>
      </c>
      <c r="D1805">
        <f>VLOOKUP(tblTargetMedicos[[#This Row],[codigo_id]],[1]DIM_REPRESENTANTE_MEDICO!$C:$F,4,0)</f>
        <v>12</v>
      </c>
      <c r="E1805">
        <f>VLOOKUP(tblTargetMedicos[[#This Row],[codigo_id]],[1]DIM_REPRESENTANTE_MEDICO!$C:$F,3,0)</f>
        <v>1</v>
      </c>
      <c r="F1805" s="27" t="s">
        <v>5796</v>
      </c>
      <c r="G1805" s="27" t="s">
        <v>5783</v>
      </c>
      <c r="H1805" s="27" t="s">
        <v>96</v>
      </c>
      <c r="I1805">
        <v>1</v>
      </c>
    </row>
    <row r="1806" spans="1:9">
      <c r="A1806" t="s">
        <v>2221</v>
      </c>
      <c r="B1806" s="27" t="s">
        <v>3225</v>
      </c>
      <c r="C1806" s="27" t="s">
        <v>5771</v>
      </c>
      <c r="D1806">
        <f>VLOOKUP(tblTargetMedicos[[#This Row],[codigo_id]],[1]DIM_REPRESENTANTE_MEDICO!$C:$F,4,0)</f>
        <v>12</v>
      </c>
      <c r="E1806">
        <f>VLOOKUP(tblTargetMedicos[[#This Row],[codigo_id]],[1]DIM_REPRESENTANTE_MEDICO!$C:$F,3,0)</f>
        <v>1</v>
      </c>
      <c r="F1806" s="27" t="s">
        <v>5796</v>
      </c>
      <c r="G1806" s="27" t="s">
        <v>5786</v>
      </c>
      <c r="H1806" s="27" t="s">
        <v>96</v>
      </c>
      <c r="I1806">
        <v>1</v>
      </c>
    </row>
    <row r="1807" spans="1:9">
      <c r="A1807" t="s">
        <v>2222</v>
      </c>
      <c r="B1807" s="27" t="s">
        <v>3225</v>
      </c>
      <c r="C1807" s="27" t="s">
        <v>5771</v>
      </c>
      <c r="D1807">
        <f>VLOOKUP(tblTargetMedicos[[#This Row],[codigo_id]],[1]DIM_REPRESENTANTE_MEDICO!$C:$F,4,0)</f>
        <v>12</v>
      </c>
      <c r="E1807">
        <f>VLOOKUP(tblTargetMedicos[[#This Row],[codigo_id]],[1]DIM_REPRESENTANTE_MEDICO!$C:$F,3,0)</f>
        <v>1</v>
      </c>
      <c r="F1807" s="27" t="s">
        <v>5796</v>
      </c>
      <c r="G1807" s="27" t="s">
        <v>5786</v>
      </c>
      <c r="H1807" s="27" t="s">
        <v>96</v>
      </c>
      <c r="I1807">
        <v>1</v>
      </c>
    </row>
    <row r="1808" spans="1:9">
      <c r="A1808" t="s">
        <v>2223</v>
      </c>
      <c r="B1808" s="27" t="s">
        <v>3227</v>
      </c>
      <c r="C1808" s="27" t="s">
        <v>5773</v>
      </c>
      <c r="D1808">
        <f>VLOOKUP(tblTargetMedicos[[#This Row],[codigo_id]],[1]DIM_REPRESENTANTE_MEDICO!$C:$F,4,0)</f>
        <v>4</v>
      </c>
      <c r="E1808">
        <f>VLOOKUP(tblTargetMedicos[[#This Row],[codigo_id]],[1]DIM_REPRESENTANTE_MEDICO!$C:$F,3,0)</f>
        <v>9</v>
      </c>
      <c r="F1808" s="27" t="s">
        <v>5796</v>
      </c>
      <c r="G1808" s="27" t="s">
        <v>5783</v>
      </c>
      <c r="H1808" s="27" t="s">
        <v>96</v>
      </c>
      <c r="I1808">
        <v>1</v>
      </c>
    </row>
    <row r="1809" spans="1:9">
      <c r="A1809" t="s">
        <v>2224</v>
      </c>
      <c r="B1809" s="27" t="s">
        <v>3227</v>
      </c>
      <c r="C1809" s="27" t="s">
        <v>5773</v>
      </c>
      <c r="D1809">
        <f>VLOOKUP(tblTargetMedicos[[#This Row],[codigo_id]],[1]DIM_REPRESENTANTE_MEDICO!$C:$F,4,0)</f>
        <v>4</v>
      </c>
      <c r="E1809">
        <f>VLOOKUP(tblTargetMedicos[[#This Row],[codigo_id]],[1]DIM_REPRESENTANTE_MEDICO!$C:$F,3,0)</f>
        <v>9</v>
      </c>
      <c r="F1809" s="27" t="s">
        <v>5796</v>
      </c>
      <c r="G1809" s="27" t="s">
        <v>5784</v>
      </c>
      <c r="H1809" s="27" t="s">
        <v>96</v>
      </c>
      <c r="I1809">
        <v>1</v>
      </c>
    </row>
    <row r="1810" spans="1:9">
      <c r="A1810" t="s">
        <v>2225</v>
      </c>
      <c r="B1810" s="27" t="s">
        <v>3227</v>
      </c>
      <c r="C1810" s="27" t="s">
        <v>5773</v>
      </c>
      <c r="D1810">
        <f>VLOOKUP(tblTargetMedicos[[#This Row],[codigo_id]],[1]DIM_REPRESENTANTE_MEDICO!$C:$F,4,0)</f>
        <v>4</v>
      </c>
      <c r="E1810">
        <f>VLOOKUP(tblTargetMedicos[[#This Row],[codigo_id]],[1]DIM_REPRESENTANTE_MEDICO!$C:$F,3,0)</f>
        <v>9</v>
      </c>
      <c r="F1810" s="27" t="s">
        <v>5796</v>
      </c>
      <c r="G1810" s="27" t="s">
        <v>5783</v>
      </c>
      <c r="H1810" s="27" t="s">
        <v>96</v>
      </c>
      <c r="I1810">
        <v>1</v>
      </c>
    </row>
    <row r="1811" spans="1:9">
      <c r="A1811" t="s">
        <v>2226</v>
      </c>
      <c r="B1811" s="27" t="s">
        <v>3227</v>
      </c>
      <c r="C1811" s="27" t="s">
        <v>5773</v>
      </c>
      <c r="D1811">
        <f>VLOOKUP(tblTargetMedicos[[#This Row],[codigo_id]],[1]DIM_REPRESENTANTE_MEDICO!$C:$F,4,0)</f>
        <v>4</v>
      </c>
      <c r="E1811">
        <f>VLOOKUP(tblTargetMedicos[[#This Row],[codigo_id]],[1]DIM_REPRESENTANTE_MEDICO!$C:$F,3,0)</f>
        <v>9</v>
      </c>
      <c r="F1811" s="27" t="s">
        <v>5796</v>
      </c>
      <c r="G1811" s="27" t="s">
        <v>5784</v>
      </c>
      <c r="H1811" s="27" t="s">
        <v>97</v>
      </c>
      <c r="I1811">
        <v>1</v>
      </c>
    </row>
    <row r="1812" spans="1:9">
      <c r="A1812" t="s">
        <v>2227</v>
      </c>
      <c r="B1812" s="27" t="s">
        <v>3228</v>
      </c>
      <c r="C1812" s="27" t="s">
        <v>5774</v>
      </c>
      <c r="D1812">
        <f>VLOOKUP(tblTargetMedicos[[#This Row],[codigo_id]],[1]DIM_REPRESENTANTE_MEDICO!$C:$F,4,0)</f>
        <v>4</v>
      </c>
      <c r="E1812">
        <f>VLOOKUP(tblTargetMedicos[[#This Row],[codigo_id]],[1]DIM_REPRESENTANTE_MEDICO!$C:$F,3,0)</f>
        <v>2</v>
      </c>
      <c r="F1812" s="27" t="s">
        <v>5796</v>
      </c>
      <c r="G1812" s="27" t="s">
        <v>5779</v>
      </c>
      <c r="H1812" s="27" t="s">
        <v>96</v>
      </c>
      <c r="I1812">
        <v>1</v>
      </c>
    </row>
    <row r="1813" spans="1:9">
      <c r="A1813" t="s">
        <v>2228</v>
      </c>
      <c r="B1813" s="27" t="s">
        <v>3228</v>
      </c>
      <c r="C1813" s="27" t="s">
        <v>5774</v>
      </c>
      <c r="D1813">
        <f>VLOOKUP(tblTargetMedicos[[#This Row],[codigo_id]],[1]DIM_REPRESENTANTE_MEDICO!$C:$F,4,0)</f>
        <v>4</v>
      </c>
      <c r="E1813">
        <f>VLOOKUP(tblTargetMedicos[[#This Row],[codigo_id]],[1]DIM_REPRESENTANTE_MEDICO!$C:$F,3,0)</f>
        <v>2</v>
      </c>
      <c r="F1813" s="27" t="s">
        <v>5796</v>
      </c>
      <c r="G1813" s="27" t="s">
        <v>5783</v>
      </c>
      <c r="H1813" s="27" t="s">
        <v>96</v>
      </c>
      <c r="I1813">
        <v>1</v>
      </c>
    </row>
    <row r="1814" spans="1:9">
      <c r="A1814" t="s">
        <v>2229</v>
      </c>
      <c r="B1814" s="27" t="s">
        <v>3228</v>
      </c>
      <c r="C1814" s="27" t="s">
        <v>5774</v>
      </c>
      <c r="D1814">
        <f>VLOOKUP(tblTargetMedicos[[#This Row],[codigo_id]],[1]DIM_REPRESENTANTE_MEDICO!$C:$F,4,0)</f>
        <v>4</v>
      </c>
      <c r="E1814">
        <f>VLOOKUP(tblTargetMedicos[[#This Row],[codigo_id]],[1]DIM_REPRESENTANTE_MEDICO!$C:$F,3,0)</f>
        <v>2</v>
      </c>
      <c r="F1814" s="27" t="s">
        <v>5796</v>
      </c>
      <c r="G1814" s="27" t="s">
        <v>5783</v>
      </c>
      <c r="H1814" s="27" t="s">
        <v>96</v>
      </c>
      <c r="I1814">
        <v>1</v>
      </c>
    </row>
    <row r="1815" spans="1:9">
      <c r="A1815" t="s">
        <v>2230</v>
      </c>
      <c r="B1815" s="27" t="s">
        <v>3228</v>
      </c>
      <c r="C1815" s="27" t="s">
        <v>5774</v>
      </c>
      <c r="D1815">
        <f>VLOOKUP(tblTargetMedicos[[#This Row],[codigo_id]],[1]DIM_REPRESENTANTE_MEDICO!$C:$F,4,0)</f>
        <v>4</v>
      </c>
      <c r="E1815">
        <f>VLOOKUP(tblTargetMedicos[[#This Row],[codigo_id]],[1]DIM_REPRESENTANTE_MEDICO!$C:$F,3,0)</f>
        <v>2</v>
      </c>
      <c r="F1815" s="27" t="s">
        <v>5796</v>
      </c>
      <c r="G1815" s="27" t="s">
        <v>5783</v>
      </c>
      <c r="H1815" s="27" t="s">
        <v>95</v>
      </c>
      <c r="I1815">
        <v>1</v>
      </c>
    </row>
    <row r="1816" spans="1:9">
      <c r="A1816" t="s">
        <v>2231</v>
      </c>
      <c r="B1816" s="27" t="s">
        <v>3228</v>
      </c>
      <c r="C1816" s="27" t="s">
        <v>5774</v>
      </c>
      <c r="D1816">
        <f>VLOOKUP(tblTargetMedicos[[#This Row],[codigo_id]],[1]DIM_REPRESENTANTE_MEDICO!$C:$F,4,0)</f>
        <v>4</v>
      </c>
      <c r="E1816">
        <f>VLOOKUP(tblTargetMedicos[[#This Row],[codigo_id]],[1]DIM_REPRESENTANTE_MEDICO!$C:$F,3,0)</f>
        <v>2</v>
      </c>
      <c r="F1816" s="27" t="s">
        <v>5796</v>
      </c>
      <c r="G1816" s="27" t="s">
        <v>5783</v>
      </c>
      <c r="H1816" s="27" t="s">
        <v>97</v>
      </c>
      <c r="I1816">
        <v>1</v>
      </c>
    </row>
    <row r="1817" spans="1:9">
      <c r="A1817" t="s">
        <v>2232</v>
      </c>
      <c r="B1817" s="27" t="s">
        <v>3228</v>
      </c>
      <c r="C1817" s="27" t="s">
        <v>5774</v>
      </c>
      <c r="D1817">
        <f>VLOOKUP(tblTargetMedicos[[#This Row],[codigo_id]],[1]DIM_REPRESENTANTE_MEDICO!$C:$F,4,0)</f>
        <v>4</v>
      </c>
      <c r="E1817">
        <f>VLOOKUP(tblTargetMedicos[[#This Row],[codigo_id]],[1]DIM_REPRESENTANTE_MEDICO!$C:$F,3,0)</f>
        <v>2</v>
      </c>
      <c r="F1817" s="27" t="s">
        <v>5796</v>
      </c>
      <c r="G1817" s="27" t="s">
        <v>5784</v>
      </c>
      <c r="H1817" s="27" t="s">
        <v>96</v>
      </c>
      <c r="I1817">
        <v>1</v>
      </c>
    </row>
    <row r="1818" spans="1:9">
      <c r="A1818" t="s">
        <v>2233</v>
      </c>
      <c r="B1818" s="27" t="s">
        <v>3228</v>
      </c>
      <c r="C1818" s="27" t="s">
        <v>5774</v>
      </c>
      <c r="D1818">
        <f>VLOOKUP(tblTargetMedicos[[#This Row],[codigo_id]],[1]DIM_REPRESENTANTE_MEDICO!$C:$F,4,0)</f>
        <v>4</v>
      </c>
      <c r="E1818">
        <f>VLOOKUP(tblTargetMedicos[[#This Row],[codigo_id]],[1]DIM_REPRESENTANTE_MEDICO!$C:$F,3,0)</f>
        <v>2</v>
      </c>
      <c r="F1818" s="27" t="s">
        <v>5796</v>
      </c>
      <c r="G1818" s="27" t="s">
        <v>5779</v>
      </c>
      <c r="H1818" s="27" t="s">
        <v>95</v>
      </c>
      <c r="I1818">
        <v>1</v>
      </c>
    </row>
    <row r="1819" spans="1:9">
      <c r="A1819" t="s">
        <v>2234</v>
      </c>
      <c r="B1819" s="27" t="s">
        <v>3228</v>
      </c>
      <c r="C1819" s="27" t="s">
        <v>5774</v>
      </c>
      <c r="D1819">
        <f>VLOOKUP(tblTargetMedicos[[#This Row],[codigo_id]],[1]DIM_REPRESENTANTE_MEDICO!$C:$F,4,0)</f>
        <v>4</v>
      </c>
      <c r="E1819">
        <f>VLOOKUP(tblTargetMedicos[[#This Row],[codigo_id]],[1]DIM_REPRESENTANTE_MEDICO!$C:$F,3,0)</f>
        <v>2</v>
      </c>
      <c r="F1819" s="27" t="s">
        <v>5796</v>
      </c>
      <c r="G1819" s="27" t="s">
        <v>5784</v>
      </c>
      <c r="H1819" s="27" t="s">
        <v>95</v>
      </c>
      <c r="I1819">
        <v>1</v>
      </c>
    </row>
    <row r="1820" spans="1:9">
      <c r="A1820" t="s">
        <v>2235</v>
      </c>
      <c r="B1820" s="27" t="s">
        <v>3228</v>
      </c>
      <c r="C1820" s="27" t="s">
        <v>5774</v>
      </c>
      <c r="D1820">
        <f>VLOOKUP(tblTargetMedicos[[#This Row],[codigo_id]],[1]DIM_REPRESENTANTE_MEDICO!$C:$F,4,0)</f>
        <v>4</v>
      </c>
      <c r="E1820">
        <f>VLOOKUP(tblTargetMedicos[[#This Row],[codigo_id]],[1]DIM_REPRESENTANTE_MEDICO!$C:$F,3,0)</f>
        <v>2</v>
      </c>
      <c r="F1820" s="27" t="s">
        <v>5796</v>
      </c>
      <c r="G1820" s="27" t="s">
        <v>5779</v>
      </c>
      <c r="H1820" s="27" t="s">
        <v>97</v>
      </c>
      <c r="I1820">
        <v>1</v>
      </c>
    </row>
    <row r="1821" spans="1:9">
      <c r="A1821" t="s">
        <v>2236</v>
      </c>
      <c r="B1821" s="27" t="s">
        <v>3228</v>
      </c>
      <c r="C1821" s="27" t="s">
        <v>5774</v>
      </c>
      <c r="D1821">
        <f>VLOOKUP(tblTargetMedicos[[#This Row],[codigo_id]],[1]DIM_REPRESENTANTE_MEDICO!$C:$F,4,0)</f>
        <v>4</v>
      </c>
      <c r="E1821">
        <f>VLOOKUP(tblTargetMedicos[[#This Row],[codigo_id]],[1]DIM_REPRESENTANTE_MEDICO!$C:$F,3,0)</f>
        <v>2</v>
      </c>
      <c r="F1821" s="27" t="s">
        <v>5796</v>
      </c>
      <c r="G1821" s="27" t="s">
        <v>5783</v>
      </c>
      <c r="H1821" s="27" t="s">
        <v>97</v>
      </c>
      <c r="I1821">
        <v>1</v>
      </c>
    </row>
    <row r="1822" spans="1:9">
      <c r="A1822" t="s">
        <v>2237</v>
      </c>
      <c r="B1822" s="27" t="s">
        <v>3228</v>
      </c>
      <c r="C1822" s="27" t="s">
        <v>5774</v>
      </c>
      <c r="D1822">
        <f>VLOOKUP(tblTargetMedicos[[#This Row],[codigo_id]],[1]DIM_REPRESENTANTE_MEDICO!$C:$F,4,0)</f>
        <v>4</v>
      </c>
      <c r="E1822">
        <f>VLOOKUP(tblTargetMedicos[[#This Row],[codigo_id]],[1]DIM_REPRESENTANTE_MEDICO!$C:$F,3,0)</f>
        <v>2</v>
      </c>
      <c r="F1822" s="27" t="s">
        <v>5796</v>
      </c>
      <c r="G1822" s="27" t="s">
        <v>5786</v>
      </c>
      <c r="H1822" s="27" t="s">
        <v>96</v>
      </c>
      <c r="I1822">
        <v>1</v>
      </c>
    </row>
    <row r="1823" spans="1:9">
      <c r="A1823" t="s">
        <v>2238</v>
      </c>
      <c r="B1823" s="27" t="s">
        <v>3228</v>
      </c>
      <c r="C1823" s="27" t="s">
        <v>5774</v>
      </c>
      <c r="D1823">
        <f>VLOOKUP(tblTargetMedicos[[#This Row],[codigo_id]],[1]DIM_REPRESENTANTE_MEDICO!$C:$F,4,0)</f>
        <v>4</v>
      </c>
      <c r="E1823">
        <f>VLOOKUP(tblTargetMedicos[[#This Row],[codigo_id]],[1]DIM_REPRESENTANTE_MEDICO!$C:$F,3,0)</f>
        <v>2</v>
      </c>
      <c r="F1823" s="27" t="s">
        <v>5796</v>
      </c>
      <c r="G1823" s="27" t="s">
        <v>5784</v>
      </c>
      <c r="H1823" s="27" t="s">
        <v>96</v>
      </c>
      <c r="I1823">
        <v>1</v>
      </c>
    </row>
    <row r="1824" spans="1:9">
      <c r="A1824" t="s">
        <v>2239</v>
      </c>
      <c r="B1824" s="27" t="s">
        <v>3228</v>
      </c>
      <c r="C1824" s="27" t="s">
        <v>5774</v>
      </c>
      <c r="D1824">
        <f>VLOOKUP(tblTargetMedicos[[#This Row],[codigo_id]],[1]DIM_REPRESENTANTE_MEDICO!$C:$F,4,0)</f>
        <v>4</v>
      </c>
      <c r="E1824">
        <f>VLOOKUP(tblTargetMedicos[[#This Row],[codigo_id]],[1]DIM_REPRESENTANTE_MEDICO!$C:$F,3,0)</f>
        <v>2</v>
      </c>
      <c r="F1824" s="27" t="s">
        <v>5796</v>
      </c>
      <c r="G1824" s="27" t="s">
        <v>5783</v>
      </c>
      <c r="H1824" s="27" t="s">
        <v>97</v>
      </c>
      <c r="I1824">
        <v>1</v>
      </c>
    </row>
    <row r="1825" spans="1:9">
      <c r="A1825" t="s">
        <v>2240</v>
      </c>
      <c r="B1825" s="27" t="s">
        <v>3228</v>
      </c>
      <c r="C1825" s="27" t="s">
        <v>5774</v>
      </c>
      <c r="D1825">
        <f>VLOOKUP(tblTargetMedicos[[#This Row],[codigo_id]],[1]DIM_REPRESENTANTE_MEDICO!$C:$F,4,0)</f>
        <v>4</v>
      </c>
      <c r="E1825">
        <f>VLOOKUP(tblTargetMedicos[[#This Row],[codigo_id]],[1]DIM_REPRESENTANTE_MEDICO!$C:$F,3,0)</f>
        <v>2</v>
      </c>
      <c r="F1825" s="27" t="s">
        <v>5796</v>
      </c>
      <c r="G1825" s="27" t="s">
        <v>5783</v>
      </c>
      <c r="H1825" s="27" t="s">
        <v>96</v>
      </c>
      <c r="I1825">
        <v>1</v>
      </c>
    </row>
    <row r="1826" spans="1:9">
      <c r="A1826" t="s">
        <v>2241</v>
      </c>
      <c r="B1826" s="27" t="s">
        <v>3228</v>
      </c>
      <c r="C1826" s="27" t="s">
        <v>5774</v>
      </c>
      <c r="D1826">
        <f>VLOOKUP(tblTargetMedicos[[#This Row],[codigo_id]],[1]DIM_REPRESENTANTE_MEDICO!$C:$F,4,0)</f>
        <v>4</v>
      </c>
      <c r="E1826">
        <f>VLOOKUP(tblTargetMedicos[[#This Row],[codigo_id]],[1]DIM_REPRESENTANTE_MEDICO!$C:$F,3,0)</f>
        <v>2</v>
      </c>
      <c r="F1826" s="27" t="s">
        <v>5796</v>
      </c>
      <c r="G1826" s="27" t="s">
        <v>5783</v>
      </c>
      <c r="H1826" s="27" t="s">
        <v>95</v>
      </c>
      <c r="I1826">
        <v>1</v>
      </c>
    </row>
    <row r="1827" spans="1:9">
      <c r="A1827" t="s">
        <v>2242</v>
      </c>
      <c r="B1827" s="27" t="s">
        <v>3228</v>
      </c>
      <c r="C1827" s="27" t="s">
        <v>5774</v>
      </c>
      <c r="D1827">
        <f>VLOOKUP(tblTargetMedicos[[#This Row],[codigo_id]],[1]DIM_REPRESENTANTE_MEDICO!$C:$F,4,0)</f>
        <v>4</v>
      </c>
      <c r="E1827">
        <f>VLOOKUP(tblTargetMedicos[[#This Row],[codigo_id]],[1]DIM_REPRESENTANTE_MEDICO!$C:$F,3,0)</f>
        <v>2</v>
      </c>
      <c r="F1827" s="27" t="s">
        <v>5796</v>
      </c>
      <c r="G1827" s="27" t="s">
        <v>5784</v>
      </c>
      <c r="H1827" s="27" t="s">
        <v>96</v>
      </c>
      <c r="I1827">
        <v>1</v>
      </c>
    </row>
    <row r="1828" spans="1:9">
      <c r="A1828" t="s">
        <v>2243</v>
      </c>
      <c r="B1828" s="27" t="s">
        <v>3228</v>
      </c>
      <c r="C1828" s="27" t="s">
        <v>5774</v>
      </c>
      <c r="D1828">
        <f>VLOOKUP(tblTargetMedicos[[#This Row],[codigo_id]],[1]DIM_REPRESENTANTE_MEDICO!$C:$F,4,0)</f>
        <v>4</v>
      </c>
      <c r="E1828">
        <f>VLOOKUP(tblTargetMedicos[[#This Row],[codigo_id]],[1]DIM_REPRESENTANTE_MEDICO!$C:$F,3,0)</f>
        <v>2</v>
      </c>
      <c r="F1828" s="27" t="s">
        <v>5796</v>
      </c>
      <c r="G1828" s="27" t="s">
        <v>5784</v>
      </c>
      <c r="H1828" s="27" t="s">
        <v>96</v>
      </c>
      <c r="I1828">
        <v>1</v>
      </c>
    </row>
    <row r="1829" spans="1:9">
      <c r="A1829" t="s">
        <v>2244</v>
      </c>
      <c r="B1829" s="27" t="s">
        <v>3228</v>
      </c>
      <c r="C1829" s="27" t="s">
        <v>5774</v>
      </c>
      <c r="D1829">
        <f>VLOOKUP(tblTargetMedicos[[#This Row],[codigo_id]],[1]DIM_REPRESENTANTE_MEDICO!$C:$F,4,0)</f>
        <v>4</v>
      </c>
      <c r="E1829">
        <f>VLOOKUP(tblTargetMedicos[[#This Row],[codigo_id]],[1]DIM_REPRESENTANTE_MEDICO!$C:$F,3,0)</f>
        <v>2</v>
      </c>
      <c r="F1829" s="27" t="s">
        <v>5796</v>
      </c>
      <c r="G1829" s="27" t="s">
        <v>5784</v>
      </c>
      <c r="H1829" s="27" t="s">
        <v>97</v>
      </c>
      <c r="I1829">
        <v>1</v>
      </c>
    </row>
    <row r="1830" spans="1:9">
      <c r="A1830" t="s">
        <v>2245</v>
      </c>
      <c r="B1830" s="27" t="s">
        <v>3228</v>
      </c>
      <c r="C1830" s="27" t="s">
        <v>5774</v>
      </c>
      <c r="D1830">
        <f>VLOOKUP(tblTargetMedicos[[#This Row],[codigo_id]],[1]DIM_REPRESENTANTE_MEDICO!$C:$F,4,0)</f>
        <v>4</v>
      </c>
      <c r="E1830">
        <f>VLOOKUP(tblTargetMedicos[[#This Row],[codigo_id]],[1]DIM_REPRESENTANTE_MEDICO!$C:$F,3,0)</f>
        <v>2</v>
      </c>
      <c r="F1830" s="27" t="s">
        <v>5796</v>
      </c>
      <c r="G1830" s="27" t="s">
        <v>5786</v>
      </c>
      <c r="H1830" s="27" t="s">
        <v>95</v>
      </c>
      <c r="I1830">
        <v>1</v>
      </c>
    </row>
    <row r="1831" spans="1:9">
      <c r="A1831" t="s">
        <v>2246</v>
      </c>
      <c r="B1831" s="27" t="s">
        <v>3228</v>
      </c>
      <c r="C1831" s="27" t="s">
        <v>5774</v>
      </c>
      <c r="D1831">
        <f>VLOOKUP(tblTargetMedicos[[#This Row],[codigo_id]],[1]DIM_REPRESENTANTE_MEDICO!$C:$F,4,0)</f>
        <v>4</v>
      </c>
      <c r="E1831">
        <f>VLOOKUP(tblTargetMedicos[[#This Row],[codigo_id]],[1]DIM_REPRESENTANTE_MEDICO!$C:$F,3,0)</f>
        <v>2</v>
      </c>
      <c r="F1831" s="27" t="s">
        <v>5796</v>
      </c>
      <c r="G1831" s="27" t="s">
        <v>5783</v>
      </c>
      <c r="H1831" s="27" t="s">
        <v>96</v>
      </c>
      <c r="I1831">
        <v>1</v>
      </c>
    </row>
    <row r="1832" spans="1:9">
      <c r="A1832" t="s">
        <v>2247</v>
      </c>
      <c r="B1832" s="27" t="s">
        <v>3228</v>
      </c>
      <c r="C1832" s="27" t="s">
        <v>5774</v>
      </c>
      <c r="D1832">
        <f>VLOOKUP(tblTargetMedicos[[#This Row],[codigo_id]],[1]DIM_REPRESENTANTE_MEDICO!$C:$F,4,0)</f>
        <v>4</v>
      </c>
      <c r="E1832">
        <f>VLOOKUP(tblTargetMedicos[[#This Row],[codigo_id]],[1]DIM_REPRESENTANTE_MEDICO!$C:$F,3,0)</f>
        <v>2</v>
      </c>
      <c r="F1832" s="27" t="s">
        <v>5796</v>
      </c>
      <c r="G1832" s="27" t="s">
        <v>5784</v>
      </c>
      <c r="H1832" s="27" t="s">
        <v>97</v>
      </c>
      <c r="I1832">
        <v>1</v>
      </c>
    </row>
    <row r="1833" spans="1:9">
      <c r="A1833" t="s">
        <v>2248</v>
      </c>
      <c r="B1833" s="27" t="s">
        <v>3228</v>
      </c>
      <c r="C1833" s="27" t="s">
        <v>5774</v>
      </c>
      <c r="D1833">
        <f>VLOOKUP(tblTargetMedicos[[#This Row],[codigo_id]],[1]DIM_REPRESENTANTE_MEDICO!$C:$F,4,0)</f>
        <v>4</v>
      </c>
      <c r="E1833">
        <f>VLOOKUP(tblTargetMedicos[[#This Row],[codigo_id]],[1]DIM_REPRESENTANTE_MEDICO!$C:$F,3,0)</f>
        <v>2</v>
      </c>
      <c r="F1833" s="27" t="s">
        <v>5796</v>
      </c>
      <c r="G1833" s="27" t="s">
        <v>5786</v>
      </c>
      <c r="H1833" s="27" t="s">
        <v>95</v>
      </c>
      <c r="I1833">
        <v>1</v>
      </c>
    </row>
    <row r="1834" spans="1:9">
      <c r="A1834" t="s">
        <v>2249</v>
      </c>
      <c r="B1834" s="27" t="s">
        <v>3228</v>
      </c>
      <c r="C1834" s="27" t="s">
        <v>5774</v>
      </c>
      <c r="D1834">
        <f>VLOOKUP(tblTargetMedicos[[#This Row],[codigo_id]],[1]DIM_REPRESENTANTE_MEDICO!$C:$F,4,0)</f>
        <v>4</v>
      </c>
      <c r="E1834">
        <f>VLOOKUP(tblTargetMedicos[[#This Row],[codigo_id]],[1]DIM_REPRESENTANTE_MEDICO!$C:$F,3,0)</f>
        <v>2</v>
      </c>
      <c r="F1834" s="27" t="s">
        <v>5796</v>
      </c>
      <c r="G1834" s="27" t="s">
        <v>5783</v>
      </c>
      <c r="H1834" s="27" t="s">
        <v>97</v>
      </c>
      <c r="I1834">
        <v>1</v>
      </c>
    </row>
    <row r="1835" spans="1:9">
      <c r="A1835" t="s">
        <v>2250</v>
      </c>
      <c r="B1835" s="27" t="s">
        <v>3228</v>
      </c>
      <c r="C1835" s="27" t="s">
        <v>5774</v>
      </c>
      <c r="D1835">
        <f>VLOOKUP(tblTargetMedicos[[#This Row],[codigo_id]],[1]DIM_REPRESENTANTE_MEDICO!$C:$F,4,0)</f>
        <v>4</v>
      </c>
      <c r="E1835">
        <f>VLOOKUP(tblTargetMedicos[[#This Row],[codigo_id]],[1]DIM_REPRESENTANTE_MEDICO!$C:$F,3,0)</f>
        <v>2</v>
      </c>
      <c r="F1835" s="27" t="s">
        <v>5796</v>
      </c>
      <c r="G1835" s="27" t="s">
        <v>5786</v>
      </c>
      <c r="H1835" s="27" t="s">
        <v>95</v>
      </c>
      <c r="I1835">
        <v>1</v>
      </c>
    </row>
    <row r="1836" spans="1:9">
      <c r="A1836" t="s">
        <v>2251</v>
      </c>
      <c r="B1836" s="27" t="s">
        <v>3228</v>
      </c>
      <c r="C1836" s="27" t="s">
        <v>5774</v>
      </c>
      <c r="D1836">
        <f>VLOOKUP(tblTargetMedicos[[#This Row],[codigo_id]],[1]DIM_REPRESENTANTE_MEDICO!$C:$F,4,0)</f>
        <v>4</v>
      </c>
      <c r="E1836">
        <f>VLOOKUP(tblTargetMedicos[[#This Row],[codigo_id]],[1]DIM_REPRESENTANTE_MEDICO!$C:$F,3,0)</f>
        <v>2</v>
      </c>
      <c r="F1836" s="27" t="s">
        <v>5796</v>
      </c>
      <c r="G1836" s="27" t="s">
        <v>5783</v>
      </c>
      <c r="H1836" s="27" t="s">
        <v>96</v>
      </c>
      <c r="I1836">
        <v>1</v>
      </c>
    </row>
    <row r="1837" spans="1:9">
      <c r="A1837" t="s">
        <v>2252</v>
      </c>
      <c r="B1837" s="27" t="s">
        <v>3228</v>
      </c>
      <c r="C1837" s="27" t="s">
        <v>5774</v>
      </c>
      <c r="D1837">
        <f>VLOOKUP(tblTargetMedicos[[#This Row],[codigo_id]],[1]DIM_REPRESENTANTE_MEDICO!$C:$F,4,0)</f>
        <v>4</v>
      </c>
      <c r="E1837">
        <f>VLOOKUP(tblTargetMedicos[[#This Row],[codigo_id]],[1]DIM_REPRESENTANTE_MEDICO!$C:$F,3,0)</f>
        <v>2</v>
      </c>
      <c r="F1837" s="27" t="s">
        <v>5796</v>
      </c>
      <c r="G1837" s="27" t="s">
        <v>5786</v>
      </c>
      <c r="H1837" s="27" t="s">
        <v>96</v>
      </c>
      <c r="I1837">
        <v>1</v>
      </c>
    </row>
    <row r="1838" spans="1:9">
      <c r="A1838" t="s">
        <v>2253</v>
      </c>
      <c r="B1838" s="27" t="s">
        <v>3228</v>
      </c>
      <c r="C1838" s="27" t="s">
        <v>5774</v>
      </c>
      <c r="D1838">
        <f>VLOOKUP(tblTargetMedicos[[#This Row],[codigo_id]],[1]DIM_REPRESENTANTE_MEDICO!$C:$F,4,0)</f>
        <v>4</v>
      </c>
      <c r="E1838">
        <f>VLOOKUP(tblTargetMedicos[[#This Row],[codigo_id]],[1]DIM_REPRESENTANTE_MEDICO!$C:$F,3,0)</f>
        <v>2</v>
      </c>
      <c r="F1838" s="27" t="s">
        <v>5796</v>
      </c>
      <c r="G1838" s="27" t="s">
        <v>5784</v>
      </c>
      <c r="H1838" s="27" t="s">
        <v>95</v>
      </c>
      <c r="I1838">
        <v>1</v>
      </c>
    </row>
    <row r="1839" spans="1:9">
      <c r="A1839" t="s">
        <v>2254</v>
      </c>
      <c r="B1839" s="27" t="s">
        <v>3228</v>
      </c>
      <c r="C1839" s="27" t="s">
        <v>5774</v>
      </c>
      <c r="D1839">
        <f>VLOOKUP(tblTargetMedicos[[#This Row],[codigo_id]],[1]DIM_REPRESENTANTE_MEDICO!$C:$F,4,0)</f>
        <v>4</v>
      </c>
      <c r="E1839">
        <f>VLOOKUP(tblTargetMedicos[[#This Row],[codigo_id]],[1]DIM_REPRESENTANTE_MEDICO!$C:$F,3,0)</f>
        <v>2</v>
      </c>
      <c r="F1839" s="27" t="s">
        <v>5796</v>
      </c>
      <c r="G1839" s="27" t="s">
        <v>5784</v>
      </c>
      <c r="H1839" s="27" t="s">
        <v>96</v>
      </c>
      <c r="I1839">
        <v>1</v>
      </c>
    </row>
    <row r="1840" spans="1:9">
      <c r="A1840" t="s">
        <v>2255</v>
      </c>
      <c r="B1840" s="27" t="s">
        <v>3228</v>
      </c>
      <c r="C1840" s="27" t="s">
        <v>5774</v>
      </c>
      <c r="D1840">
        <f>VLOOKUP(tblTargetMedicos[[#This Row],[codigo_id]],[1]DIM_REPRESENTANTE_MEDICO!$C:$F,4,0)</f>
        <v>4</v>
      </c>
      <c r="E1840">
        <f>VLOOKUP(tblTargetMedicos[[#This Row],[codigo_id]],[1]DIM_REPRESENTANTE_MEDICO!$C:$F,3,0)</f>
        <v>2</v>
      </c>
      <c r="F1840" s="27" t="s">
        <v>5796</v>
      </c>
      <c r="G1840" s="27" t="s">
        <v>5783</v>
      </c>
      <c r="H1840" s="27" t="s">
        <v>96</v>
      </c>
      <c r="I1840">
        <v>1</v>
      </c>
    </row>
    <row r="1841" spans="1:9">
      <c r="A1841" t="s">
        <v>2256</v>
      </c>
      <c r="B1841" s="27" t="s">
        <v>3228</v>
      </c>
      <c r="C1841" s="27" t="s">
        <v>5774</v>
      </c>
      <c r="D1841">
        <f>VLOOKUP(tblTargetMedicos[[#This Row],[codigo_id]],[1]DIM_REPRESENTANTE_MEDICO!$C:$F,4,0)</f>
        <v>4</v>
      </c>
      <c r="E1841">
        <f>VLOOKUP(tblTargetMedicos[[#This Row],[codigo_id]],[1]DIM_REPRESENTANTE_MEDICO!$C:$F,3,0)</f>
        <v>2</v>
      </c>
      <c r="F1841" s="27" t="s">
        <v>5796</v>
      </c>
      <c r="G1841" s="27" t="s">
        <v>5784</v>
      </c>
      <c r="H1841" s="27" t="s">
        <v>95</v>
      </c>
      <c r="I1841">
        <v>1</v>
      </c>
    </row>
    <row r="1842" spans="1:9">
      <c r="A1842" t="s">
        <v>2257</v>
      </c>
      <c r="B1842" s="27" t="s">
        <v>3228</v>
      </c>
      <c r="C1842" s="27" t="s">
        <v>5774</v>
      </c>
      <c r="D1842">
        <f>VLOOKUP(tblTargetMedicos[[#This Row],[codigo_id]],[1]DIM_REPRESENTANTE_MEDICO!$C:$F,4,0)</f>
        <v>4</v>
      </c>
      <c r="E1842">
        <f>VLOOKUP(tblTargetMedicos[[#This Row],[codigo_id]],[1]DIM_REPRESENTANTE_MEDICO!$C:$F,3,0)</f>
        <v>2</v>
      </c>
      <c r="F1842" s="27" t="s">
        <v>5796</v>
      </c>
      <c r="G1842" s="27" t="s">
        <v>5784</v>
      </c>
      <c r="H1842" s="27" t="s">
        <v>95</v>
      </c>
      <c r="I1842">
        <v>1</v>
      </c>
    </row>
    <row r="1843" spans="1:9">
      <c r="A1843" t="s">
        <v>2258</v>
      </c>
      <c r="B1843" s="27" t="s">
        <v>3228</v>
      </c>
      <c r="C1843" s="27" t="s">
        <v>5774</v>
      </c>
      <c r="D1843">
        <f>VLOOKUP(tblTargetMedicos[[#This Row],[codigo_id]],[1]DIM_REPRESENTANTE_MEDICO!$C:$F,4,0)</f>
        <v>4</v>
      </c>
      <c r="E1843">
        <f>VLOOKUP(tblTargetMedicos[[#This Row],[codigo_id]],[1]DIM_REPRESENTANTE_MEDICO!$C:$F,3,0)</f>
        <v>2</v>
      </c>
      <c r="F1843" s="27" t="s">
        <v>5796</v>
      </c>
      <c r="G1843" s="27" t="s">
        <v>5784</v>
      </c>
      <c r="H1843" s="27" t="s">
        <v>95</v>
      </c>
      <c r="I1843">
        <v>1</v>
      </c>
    </row>
    <row r="1844" spans="1:9">
      <c r="A1844" t="s">
        <v>2259</v>
      </c>
      <c r="B1844" s="27" t="s">
        <v>3228</v>
      </c>
      <c r="C1844" s="27" t="s">
        <v>5774</v>
      </c>
      <c r="D1844">
        <f>VLOOKUP(tblTargetMedicos[[#This Row],[codigo_id]],[1]DIM_REPRESENTANTE_MEDICO!$C:$F,4,0)</f>
        <v>4</v>
      </c>
      <c r="E1844">
        <f>VLOOKUP(tblTargetMedicos[[#This Row],[codigo_id]],[1]DIM_REPRESENTANTE_MEDICO!$C:$F,3,0)</f>
        <v>2</v>
      </c>
      <c r="F1844" s="27" t="s">
        <v>5796</v>
      </c>
      <c r="G1844" s="27" t="s">
        <v>5784</v>
      </c>
      <c r="H1844" s="27" t="s">
        <v>97</v>
      </c>
      <c r="I1844">
        <v>1</v>
      </c>
    </row>
    <row r="1845" spans="1:9">
      <c r="A1845" t="s">
        <v>2260</v>
      </c>
      <c r="B1845" s="27" t="s">
        <v>3228</v>
      </c>
      <c r="C1845" s="27" t="s">
        <v>5774</v>
      </c>
      <c r="D1845">
        <f>VLOOKUP(tblTargetMedicos[[#This Row],[codigo_id]],[1]DIM_REPRESENTANTE_MEDICO!$C:$F,4,0)</f>
        <v>4</v>
      </c>
      <c r="E1845">
        <f>VLOOKUP(tblTargetMedicos[[#This Row],[codigo_id]],[1]DIM_REPRESENTANTE_MEDICO!$C:$F,3,0)</f>
        <v>2</v>
      </c>
      <c r="F1845" s="27" t="s">
        <v>5796</v>
      </c>
      <c r="G1845" s="27" t="s">
        <v>5783</v>
      </c>
      <c r="H1845" s="27" t="s">
        <v>95</v>
      </c>
      <c r="I1845">
        <v>1</v>
      </c>
    </row>
    <row r="1846" spans="1:9">
      <c r="A1846" t="s">
        <v>2261</v>
      </c>
      <c r="B1846" s="27" t="s">
        <v>3228</v>
      </c>
      <c r="C1846" s="27" t="s">
        <v>5774</v>
      </c>
      <c r="D1846">
        <f>VLOOKUP(tblTargetMedicos[[#This Row],[codigo_id]],[1]DIM_REPRESENTANTE_MEDICO!$C:$F,4,0)</f>
        <v>4</v>
      </c>
      <c r="E1846">
        <f>VLOOKUP(tblTargetMedicos[[#This Row],[codigo_id]],[1]DIM_REPRESENTANTE_MEDICO!$C:$F,3,0)</f>
        <v>2</v>
      </c>
      <c r="F1846" s="27" t="s">
        <v>5796</v>
      </c>
      <c r="G1846" s="27" t="s">
        <v>5783</v>
      </c>
      <c r="H1846" s="27" t="s">
        <v>96</v>
      </c>
      <c r="I1846">
        <v>1</v>
      </c>
    </row>
    <row r="1847" spans="1:9">
      <c r="A1847" t="s">
        <v>2262</v>
      </c>
      <c r="B1847" s="27" t="s">
        <v>3228</v>
      </c>
      <c r="C1847" s="27" t="s">
        <v>5774</v>
      </c>
      <c r="D1847">
        <f>VLOOKUP(tblTargetMedicos[[#This Row],[codigo_id]],[1]DIM_REPRESENTANTE_MEDICO!$C:$F,4,0)</f>
        <v>4</v>
      </c>
      <c r="E1847">
        <f>VLOOKUP(tblTargetMedicos[[#This Row],[codigo_id]],[1]DIM_REPRESENTANTE_MEDICO!$C:$F,3,0)</f>
        <v>2</v>
      </c>
      <c r="F1847" s="27" t="s">
        <v>5796</v>
      </c>
      <c r="G1847" s="27" t="s">
        <v>5782</v>
      </c>
      <c r="H1847" s="27" t="s">
        <v>97</v>
      </c>
      <c r="I1847">
        <v>1</v>
      </c>
    </row>
    <row r="1848" spans="1:9">
      <c r="A1848" t="s">
        <v>2263</v>
      </c>
      <c r="B1848" s="27" t="s">
        <v>3228</v>
      </c>
      <c r="C1848" s="27" t="s">
        <v>5774</v>
      </c>
      <c r="D1848">
        <f>VLOOKUP(tblTargetMedicos[[#This Row],[codigo_id]],[1]DIM_REPRESENTANTE_MEDICO!$C:$F,4,0)</f>
        <v>4</v>
      </c>
      <c r="E1848">
        <f>VLOOKUP(tblTargetMedicos[[#This Row],[codigo_id]],[1]DIM_REPRESENTANTE_MEDICO!$C:$F,3,0)</f>
        <v>2</v>
      </c>
      <c r="F1848" s="27" t="s">
        <v>5796</v>
      </c>
      <c r="G1848" s="27" t="s">
        <v>5784</v>
      </c>
      <c r="H1848" s="27" t="s">
        <v>96</v>
      </c>
      <c r="I1848">
        <v>1</v>
      </c>
    </row>
    <row r="1849" spans="1:9">
      <c r="A1849" t="s">
        <v>2264</v>
      </c>
      <c r="B1849" s="27" t="s">
        <v>3228</v>
      </c>
      <c r="C1849" s="27" t="s">
        <v>5774</v>
      </c>
      <c r="D1849">
        <f>VLOOKUP(tblTargetMedicos[[#This Row],[codigo_id]],[1]DIM_REPRESENTANTE_MEDICO!$C:$F,4,0)</f>
        <v>4</v>
      </c>
      <c r="E1849">
        <f>VLOOKUP(tblTargetMedicos[[#This Row],[codigo_id]],[1]DIM_REPRESENTANTE_MEDICO!$C:$F,3,0)</f>
        <v>2</v>
      </c>
      <c r="F1849" s="27" t="s">
        <v>5796</v>
      </c>
      <c r="G1849" s="27" t="s">
        <v>5783</v>
      </c>
      <c r="H1849" s="27" t="s">
        <v>96</v>
      </c>
      <c r="I1849">
        <v>1</v>
      </c>
    </row>
    <row r="1850" spans="1:9">
      <c r="A1850" t="s">
        <v>2265</v>
      </c>
      <c r="B1850" s="27" t="s">
        <v>3228</v>
      </c>
      <c r="C1850" s="27" t="s">
        <v>5774</v>
      </c>
      <c r="D1850">
        <f>VLOOKUP(tblTargetMedicos[[#This Row],[codigo_id]],[1]DIM_REPRESENTANTE_MEDICO!$C:$F,4,0)</f>
        <v>4</v>
      </c>
      <c r="E1850">
        <f>VLOOKUP(tblTargetMedicos[[#This Row],[codigo_id]],[1]DIM_REPRESENTANTE_MEDICO!$C:$F,3,0)</f>
        <v>2</v>
      </c>
      <c r="F1850" s="27" t="s">
        <v>5796</v>
      </c>
      <c r="G1850" s="27" t="s">
        <v>5783</v>
      </c>
      <c r="H1850" s="27" t="s">
        <v>96</v>
      </c>
      <c r="I1850">
        <v>1</v>
      </c>
    </row>
    <row r="1851" spans="1:9">
      <c r="A1851" t="s">
        <v>2266</v>
      </c>
      <c r="B1851" s="27" t="s">
        <v>3228</v>
      </c>
      <c r="C1851" s="27" t="s">
        <v>5774</v>
      </c>
      <c r="D1851">
        <f>VLOOKUP(tblTargetMedicos[[#This Row],[codigo_id]],[1]DIM_REPRESENTANTE_MEDICO!$C:$F,4,0)</f>
        <v>4</v>
      </c>
      <c r="E1851">
        <f>VLOOKUP(tblTargetMedicos[[#This Row],[codigo_id]],[1]DIM_REPRESENTANTE_MEDICO!$C:$F,3,0)</f>
        <v>2</v>
      </c>
      <c r="F1851" s="27" t="s">
        <v>5796</v>
      </c>
      <c r="G1851" s="27" t="s">
        <v>5779</v>
      </c>
      <c r="H1851" s="27" t="s">
        <v>96</v>
      </c>
      <c r="I1851">
        <v>1</v>
      </c>
    </row>
    <row r="1852" spans="1:9">
      <c r="A1852" t="s">
        <v>2267</v>
      </c>
      <c r="B1852" s="27" t="s">
        <v>3228</v>
      </c>
      <c r="C1852" s="27" t="s">
        <v>5774</v>
      </c>
      <c r="D1852">
        <f>VLOOKUP(tblTargetMedicos[[#This Row],[codigo_id]],[1]DIM_REPRESENTANTE_MEDICO!$C:$F,4,0)</f>
        <v>4</v>
      </c>
      <c r="E1852">
        <f>VLOOKUP(tblTargetMedicos[[#This Row],[codigo_id]],[1]DIM_REPRESENTANTE_MEDICO!$C:$F,3,0)</f>
        <v>2</v>
      </c>
      <c r="F1852" s="27" t="s">
        <v>5796</v>
      </c>
      <c r="G1852" s="27" t="s">
        <v>5787</v>
      </c>
      <c r="H1852" s="27" t="s">
        <v>96</v>
      </c>
      <c r="I1852">
        <v>1</v>
      </c>
    </row>
    <row r="1853" spans="1:9">
      <c r="A1853" t="s">
        <v>2268</v>
      </c>
      <c r="B1853" s="27" t="s">
        <v>3228</v>
      </c>
      <c r="C1853" s="27" t="s">
        <v>5774</v>
      </c>
      <c r="D1853">
        <f>VLOOKUP(tblTargetMedicos[[#This Row],[codigo_id]],[1]DIM_REPRESENTANTE_MEDICO!$C:$F,4,0)</f>
        <v>4</v>
      </c>
      <c r="E1853">
        <f>VLOOKUP(tblTargetMedicos[[#This Row],[codigo_id]],[1]DIM_REPRESENTANTE_MEDICO!$C:$F,3,0)</f>
        <v>2</v>
      </c>
      <c r="F1853" s="27" t="s">
        <v>5796</v>
      </c>
      <c r="G1853" s="27" t="s">
        <v>5786</v>
      </c>
      <c r="H1853" s="27" t="s">
        <v>96</v>
      </c>
      <c r="I1853">
        <v>1</v>
      </c>
    </row>
    <row r="1854" spans="1:9">
      <c r="A1854" t="s">
        <v>2269</v>
      </c>
      <c r="B1854" s="27" t="s">
        <v>3228</v>
      </c>
      <c r="C1854" s="27" t="s">
        <v>5774</v>
      </c>
      <c r="D1854">
        <f>VLOOKUP(tblTargetMedicos[[#This Row],[codigo_id]],[1]DIM_REPRESENTANTE_MEDICO!$C:$F,4,0)</f>
        <v>4</v>
      </c>
      <c r="E1854">
        <f>VLOOKUP(tblTargetMedicos[[#This Row],[codigo_id]],[1]DIM_REPRESENTANTE_MEDICO!$C:$F,3,0)</f>
        <v>2</v>
      </c>
      <c r="F1854" s="27" t="s">
        <v>5796</v>
      </c>
      <c r="G1854" s="27" t="s">
        <v>5784</v>
      </c>
      <c r="H1854" s="27" t="s">
        <v>96</v>
      </c>
      <c r="I1854">
        <v>1</v>
      </c>
    </row>
    <row r="1855" spans="1:9">
      <c r="A1855" t="s">
        <v>2270</v>
      </c>
      <c r="B1855" s="27" t="s">
        <v>3228</v>
      </c>
      <c r="C1855" s="27" t="s">
        <v>5774</v>
      </c>
      <c r="D1855">
        <f>VLOOKUP(tblTargetMedicos[[#This Row],[codigo_id]],[1]DIM_REPRESENTANTE_MEDICO!$C:$F,4,0)</f>
        <v>4</v>
      </c>
      <c r="E1855">
        <f>VLOOKUP(tblTargetMedicos[[#This Row],[codigo_id]],[1]DIM_REPRESENTANTE_MEDICO!$C:$F,3,0)</f>
        <v>2</v>
      </c>
      <c r="F1855" s="27" t="s">
        <v>5796</v>
      </c>
      <c r="G1855" s="27" t="s">
        <v>5784</v>
      </c>
      <c r="H1855" s="27" t="s">
        <v>95</v>
      </c>
      <c r="I1855">
        <v>1</v>
      </c>
    </row>
    <row r="1856" spans="1:9">
      <c r="A1856" t="s">
        <v>2271</v>
      </c>
      <c r="B1856" s="27" t="s">
        <v>3228</v>
      </c>
      <c r="C1856" s="27" t="s">
        <v>5774</v>
      </c>
      <c r="D1856">
        <f>VLOOKUP(tblTargetMedicos[[#This Row],[codigo_id]],[1]DIM_REPRESENTANTE_MEDICO!$C:$F,4,0)</f>
        <v>4</v>
      </c>
      <c r="E1856">
        <f>VLOOKUP(tblTargetMedicos[[#This Row],[codigo_id]],[1]DIM_REPRESENTANTE_MEDICO!$C:$F,3,0)</f>
        <v>2</v>
      </c>
      <c r="F1856" s="27" t="s">
        <v>5796</v>
      </c>
      <c r="G1856" s="27" t="s">
        <v>5779</v>
      </c>
      <c r="H1856" s="27" t="s">
        <v>96</v>
      </c>
      <c r="I1856">
        <v>1</v>
      </c>
    </row>
    <row r="1857" spans="1:9">
      <c r="A1857" t="s">
        <v>2272</v>
      </c>
      <c r="B1857" s="27" t="s">
        <v>3228</v>
      </c>
      <c r="C1857" s="27" t="s">
        <v>5774</v>
      </c>
      <c r="D1857">
        <f>VLOOKUP(tblTargetMedicos[[#This Row],[codigo_id]],[1]DIM_REPRESENTANTE_MEDICO!$C:$F,4,0)</f>
        <v>4</v>
      </c>
      <c r="E1857">
        <f>VLOOKUP(tblTargetMedicos[[#This Row],[codigo_id]],[1]DIM_REPRESENTANTE_MEDICO!$C:$F,3,0)</f>
        <v>2</v>
      </c>
      <c r="F1857" s="27" t="s">
        <v>5796</v>
      </c>
      <c r="G1857" s="27" t="s">
        <v>5783</v>
      </c>
      <c r="H1857" s="27" t="s">
        <v>96</v>
      </c>
      <c r="I1857">
        <v>1</v>
      </c>
    </row>
    <row r="1858" spans="1:9">
      <c r="A1858" t="s">
        <v>2273</v>
      </c>
      <c r="B1858" s="27" t="s">
        <v>3228</v>
      </c>
      <c r="C1858" s="27" t="s">
        <v>5774</v>
      </c>
      <c r="D1858">
        <f>VLOOKUP(tblTargetMedicos[[#This Row],[codigo_id]],[1]DIM_REPRESENTANTE_MEDICO!$C:$F,4,0)</f>
        <v>4</v>
      </c>
      <c r="E1858">
        <f>VLOOKUP(tblTargetMedicos[[#This Row],[codigo_id]],[1]DIM_REPRESENTANTE_MEDICO!$C:$F,3,0)</f>
        <v>2</v>
      </c>
      <c r="F1858" s="27" t="s">
        <v>5796</v>
      </c>
      <c r="G1858" s="27" t="s">
        <v>5783</v>
      </c>
      <c r="H1858" s="27" t="s">
        <v>97</v>
      </c>
      <c r="I1858">
        <v>1</v>
      </c>
    </row>
    <row r="1859" spans="1:9">
      <c r="A1859" t="s">
        <v>2274</v>
      </c>
      <c r="B1859" s="27" t="s">
        <v>3228</v>
      </c>
      <c r="C1859" s="27" t="s">
        <v>5774</v>
      </c>
      <c r="D1859">
        <f>VLOOKUP(tblTargetMedicos[[#This Row],[codigo_id]],[1]DIM_REPRESENTANTE_MEDICO!$C:$F,4,0)</f>
        <v>4</v>
      </c>
      <c r="E1859">
        <f>VLOOKUP(tblTargetMedicos[[#This Row],[codigo_id]],[1]DIM_REPRESENTANTE_MEDICO!$C:$F,3,0)</f>
        <v>2</v>
      </c>
      <c r="F1859" s="27" t="s">
        <v>5796</v>
      </c>
      <c r="G1859" s="27" t="s">
        <v>5782</v>
      </c>
      <c r="H1859" s="27" t="s">
        <v>97</v>
      </c>
      <c r="I1859">
        <v>1</v>
      </c>
    </row>
    <row r="1860" spans="1:9">
      <c r="A1860" t="s">
        <v>2275</v>
      </c>
      <c r="B1860" s="27" t="s">
        <v>3228</v>
      </c>
      <c r="C1860" s="27" t="s">
        <v>5774</v>
      </c>
      <c r="D1860">
        <f>VLOOKUP(tblTargetMedicos[[#This Row],[codigo_id]],[1]DIM_REPRESENTANTE_MEDICO!$C:$F,4,0)</f>
        <v>4</v>
      </c>
      <c r="E1860">
        <f>VLOOKUP(tblTargetMedicos[[#This Row],[codigo_id]],[1]DIM_REPRESENTANTE_MEDICO!$C:$F,3,0)</f>
        <v>2</v>
      </c>
      <c r="F1860" s="27" t="s">
        <v>5796</v>
      </c>
      <c r="G1860" s="27" t="s">
        <v>5784</v>
      </c>
      <c r="H1860" s="27" t="s">
        <v>96</v>
      </c>
      <c r="I1860">
        <v>1</v>
      </c>
    </row>
    <row r="1861" spans="1:9">
      <c r="A1861" t="s">
        <v>2276</v>
      </c>
      <c r="B1861" s="27" t="s">
        <v>3228</v>
      </c>
      <c r="C1861" s="27" t="s">
        <v>5774</v>
      </c>
      <c r="D1861">
        <f>VLOOKUP(tblTargetMedicos[[#This Row],[codigo_id]],[1]DIM_REPRESENTANTE_MEDICO!$C:$F,4,0)</f>
        <v>4</v>
      </c>
      <c r="E1861">
        <f>VLOOKUP(tblTargetMedicos[[#This Row],[codigo_id]],[1]DIM_REPRESENTANTE_MEDICO!$C:$F,3,0)</f>
        <v>2</v>
      </c>
      <c r="F1861" s="27" t="s">
        <v>5796</v>
      </c>
      <c r="G1861" s="27" t="s">
        <v>5780</v>
      </c>
      <c r="H1861" s="27" t="s">
        <v>96</v>
      </c>
      <c r="I1861">
        <v>1</v>
      </c>
    </row>
    <row r="1862" spans="1:9">
      <c r="A1862" t="s">
        <v>2277</v>
      </c>
      <c r="B1862" s="27" t="s">
        <v>3228</v>
      </c>
      <c r="C1862" s="27" t="s">
        <v>5774</v>
      </c>
      <c r="D1862">
        <f>VLOOKUP(tblTargetMedicos[[#This Row],[codigo_id]],[1]DIM_REPRESENTANTE_MEDICO!$C:$F,4,0)</f>
        <v>4</v>
      </c>
      <c r="E1862">
        <f>VLOOKUP(tblTargetMedicos[[#This Row],[codigo_id]],[1]DIM_REPRESENTANTE_MEDICO!$C:$F,3,0)</f>
        <v>2</v>
      </c>
      <c r="F1862" s="27" t="s">
        <v>5796</v>
      </c>
      <c r="G1862" s="27" t="s">
        <v>5783</v>
      </c>
      <c r="H1862" s="27" t="s">
        <v>96</v>
      </c>
      <c r="I1862">
        <v>1</v>
      </c>
    </row>
    <row r="1863" spans="1:9">
      <c r="A1863" t="s">
        <v>2278</v>
      </c>
      <c r="B1863" s="27" t="s">
        <v>3228</v>
      </c>
      <c r="C1863" s="27" t="s">
        <v>5774</v>
      </c>
      <c r="D1863">
        <f>VLOOKUP(tblTargetMedicos[[#This Row],[codigo_id]],[1]DIM_REPRESENTANTE_MEDICO!$C:$F,4,0)</f>
        <v>4</v>
      </c>
      <c r="E1863">
        <f>VLOOKUP(tblTargetMedicos[[#This Row],[codigo_id]],[1]DIM_REPRESENTANTE_MEDICO!$C:$F,3,0)</f>
        <v>2</v>
      </c>
      <c r="F1863" s="27" t="s">
        <v>5796</v>
      </c>
      <c r="G1863" s="27" t="s">
        <v>5783</v>
      </c>
      <c r="H1863" s="27" t="s">
        <v>96</v>
      </c>
      <c r="I1863">
        <v>1</v>
      </c>
    </row>
    <row r="1864" spans="1:9">
      <c r="A1864" t="s">
        <v>2279</v>
      </c>
      <c r="B1864" s="27" t="s">
        <v>3228</v>
      </c>
      <c r="C1864" s="27" t="s">
        <v>5774</v>
      </c>
      <c r="D1864">
        <f>VLOOKUP(tblTargetMedicos[[#This Row],[codigo_id]],[1]DIM_REPRESENTANTE_MEDICO!$C:$F,4,0)</f>
        <v>4</v>
      </c>
      <c r="E1864">
        <f>VLOOKUP(tblTargetMedicos[[#This Row],[codigo_id]],[1]DIM_REPRESENTANTE_MEDICO!$C:$F,3,0)</f>
        <v>2</v>
      </c>
      <c r="F1864" s="27" t="s">
        <v>5796</v>
      </c>
      <c r="G1864" s="27" t="s">
        <v>5784</v>
      </c>
      <c r="H1864" s="27" t="s">
        <v>96</v>
      </c>
      <c r="I1864">
        <v>1</v>
      </c>
    </row>
    <row r="1865" spans="1:9">
      <c r="A1865" t="s">
        <v>2280</v>
      </c>
      <c r="B1865" s="27" t="s">
        <v>3228</v>
      </c>
      <c r="C1865" s="27" t="s">
        <v>5774</v>
      </c>
      <c r="D1865">
        <f>VLOOKUP(tblTargetMedicos[[#This Row],[codigo_id]],[1]DIM_REPRESENTANTE_MEDICO!$C:$F,4,0)</f>
        <v>4</v>
      </c>
      <c r="E1865">
        <f>VLOOKUP(tblTargetMedicos[[#This Row],[codigo_id]],[1]DIM_REPRESENTANTE_MEDICO!$C:$F,3,0)</f>
        <v>2</v>
      </c>
      <c r="F1865" s="27" t="s">
        <v>5796</v>
      </c>
      <c r="G1865" s="27" t="s">
        <v>5783</v>
      </c>
      <c r="H1865" s="27" t="s">
        <v>96</v>
      </c>
      <c r="I1865">
        <v>1</v>
      </c>
    </row>
    <row r="1866" spans="1:9">
      <c r="A1866" t="s">
        <v>2281</v>
      </c>
      <c r="B1866" s="27" t="s">
        <v>3228</v>
      </c>
      <c r="C1866" s="27" t="s">
        <v>5774</v>
      </c>
      <c r="D1866">
        <f>VLOOKUP(tblTargetMedicos[[#This Row],[codigo_id]],[1]DIM_REPRESENTANTE_MEDICO!$C:$F,4,0)</f>
        <v>4</v>
      </c>
      <c r="E1866">
        <f>VLOOKUP(tblTargetMedicos[[#This Row],[codigo_id]],[1]DIM_REPRESENTANTE_MEDICO!$C:$F,3,0)</f>
        <v>2</v>
      </c>
      <c r="F1866" s="27" t="s">
        <v>5796</v>
      </c>
      <c r="G1866" s="27" t="s">
        <v>5784</v>
      </c>
      <c r="H1866" s="27" t="s">
        <v>96</v>
      </c>
      <c r="I1866">
        <v>1</v>
      </c>
    </row>
    <row r="1867" spans="1:9">
      <c r="A1867" t="s">
        <v>2282</v>
      </c>
      <c r="B1867" s="27" t="s">
        <v>3228</v>
      </c>
      <c r="C1867" s="27" t="s">
        <v>5774</v>
      </c>
      <c r="D1867">
        <f>VLOOKUP(tblTargetMedicos[[#This Row],[codigo_id]],[1]DIM_REPRESENTANTE_MEDICO!$C:$F,4,0)</f>
        <v>4</v>
      </c>
      <c r="E1867">
        <f>VLOOKUP(tblTargetMedicos[[#This Row],[codigo_id]],[1]DIM_REPRESENTANTE_MEDICO!$C:$F,3,0)</f>
        <v>2</v>
      </c>
      <c r="F1867" s="27" t="s">
        <v>5796</v>
      </c>
      <c r="G1867" s="27" t="s">
        <v>5784</v>
      </c>
      <c r="H1867" s="27" t="s">
        <v>96</v>
      </c>
      <c r="I1867">
        <v>1</v>
      </c>
    </row>
    <row r="1868" spans="1:9">
      <c r="A1868" t="s">
        <v>2283</v>
      </c>
      <c r="B1868" s="27" t="s">
        <v>3228</v>
      </c>
      <c r="C1868" s="27" t="s">
        <v>5774</v>
      </c>
      <c r="D1868">
        <f>VLOOKUP(tblTargetMedicos[[#This Row],[codigo_id]],[1]DIM_REPRESENTANTE_MEDICO!$C:$F,4,0)</f>
        <v>4</v>
      </c>
      <c r="E1868">
        <f>VLOOKUP(tblTargetMedicos[[#This Row],[codigo_id]],[1]DIM_REPRESENTANTE_MEDICO!$C:$F,3,0)</f>
        <v>2</v>
      </c>
      <c r="F1868" s="27" t="s">
        <v>5796</v>
      </c>
      <c r="G1868" s="27" t="s">
        <v>5779</v>
      </c>
      <c r="H1868" s="27" t="s">
        <v>96</v>
      </c>
      <c r="I1868">
        <v>1</v>
      </c>
    </row>
    <row r="1869" spans="1:9">
      <c r="A1869" t="s">
        <v>2284</v>
      </c>
      <c r="B1869" s="27" t="s">
        <v>3228</v>
      </c>
      <c r="C1869" s="27" t="s">
        <v>5774</v>
      </c>
      <c r="D1869">
        <f>VLOOKUP(tblTargetMedicos[[#This Row],[codigo_id]],[1]DIM_REPRESENTANTE_MEDICO!$C:$F,4,0)</f>
        <v>4</v>
      </c>
      <c r="E1869">
        <f>VLOOKUP(tblTargetMedicos[[#This Row],[codigo_id]],[1]DIM_REPRESENTANTE_MEDICO!$C:$F,3,0)</f>
        <v>2</v>
      </c>
      <c r="F1869" s="27" t="s">
        <v>5796</v>
      </c>
      <c r="G1869" s="27" t="s">
        <v>5782</v>
      </c>
      <c r="H1869" s="27" t="s">
        <v>97</v>
      </c>
      <c r="I1869">
        <v>1</v>
      </c>
    </row>
    <row r="1870" spans="1:9">
      <c r="A1870" t="s">
        <v>2285</v>
      </c>
      <c r="B1870" s="27" t="s">
        <v>3228</v>
      </c>
      <c r="C1870" s="27" t="s">
        <v>5774</v>
      </c>
      <c r="D1870">
        <f>VLOOKUP(tblTargetMedicos[[#This Row],[codigo_id]],[1]DIM_REPRESENTANTE_MEDICO!$C:$F,4,0)</f>
        <v>4</v>
      </c>
      <c r="E1870">
        <f>VLOOKUP(tblTargetMedicos[[#This Row],[codigo_id]],[1]DIM_REPRESENTANTE_MEDICO!$C:$F,3,0)</f>
        <v>2</v>
      </c>
      <c r="F1870" s="27" t="s">
        <v>5796</v>
      </c>
      <c r="G1870" s="27" t="s">
        <v>5786</v>
      </c>
      <c r="H1870" s="27" t="s">
        <v>96</v>
      </c>
      <c r="I1870">
        <v>1</v>
      </c>
    </row>
    <row r="1871" spans="1:9">
      <c r="A1871" t="s">
        <v>2286</v>
      </c>
      <c r="B1871" s="27" t="s">
        <v>3228</v>
      </c>
      <c r="C1871" s="27" t="s">
        <v>5774</v>
      </c>
      <c r="D1871">
        <f>VLOOKUP(tblTargetMedicos[[#This Row],[codigo_id]],[1]DIM_REPRESENTANTE_MEDICO!$C:$F,4,0)</f>
        <v>4</v>
      </c>
      <c r="E1871">
        <f>VLOOKUP(tblTargetMedicos[[#This Row],[codigo_id]],[1]DIM_REPRESENTANTE_MEDICO!$C:$F,3,0)</f>
        <v>2</v>
      </c>
      <c r="F1871" s="27" t="s">
        <v>5796</v>
      </c>
      <c r="G1871" s="27" t="s">
        <v>5783</v>
      </c>
      <c r="H1871" s="27" t="s">
        <v>96</v>
      </c>
      <c r="I1871">
        <v>1</v>
      </c>
    </row>
    <row r="1872" spans="1:9">
      <c r="A1872" t="s">
        <v>2287</v>
      </c>
      <c r="B1872" s="27" t="s">
        <v>3228</v>
      </c>
      <c r="C1872" s="27" t="s">
        <v>5774</v>
      </c>
      <c r="D1872">
        <f>VLOOKUP(tblTargetMedicos[[#This Row],[codigo_id]],[1]DIM_REPRESENTANTE_MEDICO!$C:$F,4,0)</f>
        <v>4</v>
      </c>
      <c r="E1872">
        <f>VLOOKUP(tblTargetMedicos[[#This Row],[codigo_id]],[1]DIM_REPRESENTANTE_MEDICO!$C:$F,3,0)</f>
        <v>2</v>
      </c>
      <c r="F1872" s="27" t="s">
        <v>5796</v>
      </c>
      <c r="G1872" s="27" t="s">
        <v>5784</v>
      </c>
      <c r="H1872" s="27" t="s">
        <v>97</v>
      </c>
      <c r="I1872">
        <v>1</v>
      </c>
    </row>
    <row r="1873" spans="1:9">
      <c r="A1873" t="s">
        <v>2288</v>
      </c>
      <c r="B1873" s="27" t="s">
        <v>3228</v>
      </c>
      <c r="C1873" s="27" t="s">
        <v>5774</v>
      </c>
      <c r="D1873">
        <f>VLOOKUP(tblTargetMedicos[[#This Row],[codigo_id]],[1]DIM_REPRESENTANTE_MEDICO!$C:$F,4,0)</f>
        <v>4</v>
      </c>
      <c r="E1873">
        <f>VLOOKUP(tblTargetMedicos[[#This Row],[codigo_id]],[1]DIM_REPRESENTANTE_MEDICO!$C:$F,3,0)</f>
        <v>2</v>
      </c>
      <c r="F1873" s="27" t="s">
        <v>5796</v>
      </c>
      <c r="G1873" s="27" t="s">
        <v>5784</v>
      </c>
      <c r="H1873" s="27" t="s">
        <v>95</v>
      </c>
      <c r="I1873">
        <v>1</v>
      </c>
    </row>
    <row r="1874" spans="1:9">
      <c r="A1874" t="s">
        <v>2289</v>
      </c>
      <c r="B1874" s="27" t="s">
        <v>3228</v>
      </c>
      <c r="C1874" s="27" t="s">
        <v>5774</v>
      </c>
      <c r="D1874">
        <f>VLOOKUP(tblTargetMedicos[[#This Row],[codigo_id]],[1]DIM_REPRESENTANTE_MEDICO!$C:$F,4,0)</f>
        <v>4</v>
      </c>
      <c r="E1874">
        <f>VLOOKUP(tblTargetMedicos[[#This Row],[codigo_id]],[1]DIM_REPRESENTANTE_MEDICO!$C:$F,3,0)</f>
        <v>2</v>
      </c>
      <c r="F1874" s="27" t="s">
        <v>5796</v>
      </c>
      <c r="G1874" s="27" t="s">
        <v>5784</v>
      </c>
      <c r="H1874" s="27" t="s">
        <v>96</v>
      </c>
      <c r="I1874">
        <v>1</v>
      </c>
    </row>
    <row r="1875" spans="1:9">
      <c r="A1875" t="s">
        <v>2290</v>
      </c>
      <c r="B1875" s="27" t="s">
        <v>3228</v>
      </c>
      <c r="C1875" s="27" t="s">
        <v>5774</v>
      </c>
      <c r="D1875">
        <f>VLOOKUP(tblTargetMedicos[[#This Row],[codigo_id]],[1]DIM_REPRESENTANTE_MEDICO!$C:$F,4,0)</f>
        <v>4</v>
      </c>
      <c r="E1875">
        <f>VLOOKUP(tblTargetMedicos[[#This Row],[codigo_id]],[1]DIM_REPRESENTANTE_MEDICO!$C:$F,3,0)</f>
        <v>2</v>
      </c>
      <c r="F1875" s="27" t="s">
        <v>5796</v>
      </c>
      <c r="G1875" s="27" t="s">
        <v>5784</v>
      </c>
      <c r="H1875" s="27" t="s">
        <v>96</v>
      </c>
      <c r="I1875">
        <v>1</v>
      </c>
    </row>
    <row r="1876" spans="1:9">
      <c r="A1876" t="s">
        <v>2291</v>
      </c>
      <c r="B1876" s="27" t="s">
        <v>3228</v>
      </c>
      <c r="C1876" s="27" t="s">
        <v>5774</v>
      </c>
      <c r="D1876">
        <f>VLOOKUP(tblTargetMedicos[[#This Row],[codigo_id]],[1]DIM_REPRESENTANTE_MEDICO!$C:$F,4,0)</f>
        <v>4</v>
      </c>
      <c r="E1876">
        <f>VLOOKUP(tblTargetMedicos[[#This Row],[codigo_id]],[1]DIM_REPRESENTANTE_MEDICO!$C:$F,3,0)</f>
        <v>2</v>
      </c>
      <c r="F1876" s="27" t="s">
        <v>5796</v>
      </c>
      <c r="G1876" s="27" t="s">
        <v>5784</v>
      </c>
      <c r="H1876" s="27" t="s">
        <v>96</v>
      </c>
      <c r="I1876">
        <v>1</v>
      </c>
    </row>
    <row r="1877" spans="1:9">
      <c r="A1877" t="s">
        <v>2292</v>
      </c>
      <c r="B1877" s="27" t="s">
        <v>3228</v>
      </c>
      <c r="C1877" s="27" t="s">
        <v>5774</v>
      </c>
      <c r="D1877">
        <f>VLOOKUP(tblTargetMedicos[[#This Row],[codigo_id]],[1]DIM_REPRESENTANTE_MEDICO!$C:$F,4,0)</f>
        <v>4</v>
      </c>
      <c r="E1877">
        <f>VLOOKUP(tblTargetMedicos[[#This Row],[codigo_id]],[1]DIM_REPRESENTANTE_MEDICO!$C:$F,3,0)</f>
        <v>2</v>
      </c>
      <c r="F1877" s="27" t="s">
        <v>5796</v>
      </c>
      <c r="G1877" s="27" t="s">
        <v>5785</v>
      </c>
      <c r="H1877" s="27" t="s">
        <v>96</v>
      </c>
      <c r="I1877">
        <v>1</v>
      </c>
    </row>
    <row r="1878" spans="1:9">
      <c r="A1878" t="s">
        <v>2293</v>
      </c>
      <c r="B1878" s="27" t="s">
        <v>3228</v>
      </c>
      <c r="C1878" s="27" t="s">
        <v>5774</v>
      </c>
      <c r="D1878">
        <f>VLOOKUP(tblTargetMedicos[[#This Row],[codigo_id]],[1]DIM_REPRESENTANTE_MEDICO!$C:$F,4,0)</f>
        <v>4</v>
      </c>
      <c r="E1878">
        <f>VLOOKUP(tblTargetMedicos[[#This Row],[codigo_id]],[1]DIM_REPRESENTANTE_MEDICO!$C:$F,3,0)</f>
        <v>2</v>
      </c>
      <c r="F1878" s="27" t="s">
        <v>5796</v>
      </c>
      <c r="G1878" s="27" t="s">
        <v>5784</v>
      </c>
      <c r="H1878" s="27" t="s">
        <v>96</v>
      </c>
      <c r="I1878">
        <v>1</v>
      </c>
    </row>
    <row r="1879" spans="1:9">
      <c r="A1879" t="s">
        <v>2294</v>
      </c>
      <c r="B1879" s="27" t="s">
        <v>3228</v>
      </c>
      <c r="C1879" s="27" t="s">
        <v>5774</v>
      </c>
      <c r="D1879">
        <f>VLOOKUP(tblTargetMedicos[[#This Row],[codigo_id]],[1]DIM_REPRESENTANTE_MEDICO!$C:$F,4,0)</f>
        <v>4</v>
      </c>
      <c r="E1879">
        <f>VLOOKUP(tblTargetMedicos[[#This Row],[codigo_id]],[1]DIM_REPRESENTANTE_MEDICO!$C:$F,3,0)</f>
        <v>2</v>
      </c>
      <c r="F1879" s="27" t="s">
        <v>5796</v>
      </c>
      <c r="G1879" s="27" t="s">
        <v>5780</v>
      </c>
      <c r="H1879" s="27" t="s">
        <v>96</v>
      </c>
      <c r="I1879">
        <v>1</v>
      </c>
    </row>
    <row r="1880" spans="1:9">
      <c r="A1880" t="s">
        <v>2295</v>
      </c>
      <c r="B1880" s="27" t="s">
        <v>3228</v>
      </c>
      <c r="C1880" s="27" t="s">
        <v>5774</v>
      </c>
      <c r="D1880">
        <f>VLOOKUP(tblTargetMedicos[[#This Row],[codigo_id]],[1]DIM_REPRESENTANTE_MEDICO!$C:$F,4,0)</f>
        <v>4</v>
      </c>
      <c r="E1880">
        <f>VLOOKUP(tblTargetMedicos[[#This Row],[codigo_id]],[1]DIM_REPRESENTANTE_MEDICO!$C:$F,3,0)</f>
        <v>2</v>
      </c>
      <c r="F1880" s="27" t="s">
        <v>5796</v>
      </c>
      <c r="G1880" s="27" t="s">
        <v>5783</v>
      </c>
      <c r="H1880" s="27" t="s">
        <v>96</v>
      </c>
      <c r="I1880">
        <v>1</v>
      </c>
    </row>
    <row r="1881" spans="1:9">
      <c r="A1881" t="s">
        <v>2296</v>
      </c>
      <c r="B1881" s="27" t="s">
        <v>3228</v>
      </c>
      <c r="C1881" s="27" t="s">
        <v>5774</v>
      </c>
      <c r="D1881">
        <f>VLOOKUP(tblTargetMedicos[[#This Row],[codigo_id]],[1]DIM_REPRESENTANTE_MEDICO!$C:$F,4,0)</f>
        <v>4</v>
      </c>
      <c r="E1881">
        <f>VLOOKUP(tblTargetMedicos[[#This Row],[codigo_id]],[1]DIM_REPRESENTANTE_MEDICO!$C:$F,3,0)</f>
        <v>2</v>
      </c>
      <c r="F1881" s="27" t="s">
        <v>5796</v>
      </c>
      <c r="G1881" s="27" t="s">
        <v>5784</v>
      </c>
      <c r="H1881" s="27" t="s">
        <v>96</v>
      </c>
      <c r="I1881">
        <v>1</v>
      </c>
    </row>
    <row r="1882" spans="1:9">
      <c r="A1882" t="s">
        <v>2297</v>
      </c>
      <c r="B1882" s="27" t="s">
        <v>3228</v>
      </c>
      <c r="C1882" s="27" t="s">
        <v>5774</v>
      </c>
      <c r="D1882">
        <f>VLOOKUP(tblTargetMedicos[[#This Row],[codigo_id]],[1]DIM_REPRESENTANTE_MEDICO!$C:$F,4,0)</f>
        <v>4</v>
      </c>
      <c r="E1882">
        <f>VLOOKUP(tblTargetMedicos[[#This Row],[codigo_id]],[1]DIM_REPRESENTANTE_MEDICO!$C:$F,3,0)</f>
        <v>2</v>
      </c>
      <c r="F1882" s="27" t="s">
        <v>5796</v>
      </c>
      <c r="G1882" s="27" t="s">
        <v>5784</v>
      </c>
      <c r="H1882" s="27" t="s">
        <v>97</v>
      </c>
      <c r="I1882">
        <v>1</v>
      </c>
    </row>
    <row r="1883" spans="1:9">
      <c r="A1883" t="s">
        <v>2298</v>
      </c>
      <c r="B1883" s="27" t="s">
        <v>3228</v>
      </c>
      <c r="C1883" s="27" t="s">
        <v>5774</v>
      </c>
      <c r="D1883">
        <f>VLOOKUP(tblTargetMedicos[[#This Row],[codigo_id]],[1]DIM_REPRESENTANTE_MEDICO!$C:$F,4,0)</f>
        <v>4</v>
      </c>
      <c r="E1883">
        <f>VLOOKUP(tblTargetMedicos[[#This Row],[codigo_id]],[1]DIM_REPRESENTANTE_MEDICO!$C:$F,3,0)</f>
        <v>2</v>
      </c>
      <c r="F1883" s="27" t="s">
        <v>5796</v>
      </c>
      <c r="G1883" s="27" t="s">
        <v>5787</v>
      </c>
      <c r="H1883" s="27" t="s">
        <v>96</v>
      </c>
      <c r="I1883">
        <v>1</v>
      </c>
    </row>
    <row r="1884" spans="1:9">
      <c r="A1884" t="s">
        <v>2299</v>
      </c>
      <c r="B1884" s="27" t="s">
        <v>3228</v>
      </c>
      <c r="C1884" s="27" t="s">
        <v>5774</v>
      </c>
      <c r="D1884">
        <f>VLOOKUP(tblTargetMedicos[[#This Row],[codigo_id]],[1]DIM_REPRESENTANTE_MEDICO!$C:$F,4,0)</f>
        <v>4</v>
      </c>
      <c r="E1884">
        <f>VLOOKUP(tblTargetMedicos[[#This Row],[codigo_id]],[1]DIM_REPRESENTANTE_MEDICO!$C:$F,3,0)</f>
        <v>2</v>
      </c>
      <c r="F1884" s="27" t="s">
        <v>5796</v>
      </c>
      <c r="G1884" s="27" t="s">
        <v>5783</v>
      </c>
      <c r="H1884" s="27" t="s">
        <v>96</v>
      </c>
      <c r="I1884">
        <v>1</v>
      </c>
    </row>
    <row r="1885" spans="1:9">
      <c r="A1885" t="s">
        <v>2300</v>
      </c>
      <c r="B1885" s="27" t="s">
        <v>3228</v>
      </c>
      <c r="C1885" s="27" t="s">
        <v>5774</v>
      </c>
      <c r="D1885">
        <f>VLOOKUP(tblTargetMedicos[[#This Row],[codigo_id]],[1]DIM_REPRESENTANTE_MEDICO!$C:$F,4,0)</f>
        <v>4</v>
      </c>
      <c r="E1885">
        <f>VLOOKUP(tblTargetMedicos[[#This Row],[codigo_id]],[1]DIM_REPRESENTANTE_MEDICO!$C:$F,3,0)</f>
        <v>2</v>
      </c>
      <c r="F1885" s="27" t="s">
        <v>5796</v>
      </c>
      <c r="G1885" s="27" t="s">
        <v>5786</v>
      </c>
      <c r="H1885" s="27" t="s">
        <v>96</v>
      </c>
      <c r="I1885">
        <v>1</v>
      </c>
    </row>
    <row r="1886" spans="1:9">
      <c r="A1886" t="s">
        <v>2301</v>
      </c>
      <c r="B1886" s="27" t="s">
        <v>3228</v>
      </c>
      <c r="C1886" s="27" t="s">
        <v>5774</v>
      </c>
      <c r="D1886">
        <f>VLOOKUP(tblTargetMedicos[[#This Row],[codigo_id]],[1]DIM_REPRESENTANTE_MEDICO!$C:$F,4,0)</f>
        <v>4</v>
      </c>
      <c r="E1886">
        <f>VLOOKUP(tblTargetMedicos[[#This Row],[codigo_id]],[1]DIM_REPRESENTANTE_MEDICO!$C:$F,3,0)</f>
        <v>2</v>
      </c>
      <c r="F1886" s="27" t="s">
        <v>5796</v>
      </c>
      <c r="G1886" s="27" t="s">
        <v>5783</v>
      </c>
      <c r="H1886" s="27" t="s">
        <v>97</v>
      </c>
      <c r="I1886">
        <v>1</v>
      </c>
    </row>
    <row r="1887" spans="1:9">
      <c r="A1887" t="s">
        <v>2302</v>
      </c>
      <c r="B1887" s="27" t="s">
        <v>3228</v>
      </c>
      <c r="C1887" s="27" t="s">
        <v>5774</v>
      </c>
      <c r="D1887">
        <f>VLOOKUP(tblTargetMedicos[[#This Row],[codigo_id]],[1]DIM_REPRESENTANTE_MEDICO!$C:$F,4,0)</f>
        <v>4</v>
      </c>
      <c r="E1887">
        <f>VLOOKUP(tblTargetMedicos[[#This Row],[codigo_id]],[1]DIM_REPRESENTANTE_MEDICO!$C:$F,3,0)</f>
        <v>2</v>
      </c>
      <c r="F1887" s="27" t="s">
        <v>5796</v>
      </c>
      <c r="G1887" s="27" t="s">
        <v>5779</v>
      </c>
      <c r="H1887" s="27" t="s">
        <v>96</v>
      </c>
      <c r="I1887">
        <v>1</v>
      </c>
    </row>
    <row r="1888" spans="1:9">
      <c r="A1888" t="s">
        <v>2303</v>
      </c>
      <c r="B1888" s="27" t="s">
        <v>3228</v>
      </c>
      <c r="C1888" s="27" t="s">
        <v>5774</v>
      </c>
      <c r="D1888">
        <f>VLOOKUP(tblTargetMedicos[[#This Row],[codigo_id]],[1]DIM_REPRESENTANTE_MEDICO!$C:$F,4,0)</f>
        <v>4</v>
      </c>
      <c r="E1888">
        <f>VLOOKUP(tblTargetMedicos[[#This Row],[codigo_id]],[1]DIM_REPRESENTANTE_MEDICO!$C:$F,3,0)</f>
        <v>2</v>
      </c>
      <c r="F1888" s="27" t="s">
        <v>5796</v>
      </c>
      <c r="G1888" s="27" t="s">
        <v>5785</v>
      </c>
      <c r="H1888" s="27" t="s">
        <v>96</v>
      </c>
      <c r="I1888">
        <v>1</v>
      </c>
    </row>
    <row r="1889" spans="1:9">
      <c r="A1889" t="s">
        <v>2304</v>
      </c>
      <c r="B1889" s="27" t="s">
        <v>3228</v>
      </c>
      <c r="C1889" s="27" t="s">
        <v>5774</v>
      </c>
      <c r="D1889">
        <f>VLOOKUP(tblTargetMedicos[[#This Row],[codigo_id]],[1]DIM_REPRESENTANTE_MEDICO!$C:$F,4,0)</f>
        <v>4</v>
      </c>
      <c r="E1889">
        <f>VLOOKUP(tblTargetMedicos[[#This Row],[codigo_id]],[1]DIM_REPRESENTANTE_MEDICO!$C:$F,3,0)</f>
        <v>2</v>
      </c>
      <c r="F1889" s="27" t="s">
        <v>5796</v>
      </c>
      <c r="G1889" s="27" t="s">
        <v>5784</v>
      </c>
      <c r="H1889" s="27" t="s">
        <v>97</v>
      </c>
      <c r="I1889">
        <v>1</v>
      </c>
    </row>
    <row r="1890" spans="1:9">
      <c r="A1890" t="s">
        <v>2305</v>
      </c>
      <c r="B1890" s="27" t="s">
        <v>3228</v>
      </c>
      <c r="C1890" s="27" t="s">
        <v>5774</v>
      </c>
      <c r="D1890">
        <f>VLOOKUP(tblTargetMedicos[[#This Row],[codigo_id]],[1]DIM_REPRESENTANTE_MEDICO!$C:$F,4,0)</f>
        <v>4</v>
      </c>
      <c r="E1890">
        <f>VLOOKUP(tblTargetMedicos[[#This Row],[codigo_id]],[1]DIM_REPRESENTANTE_MEDICO!$C:$F,3,0)</f>
        <v>2</v>
      </c>
      <c r="F1890" s="27" t="s">
        <v>5796</v>
      </c>
      <c r="G1890" s="27" t="s">
        <v>5783</v>
      </c>
      <c r="H1890" s="27" t="s">
        <v>96</v>
      </c>
      <c r="I1890">
        <v>1</v>
      </c>
    </row>
    <row r="1891" spans="1:9">
      <c r="A1891" t="s">
        <v>2306</v>
      </c>
      <c r="B1891" s="27" t="s">
        <v>3228</v>
      </c>
      <c r="C1891" s="27" t="s">
        <v>5774</v>
      </c>
      <c r="D1891">
        <f>VLOOKUP(tblTargetMedicos[[#This Row],[codigo_id]],[1]DIM_REPRESENTANTE_MEDICO!$C:$F,4,0)</f>
        <v>4</v>
      </c>
      <c r="E1891">
        <f>VLOOKUP(tblTargetMedicos[[#This Row],[codigo_id]],[1]DIM_REPRESENTANTE_MEDICO!$C:$F,3,0)</f>
        <v>2</v>
      </c>
      <c r="F1891" s="27" t="s">
        <v>5796</v>
      </c>
      <c r="G1891" s="27" t="s">
        <v>5784</v>
      </c>
      <c r="H1891" s="27" t="s">
        <v>97</v>
      </c>
      <c r="I1891">
        <v>1</v>
      </c>
    </row>
    <row r="1892" spans="1:9">
      <c r="A1892" t="s">
        <v>2307</v>
      </c>
      <c r="B1892" s="27" t="s">
        <v>3228</v>
      </c>
      <c r="C1892" s="27" t="s">
        <v>5774</v>
      </c>
      <c r="D1892">
        <f>VLOOKUP(tblTargetMedicos[[#This Row],[codigo_id]],[1]DIM_REPRESENTANTE_MEDICO!$C:$F,4,0)</f>
        <v>4</v>
      </c>
      <c r="E1892">
        <f>VLOOKUP(tblTargetMedicos[[#This Row],[codigo_id]],[1]DIM_REPRESENTANTE_MEDICO!$C:$F,3,0)</f>
        <v>2</v>
      </c>
      <c r="F1892" s="27" t="s">
        <v>5796</v>
      </c>
      <c r="G1892" s="27" t="s">
        <v>5784</v>
      </c>
      <c r="H1892" s="27" t="s">
        <v>96</v>
      </c>
      <c r="I1892">
        <v>1</v>
      </c>
    </row>
    <row r="1893" spans="1:9">
      <c r="A1893" t="s">
        <v>2308</v>
      </c>
      <c r="B1893" s="27" t="s">
        <v>3228</v>
      </c>
      <c r="C1893" s="27" t="s">
        <v>5774</v>
      </c>
      <c r="D1893">
        <f>VLOOKUP(tblTargetMedicos[[#This Row],[codigo_id]],[1]DIM_REPRESENTANTE_MEDICO!$C:$F,4,0)</f>
        <v>4</v>
      </c>
      <c r="E1893">
        <f>VLOOKUP(tblTargetMedicos[[#This Row],[codigo_id]],[1]DIM_REPRESENTANTE_MEDICO!$C:$F,3,0)</f>
        <v>2</v>
      </c>
      <c r="F1893" s="27" t="s">
        <v>5796</v>
      </c>
      <c r="G1893" s="27" t="s">
        <v>5784</v>
      </c>
      <c r="H1893" s="27" t="s">
        <v>97</v>
      </c>
      <c r="I1893">
        <v>1</v>
      </c>
    </row>
    <row r="1894" spans="1:9">
      <c r="A1894" t="s">
        <v>2309</v>
      </c>
      <c r="B1894" s="27" t="s">
        <v>3228</v>
      </c>
      <c r="C1894" s="27" t="s">
        <v>5774</v>
      </c>
      <c r="D1894">
        <f>VLOOKUP(tblTargetMedicos[[#This Row],[codigo_id]],[1]DIM_REPRESENTANTE_MEDICO!$C:$F,4,0)</f>
        <v>4</v>
      </c>
      <c r="E1894">
        <f>VLOOKUP(tblTargetMedicos[[#This Row],[codigo_id]],[1]DIM_REPRESENTANTE_MEDICO!$C:$F,3,0)</f>
        <v>2</v>
      </c>
      <c r="F1894" s="27" t="s">
        <v>5796</v>
      </c>
      <c r="G1894" s="27" t="s">
        <v>5785</v>
      </c>
      <c r="H1894" s="27" t="s">
        <v>96</v>
      </c>
      <c r="I1894">
        <v>1</v>
      </c>
    </row>
    <row r="1895" spans="1:9">
      <c r="A1895" t="s">
        <v>2310</v>
      </c>
      <c r="B1895" s="27" t="s">
        <v>3228</v>
      </c>
      <c r="C1895" s="27" t="s">
        <v>5774</v>
      </c>
      <c r="D1895">
        <f>VLOOKUP(tblTargetMedicos[[#This Row],[codigo_id]],[1]DIM_REPRESENTANTE_MEDICO!$C:$F,4,0)</f>
        <v>4</v>
      </c>
      <c r="E1895">
        <f>VLOOKUP(tblTargetMedicos[[#This Row],[codigo_id]],[1]DIM_REPRESENTANTE_MEDICO!$C:$F,3,0)</f>
        <v>2</v>
      </c>
      <c r="F1895" s="27" t="s">
        <v>5796</v>
      </c>
      <c r="G1895" s="27" t="s">
        <v>5784</v>
      </c>
      <c r="H1895" s="27" t="s">
        <v>97</v>
      </c>
      <c r="I1895">
        <v>1</v>
      </c>
    </row>
    <row r="1896" spans="1:9">
      <c r="A1896" t="s">
        <v>2311</v>
      </c>
      <c r="B1896" s="27" t="s">
        <v>3228</v>
      </c>
      <c r="C1896" s="27" t="s">
        <v>5774</v>
      </c>
      <c r="D1896">
        <f>VLOOKUP(tblTargetMedicos[[#This Row],[codigo_id]],[1]DIM_REPRESENTANTE_MEDICO!$C:$F,4,0)</f>
        <v>4</v>
      </c>
      <c r="E1896">
        <f>VLOOKUP(tblTargetMedicos[[#This Row],[codigo_id]],[1]DIM_REPRESENTANTE_MEDICO!$C:$F,3,0)</f>
        <v>2</v>
      </c>
      <c r="F1896" s="27" t="s">
        <v>5796</v>
      </c>
      <c r="G1896" s="27" t="s">
        <v>5784</v>
      </c>
      <c r="H1896" s="27" t="s">
        <v>95</v>
      </c>
      <c r="I1896">
        <v>1</v>
      </c>
    </row>
    <row r="1897" spans="1:9">
      <c r="A1897" t="s">
        <v>2312</v>
      </c>
      <c r="B1897" s="27" t="s">
        <v>3228</v>
      </c>
      <c r="C1897" s="27" t="s">
        <v>5774</v>
      </c>
      <c r="D1897">
        <f>VLOOKUP(tblTargetMedicos[[#This Row],[codigo_id]],[1]DIM_REPRESENTANTE_MEDICO!$C:$F,4,0)</f>
        <v>4</v>
      </c>
      <c r="E1897">
        <f>VLOOKUP(tblTargetMedicos[[#This Row],[codigo_id]],[1]DIM_REPRESENTANTE_MEDICO!$C:$F,3,0)</f>
        <v>2</v>
      </c>
      <c r="F1897" s="27" t="s">
        <v>5796</v>
      </c>
      <c r="G1897" s="27" t="s">
        <v>5783</v>
      </c>
      <c r="H1897" s="27" t="s">
        <v>96</v>
      </c>
      <c r="I1897">
        <v>1</v>
      </c>
    </row>
    <row r="1898" spans="1:9">
      <c r="A1898" t="s">
        <v>2313</v>
      </c>
      <c r="B1898" s="27" t="s">
        <v>3228</v>
      </c>
      <c r="C1898" s="27" t="s">
        <v>5774</v>
      </c>
      <c r="D1898">
        <f>VLOOKUP(tblTargetMedicos[[#This Row],[codigo_id]],[1]DIM_REPRESENTANTE_MEDICO!$C:$F,4,0)</f>
        <v>4</v>
      </c>
      <c r="E1898">
        <f>VLOOKUP(tblTargetMedicos[[#This Row],[codigo_id]],[1]DIM_REPRESENTANTE_MEDICO!$C:$F,3,0)</f>
        <v>2</v>
      </c>
      <c r="F1898" s="27" t="s">
        <v>5796</v>
      </c>
      <c r="G1898" s="27" t="s">
        <v>5785</v>
      </c>
      <c r="H1898" s="27" t="s">
        <v>97</v>
      </c>
      <c r="I1898">
        <v>1</v>
      </c>
    </row>
    <row r="1899" spans="1:9">
      <c r="A1899" t="s">
        <v>2314</v>
      </c>
      <c r="B1899" s="27" t="s">
        <v>3228</v>
      </c>
      <c r="C1899" s="27" t="s">
        <v>5774</v>
      </c>
      <c r="D1899">
        <f>VLOOKUP(tblTargetMedicos[[#This Row],[codigo_id]],[1]DIM_REPRESENTANTE_MEDICO!$C:$F,4,0)</f>
        <v>4</v>
      </c>
      <c r="E1899">
        <f>VLOOKUP(tblTargetMedicos[[#This Row],[codigo_id]],[1]DIM_REPRESENTANTE_MEDICO!$C:$F,3,0)</f>
        <v>2</v>
      </c>
      <c r="F1899" s="27" t="s">
        <v>5796</v>
      </c>
      <c r="G1899" s="27" t="s">
        <v>5779</v>
      </c>
      <c r="H1899" s="27" t="s">
        <v>95</v>
      </c>
      <c r="I1899">
        <v>1</v>
      </c>
    </row>
    <row r="1900" spans="1:9">
      <c r="A1900" t="s">
        <v>2315</v>
      </c>
      <c r="B1900" s="27" t="s">
        <v>3228</v>
      </c>
      <c r="C1900" s="27" t="s">
        <v>5774</v>
      </c>
      <c r="D1900">
        <f>VLOOKUP(tblTargetMedicos[[#This Row],[codigo_id]],[1]DIM_REPRESENTANTE_MEDICO!$C:$F,4,0)</f>
        <v>4</v>
      </c>
      <c r="E1900">
        <f>VLOOKUP(tblTargetMedicos[[#This Row],[codigo_id]],[1]DIM_REPRESENTANTE_MEDICO!$C:$F,3,0)</f>
        <v>2</v>
      </c>
      <c r="F1900" s="27" t="s">
        <v>5796</v>
      </c>
      <c r="G1900" s="27" t="s">
        <v>5786</v>
      </c>
      <c r="H1900" s="27" t="s">
        <v>97</v>
      </c>
      <c r="I1900">
        <v>1</v>
      </c>
    </row>
    <row r="1901" spans="1:9">
      <c r="A1901" t="s">
        <v>2316</v>
      </c>
      <c r="B1901" s="27" t="s">
        <v>3228</v>
      </c>
      <c r="C1901" s="27" t="s">
        <v>5774</v>
      </c>
      <c r="D1901">
        <f>VLOOKUP(tblTargetMedicos[[#This Row],[codigo_id]],[1]DIM_REPRESENTANTE_MEDICO!$C:$F,4,0)</f>
        <v>4</v>
      </c>
      <c r="E1901">
        <f>VLOOKUP(tblTargetMedicos[[#This Row],[codigo_id]],[1]DIM_REPRESENTANTE_MEDICO!$C:$F,3,0)</f>
        <v>2</v>
      </c>
      <c r="F1901" s="27" t="s">
        <v>5796</v>
      </c>
      <c r="G1901" s="27" t="s">
        <v>5781</v>
      </c>
      <c r="H1901" s="27" t="s">
        <v>97</v>
      </c>
      <c r="I1901">
        <v>1</v>
      </c>
    </row>
    <row r="1902" spans="1:9">
      <c r="A1902" t="s">
        <v>2317</v>
      </c>
      <c r="B1902" s="27" t="s">
        <v>3228</v>
      </c>
      <c r="C1902" s="27" t="s">
        <v>5774</v>
      </c>
      <c r="D1902">
        <f>VLOOKUP(tblTargetMedicos[[#This Row],[codigo_id]],[1]DIM_REPRESENTANTE_MEDICO!$C:$F,4,0)</f>
        <v>4</v>
      </c>
      <c r="E1902">
        <f>VLOOKUP(tblTargetMedicos[[#This Row],[codigo_id]],[1]DIM_REPRESENTANTE_MEDICO!$C:$F,3,0)</f>
        <v>2</v>
      </c>
      <c r="F1902" s="27" t="s">
        <v>5796</v>
      </c>
      <c r="G1902" s="27" t="s">
        <v>5781</v>
      </c>
      <c r="H1902" s="27" t="s">
        <v>97</v>
      </c>
      <c r="I1902">
        <v>1</v>
      </c>
    </row>
    <row r="1903" spans="1:9">
      <c r="A1903" t="s">
        <v>2318</v>
      </c>
      <c r="B1903" s="27" t="s">
        <v>3228</v>
      </c>
      <c r="C1903" s="27" t="s">
        <v>5774</v>
      </c>
      <c r="D1903">
        <f>VLOOKUP(tblTargetMedicos[[#This Row],[codigo_id]],[1]DIM_REPRESENTANTE_MEDICO!$C:$F,4,0)</f>
        <v>4</v>
      </c>
      <c r="E1903">
        <f>VLOOKUP(tblTargetMedicos[[#This Row],[codigo_id]],[1]DIM_REPRESENTANTE_MEDICO!$C:$F,3,0)</f>
        <v>2</v>
      </c>
      <c r="F1903" s="27" t="s">
        <v>5796</v>
      </c>
      <c r="G1903" s="27" t="s">
        <v>5782</v>
      </c>
      <c r="H1903" s="27" t="s">
        <v>96</v>
      </c>
      <c r="I1903">
        <v>1</v>
      </c>
    </row>
    <row r="1904" spans="1:9">
      <c r="A1904" t="s">
        <v>2319</v>
      </c>
      <c r="B1904" s="27" t="s">
        <v>3228</v>
      </c>
      <c r="C1904" s="27" t="s">
        <v>5774</v>
      </c>
      <c r="D1904">
        <f>VLOOKUP(tblTargetMedicos[[#This Row],[codigo_id]],[1]DIM_REPRESENTANTE_MEDICO!$C:$F,4,0)</f>
        <v>4</v>
      </c>
      <c r="E1904">
        <f>VLOOKUP(tblTargetMedicos[[#This Row],[codigo_id]],[1]DIM_REPRESENTANTE_MEDICO!$C:$F,3,0)</f>
        <v>2</v>
      </c>
      <c r="F1904" s="27" t="s">
        <v>5796</v>
      </c>
      <c r="G1904" s="27" t="s">
        <v>5783</v>
      </c>
      <c r="H1904" s="27" t="s">
        <v>96</v>
      </c>
      <c r="I1904">
        <v>1</v>
      </c>
    </row>
    <row r="1905" spans="1:9">
      <c r="A1905" t="s">
        <v>2320</v>
      </c>
      <c r="B1905" s="27" t="s">
        <v>3228</v>
      </c>
      <c r="C1905" s="27" t="s">
        <v>5774</v>
      </c>
      <c r="D1905">
        <f>VLOOKUP(tblTargetMedicos[[#This Row],[codigo_id]],[1]DIM_REPRESENTANTE_MEDICO!$C:$F,4,0)</f>
        <v>4</v>
      </c>
      <c r="E1905">
        <f>VLOOKUP(tblTargetMedicos[[#This Row],[codigo_id]],[1]DIM_REPRESENTANTE_MEDICO!$C:$F,3,0)</f>
        <v>2</v>
      </c>
      <c r="F1905" s="27" t="s">
        <v>5796</v>
      </c>
      <c r="G1905" s="27" t="s">
        <v>5785</v>
      </c>
      <c r="H1905" s="27" t="s">
        <v>96</v>
      </c>
      <c r="I1905">
        <v>1</v>
      </c>
    </row>
    <row r="1906" spans="1:9">
      <c r="A1906" t="s">
        <v>2321</v>
      </c>
      <c r="B1906" s="27" t="s">
        <v>3228</v>
      </c>
      <c r="C1906" s="27" t="s">
        <v>5774</v>
      </c>
      <c r="D1906">
        <f>VLOOKUP(tblTargetMedicos[[#This Row],[codigo_id]],[1]DIM_REPRESENTANTE_MEDICO!$C:$F,4,0)</f>
        <v>4</v>
      </c>
      <c r="E1906">
        <f>VLOOKUP(tblTargetMedicos[[#This Row],[codigo_id]],[1]DIM_REPRESENTANTE_MEDICO!$C:$F,3,0)</f>
        <v>2</v>
      </c>
      <c r="F1906" s="27" t="s">
        <v>5796</v>
      </c>
      <c r="G1906" s="27" t="s">
        <v>5784</v>
      </c>
      <c r="H1906" s="27" t="s">
        <v>96</v>
      </c>
      <c r="I1906">
        <v>1</v>
      </c>
    </row>
    <row r="1907" spans="1:9">
      <c r="A1907" t="s">
        <v>2322</v>
      </c>
      <c r="B1907" s="27" t="s">
        <v>3228</v>
      </c>
      <c r="C1907" s="27" t="s">
        <v>5774</v>
      </c>
      <c r="D1907">
        <f>VLOOKUP(tblTargetMedicos[[#This Row],[codigo_id]],[1]DIM_REPRESENTANTE_MEDICO!$C:$F,4,0)</f>
        <v>4</v>
      </c>
      <c r="E1907">
        <f>VLOOKUP(tblTargetMedicos[[#This Row],[codigo_id]],[1]DIM_REPRESENTANTE_MEDICO!$C:$F,3,0)</f>
        <v>2</v>
      </c>
      <c r="F1907" s="27" t="s">
        <v>5796</v>
      </c>
      <c r="G1907" s="27" t="s">
        <v>5784</v>
      </c>
      <c r="H1907" s="27" t="s">
        <v>96</v>
      </c>
      <c r="I1907">
        <v>1</v>
      </c>
    </row>
    <row r="1908" spans="1:9">
      <c r="A1908" t="s">
        <v>2323</v>
      </c>
      <c r="B1908" s="27" t="s">
        <v>3228</v>
      </c>
      <c r="C1908" s="27" t="s">
        <v>5774</v>
      </c>
      <c r="D1908">
        <f>VLOOKUP(tblTargetMedicos[[#This Row],[codigo_id]],[1]DIM_REPRESENTANTE_MEDICO!$C:$F,4,0)</f>
        <v>4</v>
      </c>
      <c r="E1908">
        <f>VLOOKUP(tblTargetMedicos[[#This Row],[codigo_id]],[1]DIM_REPRESENTANTE_MEDICO!$C:$F,3,0)</f>
        <v>2</v>
      </c>
      <c r="F1908" s="27" t="s">
        <v>5796</v>
      </c>
      <c r="G1908" s="27" t="s">
        <v>5784</v>
      </c>
      <c r="H1908" s="27" t="s">
        <v>97</v>
      </c>
      <c r="I1908">
        <v>1</v>
      </c>
    </row>
    <row r="1909" spans="1:9">
      <c r="A1909" t="s">
        <v>2324</v>
      </c>
      <c r="B1909" s="27" t="s">
        <v>3228</v>
      </c>
      <c r="C1909" s="27" t="s">
        <v>5774</v>
      </c>
      <c r="D1909">
        <f>VLOOKUP(tblTargetMedicos[[#This Row],[codigo_id]],[1]DIM_REPRESENTANTE_MEDICO!$C:$F,4,0)</f>
        <v>4</v>
      </c>
      <c r="E1909">
        <f>VLOOKUP(tblTargetMedicos[[#This Row],[codigo_id]],[1]DIM_REPRESENTANTE_MEDICO!$C:$F,3,0)</f>
        <v>2</v>
      </c>
      <c r="F1909" s="27" t="s">
        <v>5796</v>
      </c>
      <c r="G1909" s="27" t="s">
        <v>5784</v>
      </c>
      <c r="H1909" s="27" t="s">
        <v>96</v>
      </c>
      <c r="I1909">
        <v>1</v>
      </c>
    </row>
    <row r="1910" spans="1:9">
      <c r="A1910" t="s">
        <v>2325</v>
      </c>
      <c r="B1910" s="27" t="s">
        <v>3228</v>
      </c>
      <c r="C1910" s="27" t="s">
        <v>5774</v>
      </c>
      <c r="D1910">
        <f>VLOOKUP(tblTargetMedicos[[#This Row],[codigo_id]],[1]DIM_REPRESENTANTE_MEDICO!$C:$F,4,0)</f>
        <v>4</v>
      </c>
      <c r="E1910">
        <f>VLOOKUP(tblTargetMedicos[[#This Row],[codigo_id]],[1]DIM_REPRESENTANTE_MEDICO!$C:$F,3,0)</f>
        <v>2</v>
      </c>
      <c r="F1910" s="27" t="s">
        <v>5796</v>
      </c>
      <c r="G1910" s="27" t="s">
        <v>5783</v>
      </c>
      <c r="H1910" s="27" t="s">
        <v>96</v>
      </c>
      <c r="I1910">
        <v>1</v>
      </c>
    </row>
    <row r="1911" spans="1:9">
      <c r="A1911" t="s">
        <v>2326</v>
      </c>
      <c r="B1911" s="27" t="s">
        <v>3228</v>
      </c>
      <c r="C1911" s="27" t="s">
        <v>5774</v>
      </c>
      <c r="D1911">
        <f>VLOOKUP(tblTargetMedicos[[#This Row],[codigo_id]],[1]DIM_REPRESENTANTE_MEDICO!$C:$F,4,0)</f>
        <v>4</v>
      </c>
      <c r="E1911">
        <f>VLOOKUP(tblTargetMedicos[[#This Row],[codigo_id]],[1]DIM_REPRESENTANTE_MEDICO!$C:$F,3,0)</f>
        <v>2</v>
      </c>
      <c r="F1911" s="27" t="s">
        <v>5796</v>
      </c>
      <c r="G1911" s="27" t="s">
        <v>5783</v>
      </c>
      <c r="H1911" s="27" t="s">
        <v>97</v>
      </c>
      <c r="I1911">
        <v>1</v>
      </c>
    </row>
    <row r="1912" spans="1:9">
      <c r="A1912" t="s">
        <v>2327</v>
      </c>
      <c r="B1912" s="27" t="s">
        <v>3228</v>
      </c>
      <c r="C1912" s="27" t="s">
        <v>5774</v>
      </c>
      <c r="D1912">
        <f>VLOOKUP(tblTargetMedicos[[#This Row],[codigo_id]],[1]DIM_REPRESENTANTE_MEDICO!$C:$F,4,0)</f>
        <v>4</v>
      </c>
      <c r="E1912">
        <f>VLOOKUP(tblTargetMedicos[[#This Row],[codigo_id]],[1]DIM_REPRESENTANTE_MEDICO!$C:$F,3,0)</f>
        <v>2</v>
      </c>
      <c r="F1912" s="27" t="s">
        <v>5796</v>
      </c>
      <c r="G1912" s="27" t="s">
        <v>5787</v>
      </c>
      <c r="H1912" s="27" t="s">
        <v>96</v>
      </c>
      <c r="I1912">
        <v>1</v>
      </c>
    </row>
    <row r="1913" spans="1:9">
      <c r="A1913" t="s">
        <v>2328</v>
      </c>
      <c r="B1913" s="27" t="s">
        <v>3228</v>
      </c>
      <c r="C1913" s="27" t="s">
        <v>5774</v>
      </c>
      <c r="D1913">
        <f>VLOOKUP(tblTargetMedicos[[#This Row],[codigo_id]],[1]DIM_REPRESENTANTE_MEDICO!$C:$F,4,0)</f>
        <v>4</v>
      </c>
      <c r="E1913">
        <f>VLOOKUP(tblTargetMedicos[[#This Row],[codigo_id]],[1]DIM_REPRESENTANTE_MEDICO!$C:$F,3,0)</f>
        <v>2</v>
      </c>
      <c r="F1913" s="27" t="s">
        <v>5796</v>
      </c>
      <c r="G1913" s="27" t="s">
        <v>5785</v>
      </c>
      <c r="H1913" s="27" t="s">
        <v>96</v>
      </c>
      <c r="I1913">
        <v>1</v>
      </c>
    </row>
    <row r="1914" spans="1:9">
      <c r="A1914" t="s">
        <v>2329</v>
      </c>
      <c r="B1914" s="27" t="s">
        <v>3228</v>
      </c>
      <c r="C1914" s="27" t="s">
        <v>5774</v>
      </c>
      <c r="D1914">
        <f>VLOOKUP(tblTargetMedicos[[#This Row],[codigo_id]],[1]DIM_REPRESENTANTE_MEDICO!$C:$F,4,0)</f>
        <v>4</v>
      </c>
      <c r="E1914">
        <f>VLOOKUP(tblTargetMedicos[[#This Row],[codigo_id]],[1]DIM_REPRESENTANTE_MEDICO!$C:$F,3,0)</f>
        <v>2</v>
      </c>
      <c r="F1914" s="27" t="s">
        <v>5796</v>
      </c>
      <c r="G1914" s="27" t="s">
        <v>5786</v>
      </c>
      <c r="H1914" s="27" t="s">
        <v>96</v>
      </c>
      <c r="I1914">
        <v>1</v>
      </c>
    </row>
    <row r="1915" spans="1:9">
      <c r="A1915" t="s">
        <v>2330</v>
      </c>
      <c r="B1915" s="27" t="s">
        <v>3228</v>
      </c>
      <c r="C1915" s="27" t="s">
        <v>5774</v>
      </c>
      <c r="D1915">
        <f>VLOOKUP(tblTargetMedicos[[#This Row],[codigo_id]],[1]DIM_REPRESENTANTE_MEDICO!$C:$F,4,0)</f>
        <v>4</v>
      </c>
      <c r="E1915">
        <f>VLOOKUP(tblTargetMedicos[[#This Row],[codigo_id]],[1]DIM_REPRESENTANTE_MEDICO!$C:$F,3,0)</f>
        <v>2</v>
      </c>
      <c r="F1915" s="27" t="s">
        <v>5796</v>
      </c>
      <c r="G1915" s="27" t="s">
        <v>5784</v>
      </c>
      <c r="H1915" s="27" t="s">
        <v>97</v>
      </c>
      <c r="I1915">
        <v>1</v>
      </c>
    </row>
    <row r="1916" spans="1:9">
      <c r="A1916" t="s">
        <v>2331</v>
      </c>
      <c r="B1916" s="27" t="s">
        <v>3228</v>
      </c>
      <c r="C1916" s="27" t="s">
        <v>5774</v>
      </c>
      <c r="D1916">
        <f>VLOOKUP(tblTargetMedicos[[#This Row],[codigo_id]],[1]DIM_REPRESENTANTE_MEDICO!$C:$F,4,0)</f>
        <v>4</v>
      </c>
      <c r="E1916">
        <f>VLOOKUP(tblTargetMedicos[[#This Row],[codigo_id]],[1]DIM_REPRESENTANTE_MEDICO!$C:$F,3,0)</f>
        <v>2</v>
      </c>
      <c r="F1916" s="27" t="s">
        <v>5796</v>
      </c>
      <c r="G1916" s="27" t="s">
        <v>5785</v>
      </c>
      <c r="H1916" s="27" t="s">
        <v>96</v>
      </c>
      <c r="I1916">
        <v>1</v>
      </c>
    </row>
    <row r="1917" spans="1:9">
      <c r="A1917" t="s">
        <v>2332</v>
      </c>
      <c r="B1917" s="27" t="s">
        <v>3228</v>
      </c>
      <c r="C1917" s="27" t="s">
        <v>5774</v>
      </c>
      <c r="D1917">
        <f>VLOOKUP(tblTargetMedicos[[#This Row],[codigo_id]],[1]DIM_REPRESENTANTE_MEDICO!$C:$F,4,0)</f>
        <v>4</v>
      </c>
      <c r="E1917">
        <f>VLOOKUP(tblTargetMedicos[[#This Row],[codigo_id]],[1]DIM_REPRESENTANTE_MEDICO!$C:$F,3,0)</f>
        <v>2</v>
      </c>
      <c r="F1917" s="27" t="s">
        <v>5796</v>
      </c>
      <c r="G1917" s="27" t="s">
        <v>5783</v>
      </c>
      <c r="H1917" s="27" t="s">
        <v>96</v>
      </c>
      <c r="I1917">
        <v>1</v>
      </c>
    </row>
    <row r="1918" spans="1:9">
      <c r="A1918" t="s">
        <v>2333</v>
      </c>
      <c r="B1918" s="27" t="s">
        <v>3228</v>
      </c>
      <c r="C1918" s="27" t="s">
        <v>5774</v>
      </c>
      <c r="D1918">
        <f>VLOOKUP(tblTargetMedicos[[#This Row],[codigo_id]],[1]DIM_REPRESENTANTE_MEDICO!$C:$F,4,0)</f>
        <v>4</v>
      </c>
      <c r="E1918">
        <f>VLOOKUP(tblTargetMedicos[[#This Row],[codigo_id]],[1]DIM_REPRESENTANTE_MEDICO!$C:$F,3,0)</f>
        <v>2</v>
      </c>
      <c r="F1918" s="27" t="s">
        <v>5796</v>
      </c>
      <c r="G1918" s="27" t="s">
        <v>5784</v>
      </c>
      <c r="H1918" s="27" t="s">
        <v>96</v>
      </c>
      <c r="I1918">
        <v>1</v>
      </c>
    </row>
    <row r="1919" spans="1:9">
      <c r="A1919" t="s">
        <v>2334</v>
      </c>
      <c r="B1919" s="27" t="s">
        <v>3228</v>
      </c>
      <c r="C1919" s="27" t="s">
        <v>5774</v>
      </c>
      <c r="D1919">
        <f>VLOOKUP(tblTargetMedicos[[#This Row],[codigo_id]],[1]DIM_REPRESENTANTE_MEDICO!$C:$F,4,0)</f>
        <v>4</v>
      </c>
      <c r="E1919">
        <f>VLOOKUP(tblTargetMedicos[[#This Row],[codigo_id]],[1]DIM_REPRESENTANTE_MEDICO!$C:$F,3,0)</f>
        <v>2</v>
      </c>
      <c r="F1919" s="27" t="s">
        <v>5796</v>
      </c>
      <c r="G1919" s="27" t="s">
        <v>5779</v>
      </c>
      <c r="H1919" s="27" t="s">
        <v>96</v>
      </c>
      <c r="I1919">
        <v>1</v>
      </c>
    </row>
    <row r="1920" spans="1:9">
      <c r="A1920" t="s">
        <v>2335</v>
      </c>
      <c r="B1920" s="27" t="s">
        <v>3228</v>
      </c>
      <c r="C1920" s="27" t="s">
        <v>5774</v>
      </c>
      <c r="D1920">
        <f>VLOOKUP(tblTargetMedicos[[#This Row],[codigo_id]],[1]DIM_REPRESENTANTE_MEDICO!$C:$F,4,0)</f>
        <v>4</v>
      </c>
      <c r="E1920">
        <f>VLOOKUP(tblTargetMedicos[[#This Row],[codigo_id]],[1]DIM_REPRESENTANTE_MEDICO!$C:$F,3,0)</f>
        <v>2</v>
      </c>
      <c r="F1920" s="27" t="s">
        <v>5796</v>
      </c>
      <c r="G1920" s="27" t="s">
        <v>5784</v>
      </c>
      <c r="H1920" s="27" t="s">
        <v>96</v>
      </c>
      <c r="I1920">
        <v>1</v>
      </c>
    </row>
    <row r="1921" spans="1:9">
      <c r="A1921" t="s">
        <v>2336</v>
      </c>
      <c r="B1921" s="27" t="s">
        <v>3228</v>
      </c>
      <c r="C1921" s="27" t="s">
        <v>5774</v>
      </c>
      <c r="D1921">
        <f>VLOOKUP(tblTargetMedicos[[#This Row],[codigo_id]],[1]DIM_REPRESENTANTE_MEDICO!$C:$F,4,0)</f>
        <v>4</v>
      </c>
      <c r="E1921">
        <f>VLOOKUP(tblTargetMedicos[[#This Row],[codigo_id]],[1]DIM_REPRESENTANTE_MEDICO!$C:$F,3,0)</f>
        <v>2</v>
      </c>
      <c r="F1921" s="27" t="s">
        <v>5796</v>
      </c>
      <c r="G1921" s="27" t="s">
        <v>5791</v>
      </c>
      <c r="H1921" s="27" t="s">
        <v>96</v>
      </c>
      <c r="I1921">
        <v>1</v>
      </c>
    </row>
    <row r="1922" spans="1:9">
      <c r="A1922" t="s">
        <v>2337</v>
      </c>
      <c r="B1922" s="27" t="s">
        <v>3228</v>
      </c>
      <c r="C1922" s="27" t="s">
        <v>5774</v>
      </c>
      <c r="D1922">
        <f>VLOOKUP(tblTargetMedicos[[#This Row],[codigo_id]],[1]DIM_REPRESENTANTE_MEDICO!$C:$F,4,0)</f>
        <v>4</v>
      </c>
      <c r="E1922">
        <f>VLOOKUP(tblTargetMedicos[[#This Row],[codigo_id]],[1]DIM_REPRESENTANTE_MEDICO!$C:$F,3,0)</f>
        <v>2</v>
      </c>
      <c r="F1922" s="27" t="s">
        <v>5796</v>
      </c>
      <c r="G1922" s="27" t="s">
        <v>5784</v>
      </c>
      <c r="H1922" s="27" t="s">
        <v>96</v>
      </c>
      <c r="I1922">
        <v>1</v>
      </c>
    </row>
    <row r="1923" spans="1:9">
      <c r="A1923" t="s">
        <v>2338</v>
      </c>
      <c r="B1923" s="27" t="s">
        <v>3228</v>
      </c>
      <c r="C1923" s="27" t="s">
        <v>5774</v>
      </c>
      <c r="D1923">
        <f>VLOOKUP(tblTargetMedicos[[#This Row],[codigo_id]],[1]DIM_REPRESENTANTE_MEDICO!$C:$F,4,0)</f>
        <v>4</v>
      </c>
      <c r="E1923">
        <f>VLOOKUP(tblTargetMedicos[[#This Row],[codigo_id]],[1]DIM_REPRESENTANTE_MEDICO!$C:$F,3,0)</f>
        <v>2</v>
      </c>
      <c r="F1923" s="27" t="s">
        <v>5796</v>
      </c>
      <c r="G1923" s="27" t="s">
        <v>5784</v>
      </c>
      <c r="H1923" s="27" t="s">
        <v>97</v>
      </c>
      <c r="I1923">
        <v>1</v>
      </c>
    </row>
    <row r="1924" spans="1:9">
      <c r="A1924" t="s">
        <v>2339</v>
      </c>
      <c r="B1924" s="27" t="s">
        <v>3228</v>
      </c>
      <c r="C1924" s="27" t="s">
        <v>5774</v>
      </c>
      <c r="D1924">
        <f>VLOOKUP(tblTargetMedicos[[#This Row],[codigo_id]],[1]DIM_REPRESENTANTE_MEDICO!$C:$F,4,0)</f>
        <v>4</v>
      </c>
      <c r="E1924">
        <f>VLOOKUP(tblTargetMedicos[[#This Row],[codigo_id]],[1]DIM_REPRESENTANTE_MEDICO!$C:$F,3,0)</f>
        <v>2</v>
      </c>
      <c r="F1924" s="27" t="s">
        <v>5796</v>
      </c>
      <c r="G1924" s="27" t="s">
        <v>5786</v>
      </c>
      <c r="H1924" s="27" t="s">
        <v>96</v>
      </c>
      <c r="I1924">
        <v>1</v>
      </c>
    </row>
    <row r="1925" spans="1:9">
      <c r="A1925" t="s">
        <v>2340</v>
      </c>
      <c r="B1925" s="27" t="s">
        <v>3228</v>
      </c>
      <c r="C1925" s="27" t="s">
        <v>5774</v>
      </c>
      <c r="D1925">
        <f>VLOOKUP(tblTargetMedicos[[#This Row],[codigo_id]],[1]DIM_REPRESENTANTE_MEDICO!$C:$F,4,0)</f>
        <v>4</v>
      </c>
      <c r="E1925">
        <f>VLOOKUP(tblTargetMedicos[[#This Row],[codigo_id]],[1]DIM_REPRESENTANTE_MEDICO!$C:$F,3,0)</f>
        <v>2</v>
      </c>
      <c r="F1925" s="27" t="s">
        <v>5796</v>
      </c>
      <c r="G1925" s="27" t="s">
        <v>5779</v>
      </c>
      <c r="H1925" s="27" t="s">
        <v>95</v>
      </c>
      <c r="I1925">
        <v>1</v>
      </c>
    </row>
    <row r="1926" spans="1:9">
      <c r="A1926" t="s">
        <v>2341</v>
      </c>
      <c r="B1926" s="27" t="s">
        <v>3228</v>
      </c>
      <c r="C1926" s="27" t="s">
        <v>5774</v>
      </c>
      <c r="D1926">
        <f>VLOOKUP(tblTargetMedicos[[#This Row],[codigo_id]],[1]DIM_REPRESENTANTE_MEDICO!$C:$F,4,0)</f>
        <v>4</v>
      </c>
      <c r="E1926">
        <f>VLOOKUP(tblTargetMedicos[[#This Row],[codigo_id]],[1]DIM_REPRESENTANTE_MEDICO!$C:$F,3,0)</f>
        <v>2</v>
      </c>
      <c r="F1926" s="27" t="s">
        <v>5796</v>
      </c>
      <c r="G1926" s="27" t="s">
        <v>5783</v>
      </c>
      <c r="H1926" s="27" t="s">
        <v>97</v>
      </c>
      <c r="I1926">
        <v>1</v>
      </c>
    </row>
    <row r="1927" spans="1:9">
      <c r="A1927" t="s">
        <v>2342</v>
      </c>
      <c r="B1927" s="27" t="s">
        <v>3228</v>
      </c>
      <c r="C1927" s="27" t="s">
        <v>5774</v>
      </c>
      <c r="D1927">
        <f>VLOOKUP(tblTargetMedicos[[#This Row],[codigo_id]],[1]DIM_REPRESENTANTE_MEDICO!$C:$F,4,0)</f>
        <v>4</v>
      </c>
      <c r="E1927">
        <f>VLOOKUP(tblTargetMedicos[[#This Row],[codigo_id]],[1]DIM_REPRESENTANTE_MEDICO!$C:$F,3,0)</f>
        <v>2</v>
      </c>
      <c r="F1927" s="27" t="s">
        <v>5796</v>
      </c>
      <c r="G1927" s="27" t="s">
        <v>5785</v>
      </c>
      <c r="H1927" s="27" t="s">
        <v>96</v>
      </c>
      <c r="I1927">
        <v>1</v>
      </c>
    </row>
    <row r="1928" spans="1:9">
      <c r="A1928" t="s">
        <v>2343</v>
      </c>
      <c r="B1928" s="27" t="s">
        <v>3228</v>
      </c>
      <c r="C1928" s="27" t="s">
        <v>5774</v>
      </c>
      <c r="D1928">
        <f>VLOOKUP(tblTargetMedicos[[#This Row],[codigo_id]],[1]DIM_REPRESENTANTE_MEDICO!$C:$F,4,0)</f>
        <v>4</v>
      </c>
      <c r="E1928">
        <f>VLOOKUP(tblTargetMedicos[[#This Row],[codigo_id]],[1]DIM_REPRESENTANTE_MEDICO!$C:$F,3,0)</f>
        <v>2</v>
      </c>
      <c r="F1928" s="27" t="s">
        <v>5796</v>
      </c>
      <c r="G1928" s="27" t="s">
        <v>5784</v>
      </c>
      <c r="H1928" s="27" t="s">
        <v>97</v>
      </c>
      <c r="I1928">
        <v>1</v>
      </c>
    </row>
    <row r="1929" spans="1:9">
      <c r="A1929" t="s">
        <v>2344</v>
      </c>
      <c r="B1929" s="27" t="s">
        <v>3228</v>
      </c>
      <c r="C1929" s="27" t="s">
        <v>5774</v>
      </c>
      <c r="D1929">
        <f>VLOOKUP(tblTargetMedicos[[#This Row],[codigo_id]],[1]DIM_REPRESENTANTE_MEDICO!$C:$F,4,0)</f>
        <v>4</v>
      </c>
      <c r="E1929">
        <f>VLOOKUP(tblTargetMedicos[[#This Row],[codigo_id]],[1]DIM_REPRESENTANTE_MEDICO!$C:$F,3,0)</f>
        <v>2</v>
      </c>
      <c r="F1929" s="27" t="s">
        <v>5796</v>
      </c>
      <c r="G1929" s="27" t="s">
        <v>5791</v>
      </c>
      <c r="H1929" s="27" t="s">
        <v>96</v>
      </c>
      <c r="I1929">
        <v>1</v>
      </c>
    </row>
    <row r="1930" spans="1:9">
      <c r="A1930" t="s">
        <v>2345</v>
      </c>
      <c r="B1930" s="27" t="s">
        <v>3228</v>
      </c>
      <c r="C1930" s="27" t="s">
        <v>5774</v>
      </c>
      <c r="D1930">
        <f>VLOOKUP(tblTargetMedicos[[#This Row],[codigo_id]],[1]DIM_REPRESENTANTE_MEDICO!$C:$F,4,0)</f>
        <v>4</v>
      </c>
      <c r="E1930">
        <f>VLOOKUP(tblTargetMedicos[[#This Row],[codigo_id]],[1]DIM_REPRESENTANTE_MEDICO!$C:$F,3,0)</f>
        <v>2</v>
      </c>
      <c r="F1930" s="27" t="s">
        <v>5796</v>
      </c>
      <c r="G1930" s="27" t="s">
        <v>5787</v>
      </c>
      <c r="H1930" s="27" t="s">
        <v>96</v>
      </c>
      <c r="I1930">
        <v>1</v>
      </c>
    </row>
    <row r="1931" spans="1:9">
      <c r="A1931" t="s">
        <v>2346</v>
      </c>
      <c r="B1931" s="27" t="s">
        <v>3228</v>
      </c>
      <c r="C1931" s="27" t="s">
        <v>5774</v>
      </c>
      <c r="D1931">
        <f>VLOOKUP(tblTargetMedicos[[#This Row],[codigo_id]],[1]DIM_REPRESENTANTE_MEDICO!$C:$F,4,0)</f>
        <v>4</v>
      </c>
      <c r="E1931">
        <f>VLOOKUP(tblTargetMedicos[[#This Row],[codigo_id]],[1]DIM_REPRESENTANTE_MEDICO!$C:$F,3,0)</f>
        <v>2</v>
      </c>
      <c r="F1931" s="27" t="s">
        <v>5796</v>
      </c>
      <c r="G1931" s="27" t="s">
        <v>5788</v>
      </c>
      <c r="H1931" s="27" t="s">
        <v>96</v>
      </c>
      <c r="I1931">
        <v>1</v>
      </c>
    </row>
    <row r="1932" spans="1:9">
      <c r="A1932" t="s">
        <v>2347</v>
      </c>
      <c r="B1932" s="27" t="s">
        <v>3228</v>
      </c>
      <c r="C1932" s="27" t="s">
        <v>5774</v>
      </c>
      <c r="D1932">
        <f>VLOOKUP(tblTargetMedicos[[#This Row],[codigo_id]],[1]DIM_REPRESENTANTE_MEDICO!$C:$F,4,0)</f>
        <v>4</v>
      </c>
      <c r="E1932">
        <f>VLOOKUP(tblTargetMedicos[[#This Row],[codigo_id]],[1]DIM_REPRESENTANTE_MEDICO!$C:$F,3,0)</f>
        <v>2</v>
      </c>
      <c r="F1932" s="27" t="s">
        <v>5796</v>
      </c>
      <c r="G1932" s="27" t="s">
        <v>5784</v>
      </c>
      <c r="H1932" s="27" t="s">
        <v>96</v>
      </c>
      <c r="I1932">
        <v>1</v>
      </c>
    </row>
    <row r="1933" spans="1:9">
      <c r="A1933" t="s">
        <v>2348</v>
      </c>
      <c r="B1933" s="27" t="s">
        <v>3228</v>
      </c>
      <c r="C1933" s="27" t="s">
        <v>5774</v>
      </c>
      <c r="D1933">
        <f>VLOOKUP(tblTargetMedicos[[#This Row],[codigo_id]],[1]DIM_REPRESENTANTE_MEDICO!$C:$F,4,0)</f>
        <v>4</v>
      </c>
      <c r="E1933">
        <f>VLOOKUP(tblTargetMedicos[[#This Row],[codigo_id]],[1]DIM_REPRESENTANTE_MEDICO!$C:$F,3,0)</f>
        <v>2</v>
      </c>
      <c r="F1933" s="27" t="s">
        <v>5796</v>
      </c>
      <c r="G1933" s="27" t="s">
        <v>5780</v>
      </c>
      <c r="H1933" s="27" t="s">
        <v>96</v>
      </c>
      <c r="I1933">
        <v>1</v>
      </c>
    </row>
    <row r="1934" spans="1:9">
      <c r="A1934" t="s">
        <v>2349</v>
      </c>
      <c r="B1934" s="27" t="s">
        <v>3228</v>
      </c>
      <c r="C1934" s="27" t="s">
        <v>5774</v>
      </c>
      <c r="D1934">
        <f>VLOOKUP(tblTargetMedicos[[#This Row],[codigo_id]],[1]DIM_REPRESENTANTE_MEDICO!$C:$F,4,0)</f>
        <v>4</v>
      </c>
      <c r="E1934">
        <f>VLOOKUP(tblTargetMedicos[[#This Row],[codigo_id]],[1]DIM_REPRESENTANTE_MEDICO!$C:$F,3,0)</f>
        <v>2</v>
      </c>
      <c r="F1934" s="27" t="s">
        <v>5796</v>
      </c>
      <c r="G1934" s="27" t="s">
        <v>5783</v>
      </c>
      <c r="H1934" s="27" t="s">
        <v>96</v>
      </c>
      <c r="I1934">
        <v>1</v>
      </c>
    </row>
    <row r="1935" spans="1:9">
      <c r="A1935" t="s">
        <v>2350</v>
      </c>
      <c r="B1935" s="27" t="s">
        <v>3228</v>
      </c>
      <c r="C1935" s="27" t="s">
        <v>5774</v>
      </c>
      <c r="D1935">
        <f>VLOOKUP(tblTargetMedicos[[#This Row],[codigo_id]],[1]DIM_REPRESENTANTE_MEDICO!$C:$F,4,0)</f>
        <v>4</v>
      </c>
      <c r="E1935">
        <f>VLOOKUP(tblTargetMedicos[[#This Row],[codigo_id]],[1]DIM_REPRESENTANTE_MEDICO!$C:$F,3,0)</f>
        <v>2</v>
      </c>
      <c r="F1935" s="27" t="s">
        <v>5796</v>
      </c>
      <c r="G1935" s="27" t="s">
        <v>5779</v>
      </c>
      <c r="H1935" s="27" t="s">
        <v>96</v>
      </c>
      <c r="I1935">
        <v>1</v>
      </c>
    </row>
    <row r="1936" spans="1:9">
      <c r="A1936" t="s">
        <v>2351</v>
      </c>
      <c r="B1936" s="27" t="s">
        <v>3228</v>
      </c>
      <c r="C1936" s="27" t="s">
        <v>5774</v>
      </c>
      <c r="D1936">
        <f>VLOOKUP(tblTargetMedicos[[#This Row],[codigo_id]],[1]DIM_REPRESENTANTE_MEDICO!$C:$F,4,0)</f>
        <v>4</v>
      </c>
      <c r="E1936">
        <f>VLOOKUP(tblTargetMedicos[[#This Row],[codigo_id]],[1]DIM_REPRESENTANTE_MEDICO!$C:$F,3,0)</f>
        <v>2</v>
      </c>
      <c r="F1936" s="27" t="s">
        <v>5796</v>
      </c>
      <c r="G1936" s="27" t="s">
        <v>5788</v>
      </c>
      <c r="H1936" s="27" t="s">
        <v>96</v>
      </c>
      <c r="I1936">
        <v>1</v>
      </c>
    </row>
    <row r="1937" spans="1:9">
      <c r="A1937" t="s">
        <v>2352</v>
      </c>
      <c r="B1937" s="27" t="s">
        <v>3228</v>
      </c>
      <c r="C1937" s="27" t="s">
        <v>5774</v>
      </c>
      <c r="D1937">
        <f>VLOOKUP(tblTargetMedicos[[#This Row],[codigo_id]],[1]DIM_REPRESENTANTE_MEDICO!$C:$F,4,0)</f>
        <v>4</v>
      </c>
      <c r="E1937">
        <f>VLOOKUP(tblTargetMedicos[[#This Row],[codigo_id]],[1]DIM_REPRESENTANTE_MEDICO!$C:$F,3,0)</f>
        <v>2</v>
      </c>
      <c r="F1937" s="27" t="s">
        <v>5796</v>
      </c>
      <c r="G1937" s="27" t="s">
        <v>5783</v>
      </c>
      <c r="H1937" s="27" t="s">
        <v>97</v>
      </c>
      <c r="I1937">
        <v>1</v>
      </c>
    </row>
    <row r="1938" spans="1:9">
      <c r="A1938" t="s">
        <v>2353</v>
      </c>
      <c r="B1938" s="27" t="s">
        <v>3228</v>
      </c>
      <c r="C1938" s="27" t="s">
        <v>5774</v>
      </c>
      <c r="D1938">
        <f>VLOOKUP(tblTargetMedicos[[#This Row],[codigo_id]],[1]DIM_REPRESENTANTE_MEDICO!$C:$F,4,0)</f>
        <v>4</v>
      </c>
      <c r="E1938">
        <f>VLOOKUP(tblTargetMedicos[[#This Row],[codigo_id]],[1]DIM_REPRESENTANTE_MEDICO!$C:$F,3,0)</f>
        <v>2</v>
      </c>
      <c r="F1938" s="27" t="s">
        <v>5796</v>
      </c>
      <c r="G1938" s="27" t="s">
        <v>5779</v>
      </c>
      <c r="H1938" s="27" t="s">
        <v>96</v>
      </c>
      <c r="I1938">
        <v>1</v>
      </c>
    </row>
    <row r="1939" spans="1:9">
      <c r="A1939" t="s">
        <v>2354</v>
      </c>
      <c r="B1939" s="27" t="s">
        <v>3228</v>
      </c>
      <c r="C1939" s="27" t="s">
        <v>5774</v>
      </c>
      <c r="D1939">
        <f>VLOOKUP(tblTargetMedicos[[#This Row],[codigo_id]],[1]DIM_REPRESENTANTE_MEDICO!$C:$F,4,0)</f>
        <v>4</v>
      </c>
      <c r="E1939">
        <f>VLOOKUP(tblTargetMedicos[[#This Row],[codigo_id]],[1]DIM_REPRESENTANTE_MEDICO!$C:$F,3,0)</f>
        <v>2</v>
      </c>
      <c r="F1939" s="27" t="s">
        <v>5796</v>
      </c>
      <c r="G1939" s="27" t="s">
        <v>5783</v>
      </c>
      <c r="H1939" s="27" t="s">
        <v>96</v>
      </c>
      <c r="I1939">
        <v>1</v>
      </c>
    </row>
    <row r="1940" spans="1:9">
      <c r="A1940" t="s">
        <v>2355</v>
      </c>
      <c r="B1940" s="27" t="s">
        <v>3228</v>
      </c>
      <c r="C1940" s="27" t="s">
        <v>5774</v>
      </c>
      <c r="D1940">
        <f>VLOOKUP(tblTargetMedicos[[#This Row],[codigo_id]],[1]DIM_REPRESENTANTE_MEDICO!$C:$F,4,0)</f>
        <v>4</v>
      </c>
      <c r="E1940">
        <f>VLOOKUP(tblTargetMedicos[[#This Row],[codigo_id]],[1]DIM_REPRESENTANTE_MEDICO!$C:$F,3,0)</f>
        <v>2</v>
      </c>
      <c r="F1940" s="27" t="s">
        <v>5796</v>
      </c>
      <c r="G1940" s="27" t="s">
        <v>5783</v>
      </c>
      <c r="H1940" s="27" t="s">
        <v>96</v>
      </c>
      <c r="I1940">
        <v>1</v>
      </c>
    </row>
    <row r="1941" spans="1:9">
      <c r="A1941" t="s">
        <v>2356</v>
      </c>
      <c r="B1941" s="27" t="s">
        <v>3228</v>
      </c>
      <c r="C1941" s="27" t="s">
        <v>5774</v>
      </c>
      <c r="D1941">
        <f>VLOOKUP(tblTargetMedicos[[#This Row],[codigo_id]],[1]DIM_REPRESENTANTE_MEDICO!$C:$F,4,0)</f>
        <v>4</v>
      </c>
      <c r="E1941">
        <f>VLOOKUP(tblTargetMedicos[[#This Row],[codigo_id]],[1]DIM_REPRESENTANTE_MEDICO!$C:$F,3,0)</f>
        <v>2</v>
      </c>
      <c r="F1941" s="27" t="s">
        <v>5796</v>
      </c>
      <c r="G1941" s="27" t="s">
        <v>5783</v>
      </c>
      <c r="H1941" s="27" t="s">
        <v>97</v>
      </c>
      <c r="I1941">
        <v>1</v>
      </c>
    </row>
    <row r="1942" spans="1:9">
      <c r="A1942" t="s">
        <v>2357</v>
      </c>
      <c r="B1942" s="27" t="s">
        <v>3228</v>
      </c>
      <c r="C1942" s="27" t="s">
        <v>5774</v>
      </c>
      <c r="D1942">
        <f>VLOOKUP(tblTargetMedicos[[#This Row],[codigo_id]],[1]DIM_REPRESENTANTE_MEDICO!$C:$F,4,0)</f>
        <v>4</v>
      </c>
      <c r="E1942">
        <f>VLOOKUP(tblTargetMedicos[[#This Row],[codigo_id]],[1]DIM_REPRESENTANTE_MEDICO!$C:$F,3,0)</f>
        <v>2</v>
      </c>
      <c r="F1942" s="27" t="s">
        <v>5796</v>
      </c>
      <c r="G1942" s="27" t="s">
        <v>5784</v>
      </c>
      <c r="H1942" s="27" t="s">
        <v>96</v>
      </c>
      <c r="I1942">
        <v>1</v>
      </c>
    </row>
    <row r="1943" spans="1:9">
      <c r="A1943" t="s">
        <v>2358</v>
      </c>
      <c r="B1943" s="27" t="s">
        <v>3228</v>
      </c>
      <c r="C1943" s="27" t="s">
        <v>5774</v>
      </c>
      <c r="D1943">
        <f>VLOOKUP(tblTargetMedicos[[#This Row],[codigo_id]],[1]DIM_REPRESENTANTE_MEDICO!$C:$F,4,0)</f>
        <v>4</v>
      </c>
      <c r="E1943">
        <f>VLOOKUP(tblTargetMedicos[[#This Row],[codigo_id]],[1]DIM_REPRESENTANTE_MEDICO!$C:$F,3,0)</f>
        <v>2</v>
      </c>
      <c r="F1943" s="27" t="s">
        <v>5796</v>
      </c>
      <c r="G1943" s="27" t="s">
        <v>5779</v>
      </c>
      <c r="H1943" s="27" t="s">
        <v>96</v>
      </c>
      <c r="I1943">
        <v>1</v>
      </c>
    </row>
    <row r="1944" spans="1:9">
      <c r="A1944" t="s">
        <v>2359</v>
      </c>
      <c r="B1944" s="27" t="s">
        <v>3228</v>
      </c>
      <c r="C1944" s="27" t="s">
        <v>5774</v>
      </c>
      <c r="D1944">
        <f>VLOOKUP(tblTargetMedicos[[#This Row],[codigo_id]],[1]DIM_REPRESENTANTE_MEDICO!$C:$F,4,0)</f>
        <v>4</v>
      </c>
      <c r="E1944">
        <f>VLOOKUP(tblTargetMedicos[[#This Row],[codigo_id]],[1]DIM_REPRESENTANTE_MEDICO!$C:$F,3,0)</f>
        <v>2</v>
      </c>
      <c r="F1944" s="27" t="s">
        <v>5796</v>
      </c>
      <c r="G1944" s="27" t="s">
        <v>5784</v>
      </c>
      <c r="H1944" s="27" t="s">
        <v>96</v>
      </c>
      <c r="I1944">
        <v>1</v>
      </c>
    </row>
    <row r="1945" spans="1:9">
      <c r="A1945" t="s">
        <v>2360</v>
      </c>
      <c r="B1945" s="27" t="s">
        <v>3228</v>
      </c>
      <c r="C1945" s="27" t="s">
        <v>5774</v>
      </c>
      <c r="D1945">
        <f>VLOOKUP(tblTargetMedicos[[#This Row],[codigo_id]],[1]DIM_REPRESENTANTE_MEDICO!$C:$F,4,0)</f>
        <v>4</v>
      </c>
      <c r="E1945">
        <f>VLOOKUP(tblTargetMedicos[[#This Row],[codigo_id]],[1]DIM_REPRESENTANTE_MEDICO!$C:$F,3,0)</f>
        <v>2</v>
      </c>
      <c r="F1945" s="27" t="s">
        <v>5796</v>
      </c>
      <c r="G1945" s="27" t="s">
        <v>5783</v>
      </c>
      <c r="H1945" s="27" t="s">
        <v>96</v>
      </c>
      <c r="I1945">
        <v>1</v>
      </c>
    </row>
    <row r="1946" spans="1:9">
      <c r="A1946" t="s">
        <v>2361</v>
      </c>
      <c r="B1946" s="27" t="s">
        <v>3228</v>
      </c>
      <c r="C1946" s="27" t="s">
        <v>5774</v>
      </c>
      <c r="D1946">
        <f>VLOOKUP(tblTargetMedicos[[#This Row],[codigo_id]],[1]DIM_REPRESENTANTE_MEDICO!$C:$F,4,0)</f>
        <v>4</v>
      </c>
      <c r="E1946">
        <f>VLOOKUP(tblTargetMedicos[[#This Row],[codigo_id]],[1]DIM_REPRESENTANTE_MEDICO!$C:$F,3,0)</f>
        <v>2</v>
      </c>
      <c r="F1946" s="27" t="s">
        <v>5796</v>
      </c>
      <c r="G1946" s="27" t="s">
        <v>5784</v>
      </c>
      <c r="H1946" s="27" t="s">
        <v>97</v>
      </c>
      <c r="I1946">
        <v>1</v>
      </c>
    </row>
    <row r="1947" spans="1:9">
      <c r="A1947" t="s">
        <v>2362</v>
      </c>
      <c r="B1947" s="27" t="s">
        <v>3228</v>
      </c>
      <c r="C1947" s="27" t="s">
        <v>5774</v>
      </c>
      <c r="D1947">
        <f>VLOOKUP(tblTargetMedicos[[#This Row],[codigo_id]],[1]DIM_REPRESENTANTE_MEDICO!$C:$F,4,0)</f>
        <v>4</v>
      </c>
      <c r="E1947">
        <f>VLOOKUP(tblTargetMedicos[[#This Row],[codigo_id]],[1]DIM_REPRESENTANTE_MEDICO!$C:$F,3,0)</f>
        <v>2</v>
      </c>
      <c r="F1947" s="27" t="s">
        <v>5796</v>
      </c>
      <c r="G1947" s="27" t="s">
        <v>5783</v>
      </c>
      <c r="H1947" s="27" t="s">
        <v>96</v>
      </c>
      <c r="I1947">
        <v>1</v>
      </c>
    </row>
    <row r="1948" spans="1:9">
      <c r="A1948" t="s">
        <v>2363</v>
      </c>
      <c r="B1948" s="27" t="s">
        <v>3228</v>
      </c>
      <c r="C1948" s="27" t="s">
        <v>5774</v>
      </c>
      <c r="D1948">
        <f>VLOOKUP(tblTargetMedicos[[#This Row],[codigo_id]],[1]DIM_REPRESENTANTE_MEDICO!$C:$F,4,0)</f>
        <v>4</v>
      </c>
      <c r="E1948">
        <f>VLOOKUP(tblTargetMedicos[[#This Row],[codigo_id]],[1]DIM_REPRESENTANTE_MEDICO!$C:$F,3,0)</f>
        <v>2</v>
      </c>
      <c r="F1948" s="27" t="s">
        <v>5796</v>
      </c>
      <c r="G1948" s="27" t="s">
        <v>5786</v>
      </c>
      <c r="H1948" s="27" t="s">
        <v>96</v>
      </c>
      <c r="I1948">
        <v>1</v>
      </c>
    </row>
    <row r="1949" spans="1:9">
      <c r="A1949" t="s">
        <v>2364</v>
      </c>
      <c r="B1949" s="27" t="s">
        <v>3228</v>
      </c>
      <c r="C1949" s="27" t="s">
        <v>5774</v>
      </c>
      <c r="D1949">
        <f>VLOOKUP(tblTargetMedicos[[#This Row],[codigo_id]],[1]DIM_REPRESENTANTE_MEDICO!$C:$F,4,0)</f>
        <v>4</v>
      </c>
      <c r="E1949">
        <f>VLOOKUP(tblTargetMedicos[[#This Row],[codigo_id]],[1]DIM_REPRESENTANTE_MEDICO!$C:$F,3,0)</f>
        <v>2</v>
      </c>
      <c r="F1949" s="27" t="s">
        <v>5796</v>
      </c>
      <c r="G1949" s="27" t="s">
        <v>5779</v>
      </c>
      <c r="H1949" s="27" t="s">
        <v>95</v>
      </c>
      <c r="I1949">
        <v>1</v>
      </c>
    </row>
    <row r="1950" spans="1:9">
      <c r="A1950" t="s">
        <v>2365</v>
      </c>
      <c r="B1950" s="27" t="s">
        <v>3228</v>
      </c>
      <c r="C1950" s="27" t="s">
        <v>5774</v>
      </c>
      <c r="D1950">
        <f>VLOOKUP(tblTargetMedicos[[#This Row],[codigo_id]],[1]DIM_REPRESENTANTE_MEDICO!$C:$F,4,0)</f>
        <v>4</v>
      </c>
      <c r="E1950">
        <f>VLOOKUP(tblTargetMedicos[[#This Row],[codigo_id]],[1]DIM_REPRESENTANTE_MEDICO!$C:$F,3,0)</f>
        <v>2</v>
      </c>
      <c r="F1950" s="27" t="s">
        <v>5796</v>
      </c>
      <c r="G1950" s="27" t="s">
        <v>5785</v>
      </c>
      <c r="H1950" s="27" t="s">
        <v>95</v>
      </c>
      <c r="I1950">
        <v>1</v>
      </c>
    </row>
    <row r="1951" spans="1:9">
      <c r="A1951" t="s">
        <v>2366</v>
      </c>
      <c r="B1951" s="27" t="s">
        <v>3228</v>
      </c>
      <c r="C1951" s="27" t="s">
        <v>5774</v>
      </c>
      <c r="D1951">
        <f>VLOOKUP(tblTargetMedicos[[#This Row],[codigo_id]],[1]DIM_REPRESENTANTE_MEDICO!$C:$F,4,0)</f>
        <v>4</v>
      </c>
      <c r="E1951">
        <f>VLOOKUP(tblTargetMedicos[[#This Row],[codigo_id]],[1]DIM_REPRESENTANTE_MEDICO!$C:$F,3,0)</f>
        <v>2</v>
      </c>
      <c r="F1951" s="27" t="s">
        <v>5796</v>
      </c>
      <c r="G1951" s="27" t="s">
        <v>5785</v>
      </c>
      <c r="H1951" s="27" t="s">
        <v>95</v>
      </c>
      <c r="I1951">
        <v>1</v>
      </c>
    </row>
    <row r="1952" spans="1:9">
      <c r="A1952" t="s">
        <v>2367</v>
      </c>
      <c r="B1952" s="27" t="s">
        <v>3228</v>
      </c>
      <c r="C1952" s="27" t="s">
        <v>5774</v>
      </c>
      <c r="D1952">
        <f>VLOOKUP(tblTargetMedicos[[#This Row],[codigo_id]],[1]DIM_REPRESENTANTE_MEDICO!$C:$F,4,0)</f>
        <v>4</v>
      </c>
      <c r="E1952">
        <f>VLOOKUP(tblTargetMedicos[[#This Row],[codigo_id]],[1]DIM_REPRESENTANTE_MEDICO!$C:$F,3,0)</f>
        <v>2</v>
      </c>
      <c r="F1952" s="27" t="s">
        <v>5796</v>
      </c>
      <c r="G1952" s="27" t="s">
        <v>5779</v>
      </c>
      <c r="H1952" s="27" t="s">
        <v>96</v>
      </c>
      <c r="I1952">
        <v>1</v>
      </c>
    </row>
    <row r="1953" spans="1:9">
      <c r="A1953" t="s">
        <v>2368</v>
      </c>
      <c r="B1953" s="27" t="s">
        <v>3228</v>
      </c>
      <c r="C1953" s="27" t="s">
        <v>5774</v>
      </c>
      <c r="D1953">
        <f>VLOOKUP(tblTargetMedicos[[#This Row],[codigo_id]],[1]DIM_REPRESENTANTE_MEDICO!$C:$F,4,0)</f>
        <v>4</v>
      </c>
      <c r="E1953">
        <f>VLOOKUP(tblTargetMedicos[[#This Row],[codigo_id]],[1]DIM_REPRESENTANTE_MEDICO!$C:$F,3,0)</f>
        <v>2</v>
      </c>
      <c r="F1953" s="27" t="s">
        <v>5796</v>
      </c>
      <c r="G1953" s="27" t="s">
        <v>5784</v>
      </c>
      <c r="H1953" s="27" t="s">
        <v>97</v>
      </c>
      <c r="I1953">
        <v>1</v>
      </c>
    </row>
    <row r="1954" spans="1:9">
      <c r="A1954" t="s">
        <v>2369</v>
      </c>
      <c r="B1954" s="27" t="s">
        <v>3228</v>
      </c>
      <c r="C1954" s="27" t="s">
        <v>5774</v>
      </c>
      <c r="D1954">
        <f>VLOOKUP(tblTargetMedicos[[#This Row],[codigo_id]],[1]DIM_REPRESENTANTE_MEDICO!$C:$F,4,0)</f>
        <v>4</v>
      </c>
      <c r="E1954">
        <f>VLOOKUP(tblTargetMedicos[[#This Row],[codigo_id]],[1]DIM_REPRESENTANTE_MEDICO!$C:$F,3,0)</f>
        <v>2</v>
      </c>
      <c r="F1954" s="27" t="s">
        <v>5796</v>
      </c>
      <c r="G1954" s="27" t="s">
        <v>5784</v>
      </c>
      <c r="H1954" s="27" t="s">
        <v>96</v>
      </c>
      <c r="I1954">
        <v>1</v>
      </c>
    </row>
    <row r="1955" spans="1:9">
      <c r="A1955" t="s">
        <v>2370</v>
      </c>
      <c r="B1955" s="27" t="s">
        <v>3228</v>
      </c>
      <c r="C1955" s="27" t="s">
        <v>5774</v>
      </c>
      <c r="D1955">
        <f>VLOOKUP(tblTargetMedicos[[#This Row],[codigo_id]],[1]DIM_REPRESENTANTE_MEDICO!$C:$F,4,0)</f>
        <v>4</v>
      </c>
      <c r="E1955">
        <f>VLOOKUP(tblTargetMedicos[[#This Row],[codigo_id]],[1]DIM_REPRESENTANTE_MEDICO!$C:$F,3,0)</f>
        <v>2</v>
      </c>
      <c r="F1955" s="27" t="s">
        <v>5796</v>
      </c>
      <c r="G1955" s="27" t="s">
        <v>5783</v>
      </c>
      <c r="H1955" s="27" t="s">
        <v>97</v>
      </c>
      <c r="I1955">
        <v>1</v>
      </c>
    </row>
    <row r="1956" spans="1:9">
      <c r="A1956" t="s">
        <v>2371</v>
      </c>
      <c r="B1956" s="27" t="s">
        <v>3228</v>
      </c>
      <c r="C1956" s="27" t="s">
        <v>5774</v>
      </c>
      <c r="D1956">
        <f>VLOOKUP(tblTargetMedicos[[#This Row],[codigo_id]],[1]DIM_REPRESENTANTE_MEDICO!$C:$F,4,0)</f>
        <v>4</v>
      </c>
      <c r="E1956">
        <f>VLOOKUP(tblTargetMedicos[[#This Row],[codigo_id]],[1]DIM_REPRESENTANTE_MEDICO!$C:$F,3,0)</f>
        <v>2</v>
      </c>
      <c r="F1956" s="27" t="s">
        <v>5796</v>
      </c>
      <c r="G1956" s="27" t="s">
        <v>5783</v>
      </c>
      <c r="H1956" s="27" t="s">
        <v>96</v>
      </c>
      <c r="I1956">
        <v>1</v>
      </c>
    </row>
    <row r="1957" spans="1:9">
      <c r="A1957" t="s">
        <v>2372</v>
      </c>
      <c r="B1957" s="27" t="s">
        <v>3228</v>
      </c>
      <c r="C1957" s="27" t="s">
        <v>5774</v>
      </c>
      <c r="D1957">
        <f>VLOOKUP(tblTargetMedicos[[#This Row],[codigo_id]],[1]DIM_REPRESENTANTE_MEDICO!$C:$F,4,0)</f>
        <v>4</v>
      </c>
      <c r="E1957">
        <f>VLOOKUP(tblTargetMedicos[[#This Row],[codigo_id]],[1]DIM_REPRESENTANTE_MEDICO!$C:$F,3,0)</f>
        <v>2</v>
      </c>
      <c r="F1957" s="27" t="s">
        <v>5796</v>
      </c>
      <c r="G1957" s="27" t="s">
        <v>5780</v>
      </c>
      <c r="H1957" s="27" t="s">
        <v>96</v>
      </c>
      <c r="I1957">
        <v>1</v>
      </c>
    </row>
    <row r="1958" spans="1:9">
      <c r="A1958" t="s">
        <v>2373</v>
      </c>
      <c r="B1958" s="27" t="s">
        <v>3228</v>
      </c>
      <c r="C1958" s="27" t="s">
        <v>5774</v>
      </c>
      <c r="D1958">
        <f>VLOOKUP(tblTargetMedicos[[#This Row],[codigo_id]],[1]DIM_REPRESENTANTE_MEDICO!$C:$F,4,0)</f>
        <v>4</v>
      </c>
      <c r="E1958">
        <f>VLOOKUP(tblTargetMedicos[[#This Row],[codigo_id]],[1]DIM_REPRESENTANTE_MEDICO!$C:$F,3,0)</f>
        <v>2</v>
      </c>
      <c r="F1958" s="27" t="s">
        <v>5796</v>
      </c>
      <c r="G1958" s="27" t="s">
        <v>5784</v>
      </c>
      <c r="H1958" s="27" t="s">
        <v>96</v>
      </c>
      <c r="I1958">
        <v>1</v>
      </c>
    </row>
    <row r="1959" spans="1:9">
      <c r="A1959" t="s">
        <v>2374</v>
      </c>
      <c r="B1959" s="27" t="s">
        <v>3228</v>
      </c>
      <c r="C1959" s="27" t="s">
        <v>5774</v>
      </c>
      <c r="D1959">
        <f>VLOOKUP(tblTargetMedicos[[#This Row],[codigo_id]],[1]DIM_REPRESENTANTE_MEDICO!$C:$F,4,0)</f>
        <v>4</v>
      </c>
      <c r="E1959">
        <f>VLOOKUP(tblTargetMedicos[[#This Row],[codigo_id]],[1]DIM_REPRESENTANTE_MEDICO!$C:$F,3,0)</f>
        <v>2</v>
      </c>
      <c r="F1959" s="27" t="s">
        <v>5796</v>
      </c>
      <c r="G1959" s="27" t="s">
        <v>5783</v>
      </c>
      <c r="H1959" s="27" t="s">
        <v>96</v>
      </c>
      <c r="I1959">
        <v>1</v>
      </c>
    </row>
    <row r="1960" spans="1:9">
      <c r="A1960" t="s">
        <v>2375</v>
      </c>
      <c r="B1960" s="27" t="s">
        <v>3228</v>
      </c>
      <c r="C1960" s="27" t="s">
        <v>5774</v>
      </c>
      <c r="D1960">
        <f>VLOOKUP(tblTargetMedicos[[#This Row],[codigo_id]],[1]DIM_REPRESENTANTE_MEDICO!$C:$F,4,0)</f>
        <v>4</v>
      </c>
      <c r="E1960">
        <f>VLOOKUP(tblTargetMedicos[[#This Row],[codigo_id]],[1]DIM_REPRESENTANTE_MEDICO!$C:$F,3,0)</f>
        <v>2</v>
      </c>
      <c r="F1960" s="27" t="s">
        <v>5796</v>
      </c>
      <c r="G1960" s="27" t="s">
        <v>5783</v>
      </c>
      <c r="H1960" s="27" t="s">
        <v>96</v>
      </c>
      <c r="I1960">
        <v>1</v>
      </c>
    </row>
    <row r="1961" spans="1:9">
      <c r="A1961" t="s">
        <v>2376</v>
      </c>
      <c r="B1961" s="27" t="s">
        <v>3228</v>
      </c>
      <c r="C1961" s="27" t="s">
        <v>5774</v>
      </c>
      <c r="D1961">
        <f>VLOOKUP(tblTargetMedicos[[#This Row],[codigo_id]],[1]DIM_REPRESENTANTE_MEDICO!$C:$F,4,0)</f>
        <v>4</v>
      </c>
      <c r="E1961">
        <f>VLOOKUP(tblTargetMedicos[[#This Row],[codigo_id]],[1]DIM_REPRESENTANTE_MEDICO!$C:$F,3,0)</f>
        <v>2</v>
      </c>
      <c r="F1961" s="27" t="s">
        <v>5796</v>
      </c>
      <c r="G1961" s="27" t="s">
        <v>5780</v>
      </c>
      <c r="H1961" s="27" t="s">
        <v>96</v>
      </c>
      <c r="I1961">
        <v>1</v>
      </c>
    </row>
    <row r="1962" spans="1:9">
      <c r="A1962" t="s">
        <v>2377</v>
      </c>
      <c r="B1962" s="27" t="s">
        <v>3228</v>
      </c>
      <c r="C1962" s="27" t="s">
        <v>5774</v>
      </c>
      <c r="D1962">
        <f>VLOOKUP(tblTargetMedicos[[#This Row],[codigo_id]],[1]DIM_REPRESENTANTE_MEDICO!$C:$F,4,0)</f>
        <v>4</v>
      </c>
      <c r="E1962">
        <f>VLOOKUP(tblTargetMedicos[[#This Row],[codigo_id]],[1]DIM_REPRESENTANTE_MEDICO!$C:$F,3,0)</f>
        <v>2</v>
      </c>
      <c r="F1962" s="27" t="s">
        <v>5796</v>
      </c>
      <c r="G1962" s="27" t="s">
        <v>5785</v>
      </c>
      <c r="H1962" s="27" t="s">
        <v>96</v>
      </c>
      <c r="I1962">
        <v>1</v>
      </c>
    </row>
    <row r="1963" spans="1:9">
      <c r="A1963" t="s">
        <v>2378</v>
      </c>
      <c r="B1963" s="27" t="s">
        <v>3228</v>
      </c>
      <c r="C1963" s="27" t="s">
        <v>5774</v>
      </c>
      <c r="D1963">
        <f>VLOOKUP(tblTargetMedicos[[#This Row],[codigo_id]],[1]DIM_REPRESENTANTE_MEDICO!$C:$F,4,0)</f>
        <v>4</v>
      </c>
      <c r="E1963">
        <f>VLOOKUP(tblTargetMedicos[[#This Row],[codigo_id]],[1]DIM_REPRESENTANTE_MEDICO!$C:$F,3,0)</f>
        <v>2</v>
      </c>
      <c r="F1963" s="27" t="s">
        <v>5796</v>
      </c>
      <c r="G1963" s="27" t="s">
        <v>5790</v>
      </c>
      <c r="H1963" s="27" t="s">
        <v>97</v>
      </c>
      <c r="I1963">
        <v>1</v>
      </c>
    </row>
    <row r="1964" spans="1:9">
      <c r="A1964" t="s">
        <v>2379</v>
      </c>
      <c r="B1964" s="27" t="s">
        <v>3228</v>
      </c>
      <c r="C1964" s="27" t="s">
        <v>5774</v>
      </c>
      <c r="D1964">
        <f>VLOOKUP(tblTargetMedicos[[#This Row],[codigo_id]],[1]DIM_REPRESENTANTE_MEDICO!$C:$F,4,0)</f>
        <v>4</v>
      </c>
      <c r="E1964">
        <f>VLOOKUP(tblTargetMedicos[[#This Row],[codigo_id]],[1]DIM_REPRESENTANTE_MEDICO!$C:$F,3,0)</f>
        <v>2</v>
      </c>
      <c r="F1964" s="27" t="s">
        <v>5796</v>
      </c>
      <c r="G1964" s="27" t="s">
        <v>5785</v>
      </c>
      <c r="H1964" s="27" t="s">
        <v>96</v>
      </c>
      <c r="I1964">
        <v>1</v>
      </c>
    </row>
    <row r="1965" spans="1:9">
      <c r="A1965" t="s">
        <v>2380</v>
      </c>
      <c r="B1965" s="27" t="s">
        <v>3228</v>
      </c>
      <c r="C1965" s="27" t="s">
        <v>5774</v>
      </c>
      <c r="D1965">
        <f>VLOOKUP(tblTargetMedicos[[#This Row],[codigo_id]],[1]DIM_REPRESENTANTE_MEDICO!$C:$F,4,0)</f>
        <v>4</v>
      </c>
      <c r="E1965">
        <f>VLOOKUP(tblTargetMedicos[[#This Row],[codigo_id]],[1]DIM_REPRESENTANTE_MEDICO!$C:$F,3,0)</f>
        <v>2</v>
      </c>
      <c r="F1965" s="27" t="s">
        <v>5796</v>
      </c>
      <c r="G1965" s="27" t="s">
        <v>5786</v>
      </c>
      <c r="H1965" s="27" t="s">
        <v>95</v>
      </c>
      <c r="I1965">
        <v>1</v>
      </c>
    </row>
    <row r="1966" spans="1:9">
      <c r="A1966" t="s">
        <v>2381</v>
      </c>
      <c r="B1966" s="27" t="s">
        <v>3228</v>
      </c>
      <c r="C1966" s="27" t="s">
        <v>5774</v>
      </c>
      <c r="D1966">
        <f>VLOOKUP(tblTargetMedicos[[#This Row],[codigo_id]],[1]DIM_REPRESENTANTE_MEDICO!$C:$F,4,0)</f>
        <v>4</v>
      </c>
      <c r="E1966">
        <f>VLOOKUP(tblTargetMedicos[[#This Row],[codigo_id]],[1]DIM_REPRESENTANTE_MEDICO!$C:$F,3,0)</f>
        <v>2</v>
      </c>
      <c r="F1966" s="27" t="s">
        <v>5796</v>
      </c>
      <c r="G1966" s="27" t="s">
        <v>5786</v>
      </c>
      <c r="H1966" s="27" t="s">
        <v>96</v>
      </c>
      <c r="I1966">
        <v>1</v>
      </c>
    </row>
    <row r="1967" spans="1:9">
      <c r="A1967" t="s">
        <v>2382</v>
      </c>
      <c r="B1967" s="27" t="s">
        <v>3228</v>
      </c>
      <c r="C1967" s="27" t="s">
        <v>5774</v>
      </c>
      <c r="D1967">
        <f>VLOOKUP(tblTargetMedicos[[#This Row],[codigo_id]],[1]DIM_REPRESENTANTE_MEDICO!$C:$F,4,0)</f>
        <v>4</v>
      </c>
      <c r="E1967">
        <f>VLOOKUP(tblTargetMedicos[[#This Row],[codigo_id]],[1]DIM_REPRESENTANTE_MEDICO!$C:$F,3,0)</f>
        <v>2</v>
      </c>
      <c r="F1967" s="27" t="s">
        <v>5796</v>
      </c>
      <c r="G1967" s="27" t="s">
        <v>5788</v>
      </c>
      <c r="H1967" s="27" t="s">
        <v>95</v>
      </c>
      <c r="I1967">
        <v>1</v>
      </c>
    </row>
    <row r="1968" spans="1:9">
      <c r="A1968" t="s">
        <v>2383</v>
      </c>
      <c r="B1968" s="27" t="s">
        <v>3228</v>
      </c>
      <c r="C1968" s="27" t="s">
        <v>5774</v>
      </c>
      <c r="D1968">
        <f>VLOOKUP(tblTargetMedicos[[#This Row],[codigo_id]],[1]DIM_REPRESENTANTE_MEDICO!$C:$F,4,0)</f>
        <v>4</v>
      </c>
      <c r="E1968">
        <f>VLOOKUP(tblTargetMedicos[[#This Row],[codigo_id]],[1]DIM_REPRESENTANTE_MEDICO!$C:$F,3,0)</f>
        <v>2</v>
      </c>
      <c r="F1968" s="27" t="s">
        <v>5796</v>
      </c>
      <c r="G1968" s="27" t="s">
        <v>5784</v>
      </c>
      <c r="H1968" s="27" t="s">
        <v>96</v>
      </c>
      <c r="I1968">
        <v>1</v>
      </c>
    </row>
    <row r="1969" spans="1:9">
      <c r="A1969" t="s">
        <v>2384</v>
      </c>
      <c r="B1969" s="27" t="s">
        <v>3228</v>
      </c>
      <c r="C1969" s="27" t="s">
        <v>5774</v>
      </c>
      <c r="D1969">
        <f>VLOOKUP(tblTargetMedicos[[#This Row],[codigo_id]],[1]DIM_REPRESENTANTE_MEDICO!$C:$F,4,0)</f>
        <v>4</v>
      </c>
      <c r="E1969">
        <f>VLOOKUP(tblTargetMedicos[[#This Row],[codigo_id]],[1]DIM_REPRESENTANTE_MEDICO!$C:$F,3,0)</f>
        <v>2</v>
      </c>
      <c r="F1969" s="27" t="s">
        <v>5796</v>
      </c>
      <c r="G1969" s="27" t="s">
        <v>5780</v>
      </c>
      <c r="H1969" s="27" t="s">
        <v>96</v>
      </c>
      <c r="I1969">
        <v>1</v>
      </c>
    </row>
    <row r="1970" spans="1:9">
      <c r="A1970" t="s">
        <v>2385</v>
      </c>
      <c r="B1970" s="27" t="s">
        <v>3228</v>
      </c>
      <c r="C1970" s="27" t="s">
        <v>5774</v>
      </c>
      <c r="D1970">
        <f>VLOOKUP(tblTargetMedicos[[#This Row],[codigo_id]],[1]DIM_REPRESENTANTE_MEDICO!$C:$F,4,0)</f>
        <v>4</v>
      </c>
      <c r="E1970">
        <f>VLOOKUP(tblTargetMedicos[[#This Row],[codigo_id]],[1]DIM_REPRESENTANTE_MEDICO!$C:$F,3,0)</f>
        <v>2</v>
      </c>
      <c r="F1970" s="27" t="s">
        <v>5796</v>
      </c>
      <c r="G1970" s="27" t="s">
        <v>5783</v>
      </c>
      <c r="H1970" s="27" t="s">
        <v>97</v>
      </c>
      <c r="I1970">
        <v>1</v>
      </c>
    </row>
    <row r="1971" spans="1:9">
      <c r="A1971" t="s">
        <v>2386</v>
      </c>
      <c r="B1971" s="27" t="s">
        <v>3228</v>
      </c>
      <c r="C1971" s="27" t="s">
        <v>5774</v>
      </c>
      <c r="D1971">
        <f>VLOOKUP(tblTargetMedicos[[#This Row],[codigo_id]],[1]DIM_REPRESENTANTE_MEDICO!$C:$F,4,0)</f>
        <v>4</v>
      </c>
      <c r="E1971">
        <f>VLOOKUP(tblTargetMedicos[[#This Row],[codigo_id]],[1]DIM_REPRESENTANTE_MEDICO!$C:$F,3,0)</f>
        <v>2</v>
      </c>
      <c r="F1971" s="27" t="s">
        <v>5796</v>
      </c>
      <c r="G1971" s="27" t="s">
        <v>5783</v>
      </c>
      <c r="H1971" s="27" t="s">
        <v>97</v>
      </c>
      <c r="I1971">
        <v>1</v>
      </c>
    </row>
    <row r="1972" spans="1:9">
      <c r="A1972" t="s">
        <v>2387</v>
      </c>
      <c r="B1972" s="27" t="s">
        <v>3228</v>
      </c>
      <c r="C1972" s="27" t="s">
        <v>5774</v>
      </c>
      <c r="D1972">
        <f>VLOOKUP(tblTargetMedicos[[#This Row],[codigo_id]],[1]DIM_REPRESENTANTE_MEDICO!$C:$F,4,0)</f>
        <v>4</v>
      </c>
      <c r="E1972">
        <f>VLOOKUP(tblTargetMedicos[[#This Row],[codigo_id]],[1]DIM_REPRESENTANTE_MEDICO!$C:$F,3,0)</f>
        <v>2</v>
      </c>
      <c r="F1972" s="27" t="s">
        <v>5796</v>
      </c>
      <c r="G1972" s="27" t="s">
        <v>5779</v>
      </c>
      <c r="H1972" s="27" t="s">
        <v>96</v>
      </c>
      <c r="I1972">
        <v>1</v>
      </c>
    </row>
    <row r="1973" spans="1:9">
      <c r="A1973" t="s">
        <v>2388</v>
      </c>
      <c r="B1973" s="27" t="s">
        <v>3228</v>
      </c>
      <c r="C1973" s="27" t="s">
        <v>5774</v>
      </c>
      <c r="D1973">
        <f>VLOOKUP(tblTargetMedicos[[#This Row],[codigo_id]],[1]DIM_REPRESENTANTE_MEDICO!$C:$F,4,0)</f>
        <v>4</v>
      </c>
      <c r="E1973">
        <f>VLOOKUP(tblTargetMedicos[[#This Row],[codigo_id]],[1]DIM_REPRESENTANTE_MEDICO!$C:$F,3,0)</f>
        <v>2</v>
      </c>
      <c r="F1973" s="27" t="s">
        <v>5796</v>
      </c>
      <c r="G1973" s="27" t="s">
        <v>5784</v>
      </c>
      <c r="H1973" s="27" t="s">
        <v>96</v>
      </c>
      <c r="I1973">
        <v>1</v>
      </c>
    </row>
    <row r="1974" spans="1:9">
      <c r="A1974" t="s">
        <v>2389</v>
      </c>
      <c r="B1974" s="27" t="s">
        <v>3228</v>
      </c>
      <c r="C1974" s="27" t="s">
        <v>5774</v>
      </c>
      <c r="D1974">
        <f>VLOOKUP(tblTargetMedicos[[#This Row],[codigo_id]],[1]DIM_REPRESENTANTE_MEDICO!$C:$F,4,0)</f>
        <v>4</v>
      </c>
      <c r="E1974">
        <f>VLOOKUP(tblTargetMedicos[[#This Row],[codigo_id]],[1]DIM_REPRESENTANTE_MEDICO!$C:$F,3,0)</f>
        <v>2</v>
      </c>
      <c r="F1974" s="27" t="s">
        <v>5796</v>
      </c>
      <c r="G1974" s="27" t="s">
        <v>5784</v>
      </c>
      <c r="H1974" s="27" t="s">
        <v>97</v>
      </c>
      <c r="I1974">
        <v>1</v>
      </c>
    </row>
    <row r="1975" spans="1:9">
      <c r="A1975" t="s">
        <v>2390</v>
      </c>
      <c r="B1975" s="27" t="s">
        <v>3228</v>
      </c>
      <c r="C1975" s="27" t="s">
        <v>5774</v>
      </c>
      <c r="D1975">
        <f>VLOOKUP(tblTargetMedicos[[#This Row],[codigo_id]],[1]DIM_REPRESENTANTE_MEDICO!$C:$F,4,0)</f>
        <v>4</v>
      </c>
      <c r="E1975">
        <f>VLOOKUP(tblTargetMedicos[[#This Row],[codigo_id]],[1]DIM_REPRESENTANTE_MEDICO!$C:$F,3,0)</f>
        <v>2</v>
      </c>
      <c r="F1975" s="27" t="s">
        <v>5796</v>
      </c>
      <c r="G1975" s="27" t="s">
        <v>5784</v>
      </c>
      <c r="H1975" s="27" t="s">
        <v>96</v>
      </c>
      <c r="I1975">
        <v>1</v>
      </c>
    </row>
    <row r="1976" spans="1:9">
      <c r="A1976" t="s">
        <v>2391</v>
      </c>
      <c r="B1976" s="27" t="s">
        <v>3228</v>
      </c>
      <c r="C1976" s="27" t="s">
        <v>5774</v>
      </c>
      <c r="D1976">
        <f>VLOOKUP(tblTargetMedicos[[#This Row],[codigo_id]],[1]DIM_REPRESENTANTE_MEDICO!$C:$F,4,0)</f>
        <v>4</v>
      </c>
      <c r="E1976">
        <f>VLOOKUP(tblTargetMedicos[[#This Row],[codigo_id]],[1]DIM_REPRESENTANTE_MEDICO!$C:$F,3,0)</f>
        <v>2</v>
      </c>
      <c r="F1976" s="27" t="s">
        <v>5796</v>
      </c>
      <c r="G1976" s="27" t="s">
        <v>5784</v>
      </c>
      <c r="H1976" s="27" t="s">
        <v>96</v>
      </c>
      <c r="I1976">
        <v>1</v>
      </c>
    </row>
    <row r="1977" spans="1:9">
      <c r="A1977" t="s">
        <v>2392</v>
      </c>
      <c r="B1977" s="27" t="s">
        <v>3228</v>
      </c>
      <c r="C1977" s="27" t="s">
        <v>5774</v>
      </c>
      <c r="D1977">
        <f>VLOOKUP(tblTargetMedicos[[#This Row],[codigo_id]],[1]DIM_REPRESENTANTE_MEDICO!$C:$F,4,0)</f>
        <v>4</v>
      </c>
      <c r="E1977">
        <f>VLOOKUP(tblTargetMedicos[[#This Row],[codigo_id]],[1]DIM_REPRESENTANTE_MEDICO!$C:$F,3,0)</f>
        <v>2</v>
      </c>
      <c r="F1977" s="27" t="s">
        <v>5796</v>
      </c>
      <c r="G1977" s="27" t="s">
        <v>5784</v>
      </c>
      <c r="H1977" s="27" t="s">
        <v>96</v>
      </c>
      <c r="I1977">
        <v>1</v>
      </c>
    </row>
    <row r="1978" spans="1:9">
      <c r="A1978" t="s">
        <v>2393</v>
      </c>
      <c r="B1978" s="27" t="s">
        <v>3228</v>
      </c>
      <c r="C1978" s="27" t="s">
        <v>5774</v>
      </c>
      <c r="D1978">
        <f>VLOOKUP(tblTargetMedicos[[#This Row],[codigo_id]],[1]DIM_REPRESENTANTE_MEDICO!$C:$F,4,0)</f>
        <v>4</v>
      </c>
      <c r="E1978">
        <f>VLOOKUP(tblTargetMedicos[[#This Row],[codigo_id]],[1]DIM_REPRESENTANTE_MEDICO!$C:$F,3,0)</f>
        <v>2</v>
      </c>
      <c r="F1978" s="27" t="s">
        <v>5796</v>
      </c>
      <c r="G1978" s="27" t="s">
        <v>5784</v>
      </c>
      <c r="H1978" s="27" t="s">
        <v>97</v>
      </c>
      <c r="I1978">
        <v>1</v>
      </c>
    </row>
    <row r="1979" spans="1:9">
      <c r="A1979" t="s">
        <v>2394</v>
      </c>
      <c r="B1979" s="27" t="s">
        <v>3228</v>
      </c>
      <c r="C1979" s="27" t="s">
        <v>5774</v>
      </c>
      <c r="D1979">
        <f>VLOOKUP(tblTargetMedicos[[#This Row],[codigo_id]],[1]DIM_REPRESENTANTE_MEDICO!$C:$F,4,0)</f>
        <v>4</v>
      </c>
      <c r="E1979">
        <f>VLOOKUP(tblTargetMedicos[[#This Row],[codigo_id]],[1]DIM_REPRESENTANTE_MEDICO!$C:$F,3,0)</f>
        <v>2</v>
      </c>
      <c r="F1979" s="27" t="s">
        <v>5796</v>
      </c>
      <c r="G1979" s="27" t="s">
        <v>5783</v>
      </c>
      <c r="H1979" s="27" t="s">
        <v>96</v>
      </c>
      <c r="I1979">
        <v>1</v>
      </c>
    </row>
    <row r="1980" spans="1:9">
      <c r="A1980" t="s">
        <v>2395</v>
      </c>
      <c r="B1980" s="27" t="s">
        <v>3228</v>
      </c>
      <c r="C1980" s="27" t="s">
        <v>5774</v>
      </c>
      <c r="D1980">
        <f>VLOOKUP(tblTargetMedicos[[#This Row],[codigo_id]],[1]DIM_REPRESENTANTE_MEDICO!$C:$F,4,0)</f>
        <v>4</v>
      </c>
      <c r="E1980">
        <f>VLOOKUP(tblTargetMedicos[[#This Row],[codigo_id]],[1]DIM_REPRESENTANTE_MEDICO!$C:$F,3,0)</f>
        <v>2</v>
      </c>
      <c r="F1980" s="27" t="s">
        <v>5796</v>
      </c>
      <c r="G1980" s="27" t="s">
        <v>5783</v>
      </c>
      <c r="H1980" s="27" t="s">
        <v>96</v>
      </c>
      <c r="I1980">
        <v>1</v>
      </c>
    </row>
    <row r="1981" spans="1:9">
      <c r="A1981" t="s">
        <v>2396</v>
      </c>
      <c r="B1981" s="27" t="s">
        <v>3228</v>
      </c>
      <c r="C1981" s="27" t="s">
        <v>5774</v>
      </c>
      <c r="D1981">
        <f>VLOOKUP(tblTargetMedicos[[#This Row],[codigo_id]],[1]DIM_REPRESENTANTE_MEDICO!$C:$F,4,0)</f>
        <v>4</v>
      </c>
      <c r="E1981">
        <f>VLOOKUP(tblTargetMedicos[[#This Row],[codigo_id]],[1]DIM_REPRESENTANTE_MEDICO!$C:$F,3,0)</f>
        <v>2</v>
      </c>
      <c r="F1981" s="27" t="s">
        <v>5796</v>
      </c>
      <c r="G1981" s="27" t="s">
        <v>5783</v>
      </c>
      <c r="H1981" s="27" t="s">
        <v>97</v>
      </c>
      <c r="I1981">
        <v>1</v>
      </c>
    </row>
    <row r="1982" spans="1:9">
      <c r="A1982" t="s">
        <v>2397</v>
      </c>
      <c r="B1982" s="27" t="s">
        <v>3228</v>
      </c>
      <c r="C1982" s="27" t="s">
        <v>5774</v>
      </c>
      <c r="D1982">
        <f>VLOOKUP(tblTargetMedicos[[#This Row],[codigo_id]],[1]DIM_REPRESENTANTE_MEDICO!$C:$F,4,0)</f>
        <v>4</v>
      </c>
      <c r="E1982">
        <f>VLOOKUP(tblTargetMedicos[[#This Row],[codigo_id]],[1]DIM_REPRESENTANTE_MEDICO!$C:$F,3,0)</f>
        <v>2</v>
      </c>
      <c r="F1982" s="27" t="s">
        <v>5796</v>
      </c>
      <c r="G1982" s="27" t="s">
        <v>5781</v>
      </c>
      <c r="H1982" s="27" t="s">
        <v>97</v>
      </c>
      <c r="I1982">
        <v>1</v>
      </c>
    </row>
    <row r="1983" spans="1:9">
      <c r="A1983" t="s">
        <v>2398</v>
      </c>
      <c r="B1983" s="27" t="s">
        <v>3228</v>
      </c>
      <c r="C1983" s="27" t="s">
        <v>5774</v>
      </c>
      <c r="D1983">
        <f>VLOOKUP(tblTargetMedicos[[#This Row],[codigo_id]],[1]DIM_REPRESENTANTE_MEDICO!$C:$F,4,0)</f>
        <v>4</v>
      </c>
      <c r="E1983">
        <f>VLOOKUP(tblTargetMedicos[[#This Row],[codigo_id]],[1]DIM_REPRESENTANTE_MEDICO!$C:$F,3,0)</f>
        <v>2</v>
      </c>
      <c r="F1983" s="27" t="s">
        <v>5796</v>
      </c>
      <c r="G1983" s="27" t="s">
        <v>5783</v>
      </c>
      <c r="H1983" s="27" t="s">
        <v>97</v>
      </c>
      <c r="I1983">
        <v>1</v>
      </c>
    </row>
    <row r="1984" spans="1:9">
      <c r="A1984" t="s">
        <v>2399</v>
      </c>
      <c r="B1984" s="27" t="s">
        <v>3228</v>
      </c>
      <c r="C1984" s="27" t="s">
        <v>5774</v>
      </c>
      <c r="D1984">
        <f>VLOOKUP(tblTargetMedicos[[#This Row],[codigo_id]],[1]DIM_REPRESENTANTE_MEDICO!$C:$F,4,0)</f>
        <v>4</v>
      </c>
      <c r="E1984">
        <f>VLOOKUP(tblTargetMedicos[[#This Row],[codigo_id]],[1]DIM_REPRESENTANTE_MEDICO!$C:$F,3,0)</f>
        <v>2</v>
      </c>
      <c r="F1984" s="27" t="s">
        <v>5796</v>
      </c>
      <c r="G1984" s="27" t="s">
        <v>5783</v>
      </c>
      <c r="H1984" s="27" t="s">
        <v>97</v>
      </c>
      <c r="I1984">
        <v>1</v>
      </c>
    </row>
    <row r="1985" spans="1:9">
      <c r="A1985" t="s">
        <v>2400</v>
      </c>
      <c r="B1985" s="27" t="s">
        <v>3228</v>
      </c>
      <c r="C1985" s="27" t="s">
        <v>5774</v>
      </c>
      <c r="D1985">
        <f>VLOOKUP(tblTargetMedicos[[#This Row],[codigo_id]],[1]DIM_REPRESENTANTE_MEDICO!$C:$F,4,0)</f>
        <v>4</v>
      </c>
      <c r="E1985">
        <f>VLOOKUP(tblTargetMedicos[[#This Row],[codigo_id]],[1]DIM_REPRESENTANTE_MEDICO!$C:$F,3,0)</f>
        <v>2</v>
      </c>
      <c r="F1985" s="27" t="s">
        <v>5796</v>
      </c>
      <c r="G1985" s="27" t="s">
        <v>5783</v>
      </c>
      <c r="H1985" s="27" t="s">
        <v>96</v>
      </c>
      <c r="I1985">
        <v>1</v>
      </c>
    </row>
    <row r="1986" spans="1:9">
      <c r="A1986" t="s">
        <v>2401</v>
      </c>
      <c r="B1986" s="27" t="s">
        <v>3228</v>
      </c>
      <c r="C1986" s="27" t="s">
        <v>5774</v>
      </c>
      <c r="D1986">
        <f>VLOOKUP(tblTargetMedicos[[#This Row],[codigo_id]],[1]DIM_REPRESENTANTE_MEDICO!$C:$F,4,0)</f>
        <v>4</v>
      </c>
      <c r="E1986">
        <f>VLOOKUP(tblTargetMedicos[[#This Row],[codigo_id]],[1]DIM_REPRESENTANTE_MEDICO!$C:$F,3,0)</f>
        <v>2</v>
      </c>
      <c r="F1986" s="27" t="s">
        <v>5796</v>
      </c>
      <c r="G1986" s="27" t="s">
        <v>5779</v>
      </c>
      <c r="H1986" s="27" t="s">
        <v>96</v>
      </c>
      <c r="I1986">
        <v>1</v>
      </c>
    </row>
    <row r="1987" spans="1:9">
      <c r="A1987" t="s">
        <v>2402</v>
      </c>
      <c r="B1987" s="27" t="s">
        <v>3228</v>
      </c>
      <c r="C1987" s="27" t="s">
        <v>5774</v>
      </c>
      <c r="D1987">
        <f>VLOOKUP(tblTargetMedicos[[#This Row],[codigo_id]],[1]DIM_REPRESENTANTE_MEDICO!$C:$F,4,0)</f>
        <v>4</v>
      </c>
      <c r="E1987">
        <f>VLOOKUP(tblTargetMedicos[[#This Row],[codigo_id]],[1]DIM_REPRESENTANTE_MEDICO!$C:$F,3,0)</f>
        <v>2</v>
      </c>
      <c r="F1987" s="27" t="s">
        <v>5796</v>
      </c>
      <c r="G1987" s="27" t="s">
        <v>5784</v>
      </c>
      <c r="H1987" s="27" t="s">
        <v>96</v>
      </c>
      <c r="I1987">
        <v>1</v>
      </c>
    </row>
    <row r="1988" spans="1:9">
      <c r="A1988" t="s">
        <v>2403</v>
      </c>
      <c r="B1988" s="27" t="s">
        <v>3228</v>
      </c>
      <c r="C1988" s="27" t="s">
        <v>5774</v>
      </c>
      <c r="D1988">
        <f>VLOOKUP(tblTargetMedicos[[#This Row],[codigo_id]],[1]DIM_REPRESENTANTE_MEDICO!$C:$F,4,0)</f>
        <v>4</v>
      </c>
      <c r="E1988">
        <f>VLOOKUP(tblTargetMedicos[[#This Row],[codigo_id]],[1]DIM_REPRESENTANTE_MEDICO!$C:$F,3,0)</f>
        <v>2</v>
      </c>
      <c r="F1988" s="27" t="s">
        <v>5796</v>
      </c>
      <c r="G1988" s="27" t="s">
        <v>5783</v>
      </c>
      <c r="H1988" s="27" t="s">
        <v>96</v>
      </c>
      <c r="I1988">
        <v>1</v>
      </c>
    </row>
    <row r="1989" spans="1:9">
      <c r="A1989" t="s">
        <v>2404</v>
      </c>
      <c r="B1989" s="27" t="s">
        <v>3228</v>
      </c>
      <c r="C1989" s="27" t="s">
        <v>5774</v>
      </c>
      <c r="D1989">
        <f>VLOOKUP(tblTargetMedicos[[#This Row],[codigo_id]],[1]DIM_REPRESENTANTE_MEDICO!$C:$F,4,0)</f>
        <v>4</v>
      </c>
      <c r="E1989">
        <f>VLOOKUP(tblTargetMedicos[[#This Row],[codigo_id]],[1]DIM_REPRESENTANTE_MEDICO!$C:$F,3,0)</f>
        <v>2</v>
      </c>
      <c r="F1989" s="27" t="s">
        <v>5796</v>
      </c>
      <c r="G1989" s="27" t="s">
        <v>5788</v>
      </c>
      <c r="H1989" s="27" t="s">
        <v>96</v>
      </c>
      <c r="I1989">
        <v>1</v>
      </c>
    </row>
    <row r="1990" spans="1:9">
      <c r="A1990" t="s">
        <v>2405</v>
      </c>
      <c r="B1990" s="27" t="s">
        <v>3228</v>
      </c>
      <c r="C1990" s="27" t="s">
        <v>5774</v>
      </c>
      <c r="D1990">
        <f>VLOOKUP(tblTargetMedicos[[#This Row],[codigo_id]],[1]DIM_REPRESENTANTE_MEDICO!$C:$F,4,0)</f>
        <v>4</v>
      </c>
      <c r="E1990">
        <f>VLOOKUP(tblTargetMedicos[[#This Row],[codigo_id]],[1]DIM_REPRESENTANTE_MEDICO!$C:$F,3,0)</f>
        <v>2</v>
      </c>
      <c r="F1990" s="27" t="s">
        <v>5796</v>
      </c>
      <c r="G1990" s="27" t="s">
        <v>5783</v>
      </c>
      <c r="H1990" s="27" t="s">
        <v>96</v>
      </c>
      <c r="I1990">
        <v>1</v>
      </c>
    </row>
    <row r="1991" spans="1:9">
      <c r="A1991" t="s">
        <v>2406</v>
      </c>
      <c r="B1991" s="27" t="s">
        <v>3228</v>
      </c>
      <c r="C1991" s="27" t="s">
        <v>5774</v>
      </c>
      <c r="D1991">
        <f>VLOOKUP(tblTargetMedicos[[#This Row],[codigo_id]],[1]DIM_REPRESENTANTE_MEDICO!$C:$F,4,0)</f>
        <v>4</v>
      </c>
      <c r="E1991">
        <f>VLOOKUP(tblTargetMedicos[[#This Row],[codigo_id]],[1]DIM_REPRESENTANTE_MEDICO!$C:$F,3,0)</f>
        <v>2</v>
      </c>
      <c r="F1991" s="27" t="s">
        <v>5796</v>
      </c>
      <c r="G1991" s="27" t="s">
        <v>5783</v>
      </c>
      <c r="H1991" s="27" t="s">
        <v>96</v>
      </c>
      <c r="I1991">
        <v>1</v>
      </c>
    </row>
    <row r="1992" spans="1:9">
      <c r="A1992" t="s">
        <v>2407</v>
      </c>
      <c r="B1992" s="27" t="s">
        <v>3228</v>
      </c>
      <c r="C1992" s="27" t="s">
        <v>5774</v>
      </c>
      <c r="D1992">
        <f>VLOOKUP(tblTargetMedicos[[#This Row],[codigo_id]],[1]DIM_REPRESENTANTE_MEDICO!$C:$F,4,0)</f>
        <v>4</v>
      </c>
      <c r="E1992">
        <f>VLOOKUP(tblTargetMedicos[[#This Row],[codigo_id]],[1]DIM_REPRESENTANTE_MEDICO!$C:$F,3,0)</f>
        <v>2</v>
      </c>
      <c r="F1992" s="27" t="s">
        <v>5796</v>
      </c>
      <c r="G1992" s="27" t="s">
        <v>5783</v>
      </c>
      <c r="H1992" s="27" t="s">
        <v>96</v>
      </c>
      <c r="I1992">
        <v>1</v>
      </c>
    </row>
    <row r="1993" spans="1:9">
      <c r="A1993" t="s">
        <v>2408</v>
      </c>
      <c r="B1993" s="27" t="s">
        <v>3228</v>
      </c>
      <c r="C1993" s="27" t="s">
        <v>5774</v>
      </c>
      <c r="D1993">
        <f>VLOOKUP(tblTargetMedicos[[#This Row],[codigo_id]],[1]DIM_REPRESENTANTE_MEDICO!$C:$F,4,0)</f>
        <v>4</v>
      </c>
      <c r="E1993">
        <f>VLOOKUP(tblTargetMedicos[[#This Row],[codigo_id]],[1]DIM_REPRESENTANTE_MEDICO!$C:$F,3,0)</f>
        <v>2</v>
      </c>
      <c r="F1993" s="27" t="s">
        <v>5796</v>
      </c>
      <c r="G1993" s="27" t="s">
        <v>5784</v>
      </c>
      <c r="H1993" s="27" t="s">
        <v>96</v>
      </c>
      <c r="I1993">
        <v>1</v>
      </c>
    </row>
    <row r="1994" spans="1:9">
      <c r="A1994" t="s">
        <v>2409</v>
      </c>
      <c r="B1994" s="27" t="s">
        <v>3228</v>
      </c>
      <c r="C1994" s="27" t="s">
        <v>5774</v>
      </c>
      <c r="D1994">
        <f>VLOOKUP(tblTargetMedicos[[#This Row],[codigo_id]],[1]DIM_REPRESENTANTE_MEDICO!$C:$F,4,0)</f>
        <v>4</v>
      </c>
      <c r="E1994">
        <f>VLOOKUP(tblTargetMedicos[[#This Row],[codigo_id]],[1]DIM_REPRESENTANTE_MEDICO!$C:$F,3,0)</f>
        <v>2</v>
      </c>
      <c r="F1994" s="27" t="s">
        <v>5796</v>
      </c>
      <c r="G1994" s="27" t="s">
        <v>5784</v>
      </c>
      <c r="H1994" s="27" t="s">
        <v>96</v>
      </c>
      <c r="I1994">
        <v>1</v>
      </c>
    </row>
    <row r="1995" spans="1:9">
      <c r="A1995" t="s">
        <v>2410</v>
      </c>
      <c r="B1995" s="27" t="s">
        <v>3228</v>
      </c>
      <c r="C1995" s="27" t="s">
        <v>5774</v>
      </c>
      <c r="D1995">
        <f>VLOOKUP(tblTargetMedicos[[#This Row],[codigo_id]],[1]DIM_REPRESENTANTE_MEDICO!$C:$F,4,0)</f>
        <v>4</v>
      </c>
      <c r="E1995">
        <f>VLOOKUP(tblTargetMedicos[[#This Row],[codigo_id]],[1]DIM_REPRESENTANTE_MEDICO!$C:$F,3,0)</f>
        <v>2</v>
      </c>
      <c r="F1995" s="27" t="s">
        <v>5796</v>
      </c>
      <c r="G1995" s="27" t="s">
        <v>5779</v>
      </c>
      <c r="H1995" s="27" t="s">
        <v>95</v>
      </c>
      <c r="I1995">
        <v>1</v>
      </c>
    </row>
    <row r="1996" spans="1:9">
      <c r="A1996" t="s">
        <v>2411</v>
      </c>
      <c r="B1996" s="27" t="s">
        <v>3228</v>
      </c>
      <c r="C1996" s="27" t="s">
        <v>5774</v>
      </c>
      <c r="D1996">
        <f>VLOOKUP(tblTargetMedicos[[#This Row],[codigo_id]],[1]DIM_REPRESENTANTE_MEDICO!$C:$F,4,0)</f>
        <v>4</v>
      </c>
      <c r="E1996">
        <f>VLOOKUP(tblTargetMedicos[[#This Row],[codigo_id]],[1]DIM_REPRESENTANTE_MEDICO!$C:$F,3,0)</f>
        <v>2</v>
      </c>
      <c r="F1996" s="27" t="s">
        <v>5796</v>
      </c>
      <c r="G1996" s="27" t="s">
        <v>5780</v>
      </c>
      <c r="H1996" s="27" t="s">
        <v>97</v>
      </c>
      <c r="I1996">
        <v>1</v>
      </c>
    </row>
    <row r="1997" spans="1:9">
      <c r="A1997" t="s">
        <v>2412</v>
      </c>
      <c r="B1997" s="27" t="s">
        <v>3228</v>
      </c>
      <c r="C1997" s="27" t="s">
        <v>5774</v>
      </c>
      <c r="D1997">
        <f>VLOOKUP(tblTargetMedicos[[#This Row],[codigo_id]],[1]DIM_REPRESENTANTE_MEDICO!$C:$F,4,0)</f>
        <v>4</v>
      </c>
      <c r="E1997">
        <f>VLOOKUP(tblTargetMedicos[[#This Row],[codigo_id]],[1]DIM_REPRESENTANTE_MEDICO!$C:$F,3,0)</f>
        <v>2</v>
      </c>
      <c r="F1997" s="27" t="s">
        <v>5796</v>
      </c>
      <c r="G1997" s="27" t="s">
        <v>5790</v>
      </c>
      <c r="H1997" s="27" t="s">
        <v>97</v>
      </c>
      <c r="I1997">
        <v>1</v>
      </c>
    </row>
    <row r="1998" spans="1:9">
      <c r="A1998" t="s">
        <v>2413</v>
      </c>
      <c r="B1998" s="27" t="s">
        <v>3228</v>
      </c>
      <c r="C1998" s="27" t="s">
        <v>5774</v>
      </c>
      <c r="D1998">
        <f>VLOOKUP(tblTargetMedicos[[#This Row],[codigo_id]],[1]DIM_REPRESENTANTE_MEDICO!$C:$F,4,0)</f>
        <v>4</v>
      </c>
      <c r="E1998">
        <f>VLOOKUP(tblTargetMedicos[[#This Row],[codigo_id]],[1]DIM_REPRESENTANTE_MEDICO!$C:$F,3,0)</f>
        <v>2</v>
      </c>
      <c r="F1998" s="27" t="s">
        <v>5796</v>
      </c>
      <c r="G1998" s="27" t="s">
        <v>5784</v>
      </c>
      <c r="H1998" s="27" t="s">
        <v>95</v>
      </c>
      <c r="I1998">
        <v>1</v>
      </c>
    </row>
    <row r="1999" spans="1:9">
      <c r="A1999" t="s">
        <v>2414</v>
      </c>
      <c r="B1999" s="27" t="s">
        <v>3228</v>
      </c>
      <c r="C1999" s="27" t="s">
        <v>5774</v>
      </c>
      <c r="D1999">
        <f>VLOOKUP(tblTargetMedicos[[#This Row],[codigo_id]],[1]DIM_REPRESENTANTE_MEDICO!$C:$F,4,0)</f>
        <v>4</v>
      </c>
      <c r="E1999">
        <f>VLOOKUP(tblTargetMedicos[[#This Row],[codigo_id]],[1]DIM_REPRESENTANTE_MEDICO!$C:$F,3,0)</f>
        <v>2</v>
      </c>
      <c r="F1999" s="27" t="s">
        <v>5796</v>
      </c>
      <c r="G1999" s="27" t="s">
        <v>5782</v>
      </c>
      <c r="H1999" s="27" t="s">
        <v>96</v>
      </c>
      <c r="I1999">
        <v>1</v>
      </c>
    </row>
    <row r="2000" spans="1:9">
      <c r="A2000" t="s">
        <v>2415</v>
      </c>
      <c r="B2000" s="27" t="s">
        <v>3228</v>
      </c>
      <c r="C2000" s="27" t="s">
        <v>5774</v>
      </c>
      <c r="D2000">
        <f>VLOOKUP(tblTargetMedicos[[#This Row],[codigo_id]],[1]DIM_REPRESENTANTE_MEDICO!$C:$F,4,0)</f>
        <v>4</v>
      </c>
      <c r="E2000">
        <f>VLOOKUP(tblTargetMedicos[[#This Row],[codigo_id]],[1]DIM_REPRESENTANTE_MEDICO!$C:$F,3,0)</f>
        <v>2</v>
      </c>
      <c r="F2000" s="27" t="s">
        <v>5796</v>
      </c>
      <c r="G2000" s="27" t="s">
        <v>5785</v>
      </c>
      <c r="H2000" s="27" t="s">
        <v>95</v>
      </c>
      <c r="I2000">
        <v>1</v>
      </c>
    </row>
    <row r="2001" spans="1:9">
      <c r="A2001" t="s">
        <v>2416</v>
      </c>
      <c r="B2001" s="27" t="s">
        <v>3228</v>
      </c>
      <c r="C2001" s="27" t="s">
        <v>5774</v>
      </c>
      <c r="D2001">
        <f>VLOOKUP(tblTargetMedicos[[#This Row],[codigo_id]],[1]DIM_REPRESENTANTE_MEDICO!$C:$F,4,0)</f>
        <v>4</v>
      </c>
      <c r="E2001">
        <f>VLOOKUP(tblTargetMedicos[[#This Row],[codigo_id]],[1]DIM_REPRESENTANTE_MEDICO!$C:$F,3,0)</f>
        <v>2</v>
      </c>
      <c r="F2001" s="27" t="s">
        <v>5796</v>
      </c>
      <c r="G2001" s="27" t="s">
        <v>5783</v>
      </c>
      <c r="H2001" s="27" t="s">
        <v>97</v>
      </c>
      <c r="I2001">
        <v>1</v>
      </c>
    </row>
    <row r="2002" spans="1:9">
      <c r="A2002" t="s">
        <v>2417</v>
      </c>
      <c r="B2002" s="27" t="s">
        <v>3228</v>
      </c>
      <c r="C2002" s="27" t="s">
        <v>5774</v>
      </c>
      <c r="D2002">
        <f>VLOOKUP(tblTargetMedicos[[#This Row],[codigo_id]],[1]DIM_REPRESENTANTE_MEDICO!$C:$F,4,0)</f>
        <v>4</v>
      </c>
      <c r="E2002">
        <f>VLOOKUP(tblTargetMedicos[[#This Row],[codigo_id]],[1]DIM_REPRESENTANTE_MEDICO!$C:$F,3,0)</f>
        <v>2</v>
      </c>
      <c r="F2002" s="27" t="s">
        <v>5796</v>
      </c>
      <c r="G2002" s="27" t="s">
        <v>5780</v>
      </c>
      <c r="H2002" s="27" t="s">
        <v>97</v>
      </c>
      <c r="I2002">
        <v>1</v>
      </c>
    </row>
    <row r="2003" spans="1:9">
      <c r="A2003" t="s">
        <v>2418</v>
      </c>
      <c r="B2003" s="27" t="s">
        <v>3228</v>
      </c>
      <c r="C2003" s="27" t="s">
        <v>5774</v>
      </c>
      <c r="D2003">
        <f>VLOOKUP(tblTargetMedicos[[#This Row],[codigo_id]],[1]DIM_REPRESENTANTE_MEDICO!$C:$F,4,0)</f>
        <v>4</v>
      </c>
      <c r="E2003">
        <f>VLOOKUP(tblTargetMedicos[[#This Row],[codigo_id]],[1]DIM_REPRESENTANTE_MEDICO!$C:$F,3,0)</f>
        <v>2</v>
      </c>
      <c r="F2003" s="27" t="s">
        <v>5796</v>
      </c>
      <c r="G2003" s="27" t="s">
        <v>5786</v>
      </c>
      <c r="H2003" s="27" t="s">
        <v>96</v>
      </c>
      <c r="I2003">
        <v>1</v>
      </c>
    </row>
    <row r="2004" spans="1:9">
      <c r="A2004" t="s">
        <v>2419</v>
      </c>
      <c r="B2004" s="27" t="s">
        <v>3228</v>
      </c>
      <c r="C2004" s="27" t="s">
        <v>5774</v>
      </c>
      <c r="D2004">
        <f>VLOOKUP(tblTargetMedicos[[#This Row],[codigo_id]],[1]DIM_REPRESENTANTE_MEDICO!$C:$F,4,0)</f>
        <v>4</v>
      </c>
      <c r="E2004">
        <f>VLOOKUP(tblTargetMedicos[[#This Row],[codigo_id]],[1]DIM_REPRESENTANTE_MEDICO!$C:$F,3,0)</f>
        <v>2</v>
      </c>
      <c r="F2004" s="27" t="s">
        <v>5796</v>
      </c>
      <c r="G2004" s="27" t="s">
        <v>5784</v>
      </c>
      <c r="H2004" s="27" t="s">
        <v>96</v>
      </c>
      <c r="I2004">
        <v>1</v>
      </c>
    </row>
    <row r="2005" spans="1:9">
      <c r="A2005" t="s">
        <v>2420</v>
      </c>
      <c r="B2005" s="27" t="s">
        <v>3228</v>
      </c>
      <c r="C2005" s="27" t="s">
        <v>5774</v>
      </c>
      <c r="D2005">
        <f>VLOOKUP(tblTargetMedicos[[#This Row],[codigo_id]],[1]DIM_REPRESENTANTE_MEDICO!$C:$F,4,0)</f>
        <v>4</v>
      </c>
      <c r="E2005">
        <f>VLOOKUP(tblTargetMedicos[[#This Row],[codigo_id]],[1]DIM_REPRESENTANTE_MEDICO!$C:$F,3,0)</f>
        <v>2</v>
      </c>
      <c r="F2005" s="27" t="s">
        <v>5796</v>
      </c>
      <c r="G2005" s="27" t="s">
        <v>5783</v>
      </c>
      <c r="H2005" s="27" t="s">
        <v>97</v>
      </c>
      <c r="I2005">
        <v>1</v>
      </c>
    </row>
    <row r="2006" spans="1:9">
      <c r="A2006" t="s">
        <v>2421</v>
      </c>
      <c r="B2006" s="27" t="s">
        <v>3228</v>
      </c>
      <c r="C2006" s="27" t="s">
        <v>5774</v>
      </c>
      <c r="D2006">
        <f>VLOOKUP(tblTargetMedicos[[#This Row],[codigo_id]],[1]DIM_REPRESENTANTE_MEDICO!$C:$F,4,0)</f>
        <v>4</v>
      </c>
      <c r="E2006">
        <f>VLOOKUP(tblTargetMedicos[[#This Row],[codigo_id]],[1]DIM_REPRESENTANTE_MEDICO!$C:$F,3,0)</f>
        <v>2</v>
      </c>
      <c r="F2006" s="27" t="s">
        <v>5796</v>
      </c>
      <c r="G2006" s="27" t="s">
        <v>5785</v>
      </c>
      <c r="H2006" s="27" t="s">
        <v>96</v>
      </c>
      <c r="I2006">
        <v>1</v>
      </c>
    </row>
    <row r="2007" spans="1:9">
      <c r="A2007" t="s">
        <v>2422</v>
      </c>
      <c r="B2007" s="27" t="s">
        <v>3228</v>
      </c>
      <c r="C2007" s="27" t="s">
        <v>5774</v>
      </c>
      <c r="D2007">
        <f>VLOOKUP(tblTargetMedicos[[#This Row],[codigo_id]],[1]DIM_REPRESENTANTE_MEDICO!$C:$F,4,0)</f>
        <v>4</v>
      </c>
      <c r="E2007">
        <f>VLOOKUP(tblTargetMedicos[[#This Row],[codigo_id]],[1]DIM_REPRESENTANTE_MEDICO!$C:$F,3,0)</f>
        <v>2</v>
      </c>
      <c r="F2007" s="27" t="s">
        <v>5796</v>
      </c>
      <c r="G2007" s="27" t="s">
        <v>5786</v>
      </c>
      <c r="H2007" s="27" t="s">
        <v>96</v>
      </c>
      <c r="I2007">
        <v>1</v>
      </c>
    </row>
    <row r="2008" spans="1:9">
      <c r="A2008" t="s">
        <v>2423</v>
      </c>
      <c r="B2008" s="27" t="s">
        <v>3228</v>
      </c>
      <c r="C2008" s="27" t="s">
        <v>5774</v>
      </c>
      <c r="D2008">
        <f>VLOOKUP(tblTargetMedicos[[#This Row],[codigo_id]],[1]DIM_REPRESENTANTE_MEDICO!$C:$F,4,0)</f>
        <v>4</v>
      </c>
      <c r="E2008">
        <f>VLOOKUP(tblTargetMedicos[[#This Row],[codigo_id]],[1]DIM_REPRESENTANTE_MEDICO!$C:$F,3,0)</f>
        <v>2</v>
      </c>
      <c r="F2008" s="27" t="s">
        <v>5796</v>
      </c>
      <c r="G2008" s="27" t="s">
        <v>5783</v>
      </c>
      <c r="H2008" s="27" t="s">
        <v>96</v>
      </c>
      <c r="I2008">
        <v>1</v>
      </c>
    </row>
    <row r="2009" spans="1:9">
      <c r="A2009" t="s">
        <v>2424</v>
      </c>
      <c r="B2009" s="27" t="s">
        <v>3228</v>
      </c>
      <c r="C2009" s="27" t="s">
        <v>5774</v>
      </c>
      <c r="D2009">
        <f>VLOOKUP(tblTargetMedicos[[#This Row],[codigo_id]],[1]DIM_REPRESENTANTE_MEDICO!$C:$F,4,0)</f>
        <v>4</v>
      </c>
      <c r="E2009">
        <f>VLOOKUP(tblTargetMedicos[[#This Row],[codigo_id]],[1]DIM_REPRESENTANTE_MEDICO!$C:$F,3,0)</f>
        <v>2</v>
      </c>
      <c r="F2009" s="27" t="s">
        <v>5796</v>
      </c>
      <c r="G2009" s="27" t="s">
        <v>5784</v>
      </c>
      <c r="H2009" s="27" t="s">
        <v>96</v>
      </c>
      <c r="I2009">
        <v>1</v>
      </c>
    </row>
    <row r="2010" spans="1:9">
      <c r="A2010" t="s">
        <v>2425</v>
      </c>
      <c r="B2010" s="27" t="s">
        <v>3228</v>
      </c>
      <c r="C2010" s="27" t="s">
        <v>5774</v>
      </c>
      <c r="D2010">
        <f>VLOOKUP(tblTargetMedicos[[#This Row],[codigo_id]],[1]DIM_REPRESENTANTE_MEDICO!$C:$F,4,0)</f>
        <v>4</v>
      </c>
      <c r="E2010">
        <f>VLOOKUP(tblTargetMedicos[[#This Row],[codigo_id]],[1]DIM_REPRESENTANTE_MEDICO!$C:$F,3,0)</f>
        <v>2</v>
      </c>
      <c r="F2010" s="27" t="s">
        <v>5796</v>
      </c>
      <c r="G2010" s="27" t="s">
        <v>5783</v>
      </c>
      <c r="H2010" s="27" t="s">
        <v>96</v>
      </c>
      <c r="I2010">
        <v>1</v>
      </c>
    </row>
    <row r="2011" spans="1:9">
      <c r="A2011" t="s">
        <v>2426</v>
      </c>
      <c r="B2011" s="27" t="s">
        <v>3228</v>
      </c>
      <c r="C2011" s="27" t="s">
        <v>5774</v>
      </c>
      <c r="D2011">
        <f>VLOOKUP(tblTargetMedicos[[#This Row],[codigo_id]],[1]DIM_REPRESENTANTE_MEDICO!$C:$F,4,0)</f>
        <v>4</v>
      </c>
      <c r="E2011">
        <f>VLOOKUP(tblTargetMedicos[[#This Row],[codigo_id]],[1]DIM_REPRESENTANTE_MEDICO!$C:$F,3,0)</f>
        <v>2</v>
      </c>
      <c r="F2011" s="27" t="s">
        <v>5796</v>
      </c>
      <c r="G2011" s="27" t="s">
        <v>5784</v>
      </c>
      <c r="H2011" s="27" t="s">
        <v>97</v>
      </c>
      <c r="I2011">
        <v>1</v>
      </c>
    </row>
    <row r="2012" spans="1:9">
      <c r="A2012" t="s">
        <v>2427</v>
      </c>
      <c r="B2012" s="27" t="s">
        <v>3228</v>
      </c>
      <c r="C2012" s="27" t="s">
        <v>5774</v>
      </c>
      <c r="D2012">
        <f>VLOOKUP(tblTargetMedicos[[#This Row],[codigo_id]],[1]DIM_REPRESENTANTE_MEDICO!$C:$F,4,0)</f>
        <v>4</v>
      </c>
      <c r="E2012">
        <f>VLOOKUP(tblTargetMedicos[[#This Row],[codigo_id]],[1]DIM_REPRESENTANTE_MEDICO!$C:$F,3,0)</f>
        <v>2</v>
      </c>
      <c r="F2012" s="27" t="s">
        <v>5796</v>
      </c>
      <c r="G2012" s="27" t="s">
        <v>5779</v>
      </c>
      <c r="H2012" s="27" t="s">
        <v>96</v>
      </c>
      <c r="I2012">
        <v>1</v>
      </c>
    </row>
    <row r="2013" spans="1:9">
      <c r="A2013" t="s">
        <v>2428</v>
      </c>
      <c r="B2013" s="27" t="s">
        <v>3228</v>
      </c>
      <c r="C2013" s="27" t="s">
        <v>5774</v>
      </c>
      <c r="D2013">
        <f>VLOOKUP(tblTargetMedicos[[#This Row],[codigo_id]],[1]DIM_REPRESENTANTE_MEDICO!$C:$F,4,0)</f>
        <v>4</v>
      </c>
      <c r="E2013">
        <f>VLOOKUP(tblTargetMedicos[[#This Row],[codigo_id]],[1]DIM_REPRESENTANTE_MEDICO!$C:$F,3,0)</f>
        <v>2</v>
      </c>
      <c r="F2013" s="27" t="s">
        <v>5796</v>
      </c>
      <c r="G2013" s="27" t="s">
        <v>5787</v>
      </c>
      <c r="H2013" s="27" t="s">
        <v>95</v>
      </c>
      <c r="I2013">
        <v>1</v>
      </c>
    </row>
    <row r="2014" spans="1:9">
      <c r="A2014" t="s">
        <v>2429</v>
      </c>
      <c r="B2014" s="27" t="s">
        <v>3228</v>
      </c>
      <c r="C2014" s="27" t="s">
        <v>5774</v>
      </c>
      <c r="D2014">
        <f>VLOOKUP(tblTargetMedicos[[#This Row],[codigo_id]],[1]DIM_REPRESENTANTE_MEDICO!$C:$F,4,0)</f>
        <v>4</v>
      </c>
      <c r="E2014">
        <f>VLOOKUP(tblTargetMedicos[[#This Row],[codigo_id]],[1]DIM_REPRESENTANTE_MEDICO!$C:$F,3,0)</f>
        <v>2</v>
      </c>
      <c r="F2014" s="27" t="s">
        <v>5796</v>
      </c>
      <c r="G2014" s="27" t="s">
        <v>5786</v>
      </c>
      <c r="H2014" s="27" t="s">
        <v>96</v>
      </c>
      <c r="I2014">
        <v>1</v>
      </c>
    </row>
    <row r="2015" spans="1:9">
      <c r="A2015" t="s">
        <v>2430</v>
      </c>
      <c r="B2015" s="27" t="s">
        <v>3228</v>
      </c>
      <c r="C2015" s="27" t="s">
        <v>5774</v>
      </c>
      <c r="D2015">
        <f>VLOOKUP(tblTargetMedicos[[#This Row],[codigo_id]],[1]DIM_REPRESENTANTE_MEDICO!$C:$F,4,0)</f>
        <v>4</v>
      </c>
      <c r="E2015">
        <f>VLOOKUP(tblTargetMedicos[[#This Row],[codigo_id]],[1]DIM_REPRESENTANTE_MEDICO!$C:$F,3,0)</f>
        <v>2</v>
      </c>
      <c r="F2015" s="27" t="s">
        <v>5796</v>
      </c>
      <c r="G2015" s="27" t="s">
        <v>5785</v>
      </c>
      <c r="H2015" s="27" t="s">
        <v>97</v>
      </c>
      <c r="I2015">
        <v>1</v>
      </c>
    </row>
    <row r="2016" spans="1:9">
      <c r="A2016" t="s">
        <v>2431</v>
      </c>
      <c r="B2016" s="27" t="s">
        <v>3228</v>
      </c>
      <c r="C2016" s="27" t="s">
        <v>5774</v>
      </c>
      <c r="D2016">
        <f>VLOOKUP(tblTargetMedicos[[#This Row],[codigo_id]],[1]DIM_REPRESENTANTE_MEDICO!$C:$F,4,0)</f>
        <v>4</v>
      </c>
      <c r="E2016">
        <f>VLOOKUP(tblTargetMedicos[[#This Row],[codigo_id]],[1]DIM_REPRESENTANTE_MEDICO!$C:$F,3,0)</f>
        <v>2</v>
      </c>
      <c r="F2016" s="27" t="s">
        <v>5796</v>
      </c>
      <c r="G2016" s="27" t="s">
        <v>5786</v>
      </c>
      <c r="H2016" s="27" t="s">
        <v>96</v>
      </c>
      <c r="I2016">
        <v>1</v>
      </c>
    </row>
    <row r="2017" spans="1:9">
      <c r="A2017" t="s">
        <v>2432</v>
      </c>
      <c r="B2017" s="27" t="s">
        <v>3228</v>
      </c>
      <c r="C2017" s="27" t="s">
        <v>5774</v>
      </c>
      <c r="D2017">
        <f>VLOOKUP(tblTargetMedicos[[#This Row],[codigo_id]],[1]DIM_REPRESENTANTE_MEDICO!$C:$F,4,0)</f>
        <v>4</v>
      </c>
      <c r="E2017">
        <f>VLOOKUP(tblTargetMedicos[[#This Row],[codigo_id]],[1]DIM_REPRESENTANTE_MEDICO!$C:$F,3,0)</f>
        <v>2</v>
      </c>
      <c r="F2017" s="27" t="s">
        <v>5796</v>
      </c>
      <c r="G2017" s="27" t="s">
        <v>5785</v>
      </c>
      <c r="H2017" s="27" t="s">
        <v>96</v>
      </c>
      <c r="I2017">
        <v>1</v>
      </c>
    </row>
    <row r="2018" spans="1:9">
      <c r="A2018" t="s">
        <v>2433</v>
      </c>
      <c r="B2018" s="27" t="s">
        <v>3228</v>
      </c>
      <c r="C2018" s="27" t="s">
        <v>5774</v>
      </c>
      <c r="D2018">
        <f>VLOOKUP(tblTargetMedicos[[#This Row],[codigo_id]],[1]DIM_REPRESENTANTE_MEDICO!$C:$F,4,0)</f>
        <v>4</v>
      </c>
      <c r="E2018">
        <f>VLOOKUP(tblTargetMedicos[[#This Row],[codigo_id]],[1]DIM_REPRESENTANTE_MEDICO!$C:$F,3,0)</f>
        <v>2</v>
      </c>
      <c r="F2018" s="27" t="s">
        <v>5796</v>
      </c>
      <c r="G2018" s="27" t="s">
        <v>5779</v>
      </c>
      <c r="H2018" s="27" t="s">
        <v>96</v>
      </c>
      <c r="I2018">
        <v>1</v>
      </c>
    </row>
    <row r="2019" spans="1:9">
      <c r="A2019" t="s">
        <v>2434</v>
      </c>
      <c r="B2019" s="27" t="s">
        <v>3228</v>
      </c>
      <c r="C2019" s="27" t="s">
        <v>5774</v>
      </c>
      <c r="D2019">
        <f>VLOOKUP(tblTargetMedicos[[#This Row],[codigo_id]],[1]DIM_REPRESENTANTE_MEDICO!$C:$F,4,0)</f>
        <v>4</v>
      </c>
      <c r="E2019">
        <f>VLOOKUP(tblTargetMedicos[[#This Row],[codigo_id]],[1]DIM_REPRESENTANTE_MEDICO!$C:$F,3,0)</f>
        <v>2</v>
      </c>
      <c r="F2019" s="27" t="s">
        <v>5796</v>
      </c>
      <c r="G2019" s="27" t="s">
        <v>5785</v>
      </c>
      <c r="H2019" s="27" t="s">
        <v>96</v>
      </c>
      <c r="I2019">
        <v>1</v>
      </c>
    </row>
    <row r="2020" spans="1:9">
      <c r="A2020" t="s">
        <v>2435</v>
      </c>
      <c r="B2020" s="27" t="s">
        <v>3227</v>
      </c>
      <c r="C2020" s="27" t="s">
        <v>5773</v>
      </c>
      <c r="D2020">
        <f>VLOOKUP(tblTargetMedicos[[#This Row],[codigo_id]],[1]DIM_REPRESENTANTE_MEDICO!$C:$F,4,0)</f>
        <v>4</v>
      </c>
      <c r="E2020">
        <f>VLOOKUP(tblTargetMedicos[[#This Row],[codigo_id]],[1]DIM_REPRESENTANTE_MEDICO!$C:$F,3,0)</f>
        <v>9</v>
      </c>
      <c r="F2020" s="27" t="s">
        <v>5796</v>
      </c>
      <c r="G2020" s="27" t="s">
        <v>5783</v>
      </c>
      <c r="H2020" s="27" t="s">
        <v>97</v>
      </c>
      <c r="I2020">
        <v>1</v>
      </c>
    </row>
    <row r="2021" spans="1:9">
      <c r="A2021" t="s">
        <v>2436</v>
      </c>
      <c r="B2021" s="27" t="s">
        <v>3227</v>
      </c>
      <c r="C2021" s="27" t="s">
        <v>5773</v>
      </c>
      <c r="D2021">
        <f>VLOOKUP(tblTargetMedicos[[#This Row],[codigo_id]],[1]DIM_REPRESENTANTE_MEDICO!$C:$F,4,0)</f>
        <v>4</v>
      </c>
      <c r="E2021">
        <f>VLOOKUP(tblTargetMedicos[[#This Row],[codigo_id]],[1]DIM_REPRESENTANTE_MEDICO!$C:$F,3,0)</f>
        <v>9</v>
      </c>
      <c r="F2021" s="27" t="s">
        <v>5796</v>
      </c>
      <c r="G2021" s="27" t="s">
        <v>5779</v>
      </c>
      <c r="H2021" s="27" t="s">
        <v>96</v>
      </c>
      <c r="I2021">
        <v>1</v>
      </c>
    </row>
    <row r="2022" spans="1:9">
      <c r="A2022" t="s">
        <v>2437</v>
      </c>
      <c r="B2022" s="27" t="s">
        <v>3227</v>
      </c>
      <c r="C2022" s="27" t="s">
        <v>5773</v>
      </c>
      <c r="D2022">
        <f>VLOOKUP(tblTargetMedicos[[#This Row],[codigo_id]],[1]DIM_REPRESENTANTE_MEDICO!$C:$F,4,0)</f>
        <v>4</v>
      </c>
      <c r="E2022">
        <f>VLOOKUP(tblTargetMedicos[[#This Row],[codigo_id]],[1]DIM_REPRESENTANTE_MEDICO!$C:$F,3,0)</f>
        <v>9</v>
      </c>
      <c r="F2022" s="27" t="s">
        <v>5796</v>
      </c>
      <c r="G2022" s="27" t="s">
        <v>5783</v>
      </c>
      <c r="H2022" s="27" t="s">
        <v>97</v>
      </c>
      <c r="I2022">
        <v>1</v>
      </c>
    </row>
    <row r="2023" spans="1:9">
      <c r="A2023" t="s">
        <v>2438</v>
      </c>
      <c r="B2023" s="27" t="s">
        <v>3227</v>
      </c>
      <c r="C2023" s="27" t="s">
        <v>5773</v>
      </c>
      <c r="D2023">
        <f>VLOOKUP(tblTargetMedicos[[#This Row],[codigo_id]],[1]DIM_REPRESENTANTE_MEDICO!$C:$F,4,0)</f>
        <v>4</v>
      </c>
      <c r="E2023">
        <f>VLOOKUP(tblTargetMedicos[[#This Row],[codigo_id]],[1]DIM_REPRESENTANTE_MEDICO!$C:$F,3,0)</f>
        <v>9</v>
      </c>
      <c r="F2023" s="27" t="s">
        <v>5796</v>
      </c>
      <c r="G2023" s="27" t="s">
        <v>5785</v>
      </c>
      <c r="H2023" s="27" t="s">
        <v>96</v>
      </c>
      <c r="I2023">
        <v>1</v>
      </c>
    </row>
    <row r="2024" spans="1:9">
      <c r="A2024" t="s">
        <v>2439</v>
      </c>
      <c r="B2024" s="27" t="s">
        <v>3227</v>
      </c>
      <c r="C2024" s="27" t="s">
        <v>5773</v>
      </c>
      <c r="D2024">
        <f>VLOOKUP(tblTargetMedicos[[#This Row],[codigo_id]],[1]DIM_REPRESENTANTE_MEDICO!$C:$F,4,0)</f>
        <v>4</v>
      </c>
      <c r="E2024">
        <f>VLOOKUP(tblTargetMedicos[[#This Row],[codigo_id]],[1]DIM_REPRESENTANTE_MEDICO!$C:$F,3,0)</f>
        <v>9</v>
      </c>
      <c r="F2024" s="27" t="s">
        <v>5796</v>
      </c>
      <c r="G2024" s="27" t="s">
        <v>5783</v>
      </c>
      <c r="H2024" s="27" t="s">
        <v>96</v>
      </c>
      <c r="I2024">
        <v>1</v>
      </c>
    </row>
    <row r="2025" spans="1:9">
      <c r="A2025" t="s">
        <v>2440</v>
      </c>
      <c r="B2025" s="27" t="s">
        <v>3227</v>
      </c>
      <c r="C2025" s="27" t="s">
        <v>5773</v>
      </c>
      <c r="D2025">
        <f>VLOOKUP(tblTargetMedicos[[#This Row],[codigo_id]],[1]DIM_REPRESENTANTE_MEDICO!$C:$F,4,0)</f>
        <v>4</v>
      </c>
      <c r="E2025">
        <f>VLOOKUP(tblTargetMedicos[[#This Row],[codigo_id]],[1]DIM_REPRESENTANTE_MEDICO!$C:$F,3,0)</f>
        <v>9</v>
      </c>
      <c r="F2025" s="27" t="s">
        <v>5796</v>
      </c>
      <c r="G2025" s="27" t="s">
        <v>5779</v>
      </c>
      <c r="H2025" s="27" t="s">
        <v>95</v>
      </c>
      <c r="I2025">
        <v>1</v>
      </c>
    </row>
    <row r="2026" spans="1:9">
      <c r="A2026" t="s">
        <v>2441</v>
      </c>
      <c r="B2026" s="27" t="s">
        <v>3227</v>
      </c>
      <c r="C2026" s="27" t="s">
        <v>5773</v>
      </c>
      <c r="D2026">
        <f>VLOOKUP(tblTargetMedicos[[#This Row],[codigo_id]],[1]DIM_REPRESENTANTE_MEDICO!$C:$F,4,0)</f>
        <v>4</v>
      </c>
      <c r="E2026">
        <f>VLOOKUP(tblTargetMedicos[[#This Row],[codigo_id]],[1]DIM_REPRESENTANTE_MEDICO!$C:$F,3,0)</f>
        <v>9</v>
      </c>
      <c r="F2026" s="27" t="s">
        <v>5796</v>
      </c>
      <c r="G2026" s="27" t="s">
        <v>5785</v>
      </c>
      <c r="H2026" s="27" t="s">
        <v>96</v>
      </c>
      <c r="I2026">
        <v>1</v>
      </c>
    </row>
    <row r="2027" spans="1:9">
      <c r="A2027" t="s">
        <v>2442</v>
      </c>
      <c r="B2027" s="27" t="s">
        <v>3227</v>
      </c>
      <c r="C2027" s="27" t="s">
        <v>5773</v>
      </c>
      <c r="D2027">
        <f>VLOOKUP(tblTargetMedicos[[#This Row],[codigo_id]],[1]DIM_REPRESENTANTE_MEDICO!$C:$F,4,0)</f>
        <v>4</v>
      </c>
      <c r="E2027">
        <f>VLOOKUP(tblTargetMedicos[[#This Row],[codigo_id]],[1]DIM_REPRESENTANTE_MEDICO!$C:$F,3,0)</f>
        <v>9</v>
      </c>
      <c r="F2027" s="27" t="s">
        <v>5796</v>
      </c>
      <c r="G2027" s="27" t="s">
        <v>5784</v>
      </c>
      <c r="H2027" s="27" t="s">
        <v>95</v>
      </c>
      <c r="I2027">
        <v>1</v>
      </c>
    </row>
    <row r="2028" spans="1:9">
      <c r="A2028" t="s">
        <v>2443</v>
      </c>
      <c r="B2028" s="27" t="s">
        <v>3227</v>
      </c>
      <c r="C2028" s="27" t="s">
        <v>5773</v>
      </c>
      <c r="D2028">
        <f>VLOOKUP(tblTargetMedicos[[#This Row],[codigo_id]],[1]DIM_REPRESENTANTE_MEDICO!$C:$F,4,0)</f>
        <v>4</v>
      </c>
      <c r="E2028">
        <f>VLOOKUP(tblTargetMedicos[[#This Row],[codigo_id]],[1]DIM_REPRESENTANTE_MEDICO!$C:$F,3,0)</f>
        <v>9</v>
      </c>
      <c r="F2028" s="27" t="s">
        <v>5796</v>
      </c>
      <c r="G2028" s="27" t="s">
        <v>5783</v>
      </c>
      <c r="H2028" s="27" t="s">
        <v>97</v>
      </c>
      <c r="I2028">
        <v>1</v>
      </c>
    </row>
    <row r="2029" spans="1:9">
      <c r="A2029" t="s">
        <v>2444</v>
      </c>
      <c r="B2029" s="27" t="s">
        <v>3227</v>
      </c>
      <c r="C2029" s="27" t="s">
        <v>5773</v>
      </c>
      <c r="D2029">
        <f>VLOOKUP(tblTargetMedicos[[#This Row],[codigo_id]],[1]DIM_REPRESENTANTE_MEDICO!$C:$F,4,0)</f>
        <v>4</v>
      </c>
      <c r="E2029">
        <f>VLOOKUP(tblTargetMedicos[[#This Row],[codigo_id]],[1]DIM_REPRESENTANTE_MEDICO!$C:$F,3,0)</f>
        <v>9</v>
      </c>
      <c r="F2029" s="27" t="s">
        <v>5796</v>
      </c>
      <c r="G2029" s="27" t="s">
        <v>5785</v>
      </c>
      <c r="H2029" s="27" t="s">
        <v>96</v>
      </c>
      <c r="I2029">
        <v>1</v>
      </c>
    </row>
    <row r="2030" spans="1:9">
      <c r="A2030" t="s">
        <v>2445</v>
      </c>
      <c r="B2030" s="27" t="s">
        <v>3227</v>
      </c>
      <c r="C2030" s="27" t="s">
        <v>5773</v>
      </c>
      <c r="D2030">
        <f>VLOOKUP(tblTargetMedicos[[#This Row],[codigo_id]],[1]DIM_REPRESENTANTE_MEDICO!$C:$F,4,0)</f>
        <v>4</v>
      </c>
      <c r="E2030">
        <f>VLOOKUP(tblTargetMedicos[[#This Row],[codigo_id]],[1]DIM_REPRESENTANTE_MEDICO!$C:$F,3,0)</f>
        <v>9</v>
      </c>
      <c r="F2030" s="27" t="s">
        <v>5796</v>
      </c>
      <c r="G2030" s="27" t="s">
        <v>5780</v>
      </c>
      <c r="H2030" s="27" t="s">
        <v>96</v>
      </c>
      <c r="I2030">
        <v>1</v>
      </c>
    </row>
    <row r="2031" spans="1:9">
      <c r="A2031" t="s">
        <v>2446</v>
      </c>
      <c r="B2031" s="27" t="s">
        <v>3227</v>
      </c>
      <c r="C2031" s="27" t="s">
        <v>5773</v>
      </c>
      <c r="D2031">
        <f>VLOOKUP(tblTargetMedicos[[#This Row],[codigo_id]],[1]DIM_REPRESENTANTE_MEDICO!$C:$F,4,0)</f>
        <v>4</v>
      </c>
      <c r="E2031">
        <f>VLOOKUP(tblTargetMedicos[[#This Row],[codigo_id]],[1]DIM_REPRESENTANTE_MEDICO!$C:$F,3,0)</f>
        <v>9</v>
      </c>
      <c r="F2031" s="27" t="s">
        <v>5796</v>
      </c>
      <c r="G2031" s="27" t="s">
        <v>5783</v>
      </c>
      <c r="H2031" s="27" t="s">
        <v>96</v>
      </c>
      <c r="I2031">
        <v>1</v>
      </c>
    </row>
    <row r="2032" spans="1:9">
      <c r="A2032" t="s">
        <v>2447</v>
      </c>
      <c r="B2032" s="27" t="s">
        <v>3227</v>
      </c>
      <c r="C2032" s="27" t="s">
        <v>5773</v>
      </c>
      <c r="D2032">
        <f>VLOOKUP(tblTargetMedicos[[#This Row],[codigo_id]],[1]DIM_REPRESENTANTE_MEDICO!$C:$F,4,0)</f>
        <v>4</v>
      </c>
      <c r="E2032">
        <f>VLOOKUP(tblTargetMedicos[[#This Row],[codigo_id]],[1]DIM_REPRESENTANTE_MEDICO!$C:$F,3,0)</f>
        <v>9</v>
      </c>
      <c r="F2032" s="27" t="s">
        <v>5796</v>
      </c>
      <c r="G2032" s="27" t="s">
        <v>5784</v>
      </c>
      <c r="H2032" s="27" t="s">
        <v>96</v>
      </c>
      <c r="I2032">
        <v>1</v>
      </c>
    </row>
    <row r="2033" spans="1:9">
      <c r="A2033" t="s">
        <v>2448</v>
      </c>
      <c r="B2033" s="27" t="s">
        <v>3227</v>
      </c>
      <c r="C2033" s="27" t="s">
        <v>5773</v>
      </c>
      <c r="D2033">
        <f>VLOOKUP(tblTargetMedicos[[#This Row],[codigo_id]],[1]DIM_REPRESENTANTE_MEDICO!$C:$F,4,0)</f>
        <v>4</v>
      </c>
      <c r="E2033">
        <f>VLOOKUP(tblTargetMedicos[[#This Row],[codigo_id]],[1]DIM_REPRESENTANTE_MEDICO!$C:$F,3,0)</f>
        <v>9</v>
      </c>
      <c r="F2033" s="27" t="s">
        <v>5796</v>
      </c>
      <c r="G2033" s="27" t="s">
        <v>5788</v>
      </c>
      <c r="H2033" s="27" t="s">
        <v>95</v>
      </c>
      <c r="I2033">
        <v>1</v>
      </c>
    </row>
    <row r="2034" spans="1:9">
      <c r="A2034" t="s">
        <v>2449</v>
      </c>
      <c r="B2034" s="27" t="s">
        <v>3227</v>
      </c>
      <c r="C2034" s="27" t="s">
        <v>5773</v>
      </c>
      <c r="D2034">
        <f>VLOOKUP(tblTargetMedicos[[#This Row],[codigo_id]],[1]DIM_REPRESENTANTE_MEDICO!$C:$F,4,0)</f>
        <v>4</v>
      </c>
      <c r="E2034">
        <f>VLOOKUP(tblTargetMedicos[[#This Row],[codigo_id]],[1]DIM_REPRESENTANTE_MEDICO!$C:$F,3,0)</f>
        <v>9</v>
      </c>
      <c r="F2034" s="27" t="s">
        <v>5796</v>
      </c>
      <c r="G2034" s="27" t="s">
        <v>5786</v>
      </c>
      <c r="H2034" s="27" t="s">
        <v>96</v>
      </c>
      <c r="I2034">
        <v>1</v>
      </c>
    </row>
    <row r="2035" spans="1:9">
      <c r="A2035" t="s">
        <v>2450</v>
      </c>
      <c r="B2035" s="27" t="s">
        <v>3227</v>
      </c>
      <c r="C2035" s="27" t="s">
        <v>5773</v>
      </c>
      <c r="D2035">
        <f>VLOOKUP(tblTargetMedicos[[#This Row],[codigo_id]],[1]DIM_REPRESENTANTE_MEDICO!$C:$F,4,0)</f>
        <v>4</v>
      </c>
      <c r="E2035">
        <f>VLOOKUP(tblTargetMedicos[[#This Row],[codigo_id]],[1]DIM_REPRESENTANTE_MEDICO!$C:$F,3,0)</f>
        <v>9</v>
      </c>
      <c r="F2035" s="27" t="s">
        <v>5796</v>
      </c>
      <c r="G2035" s="27" t="s">
        <v>5783</v>
      </c>
      <c r="H2035" s="27" t="s">
        <v>96</v>
      </c>
      <c r="I2035">
        <v>1</v>
      </c>
    </row>
    <row r="2036" spans="1:9">
      <c r="A2036" t="s">
        <v>2451</v>
      </c>
      <c r="B2036" s="27" t="s">
        <v>3227</v>
      </c>
      <c r="C2036" s="27" t="s">
        <v>5773</v>
      </c>
      <c r="D2036">
        <f>VLOOKUP(tblTargetMedicos[[#This Row],[codigo_id]],[1]DIM_REPRESENTANTE_MEDICO!$C:$F,4,0)</f>
        <v>4</v>
      </c>
      <c r="E2036">
        <f>VLOOKUP(tblTargetMedicos[[#This Row],[codigo_id]],[1]DIM_REPRESENTANTE_MEDICO!$C:$F,3,0)</f>
        <v>9</v>
      </c>
      <c r="F2036" s="27" t="s">
        <v>5796</v>
      </c>
      <c r="G2036" s="27" t="s">
        <v>5786</v>
      </c>
      <c r="H2036" s="27" t="s">
        <v>96</v>
      </c>
      <c r="I2036">
        <v>1</v>
      </c>
    </row>
    <row r="2037" spans="1:9">
      <c r="A2037" t="s">
        <v>2452</v>
      </c>
      <c r="B2037" s="27" t="s">
        <v>3227</v>
      </c>
      <c r="C2037" s="27" t="s">
        <v>5773</v>
      </c>
      <c r="D2037">
        <f>VLOOKUP(tblTargetMedicos[[#This Row],[codigo_id]],[1]DIM_REPRESENTANTE_MEDICO!$C:$F,4,0)</f>
        <v>4</v>
      </c>
      <c r="E2037">
        <f>VLOOKUP(tblTargetMedicos[[#This Row],[codigo_id]],[1]DIM_REPRESENTANTE_MEDICO!$C:$F,3,0)</f>
        <v>9</v>
      </c>
      <c r="F2037" s="27" t="s">
        <v>5796</v>
      </c>
      <c r="G2037" s="27" t="s">
        <v>5784</v>
      </c>
      <c r="H2037" s="27" t="s">
        <v>97</v>
      </c>
      <c r="I2037">
        <v>1</v>
      </c>
    </row>
    <row r="2038" spans="1:9">
      <c r="A2038" t="s">
        <v>2453</v>
      </c>
      <c r="B2038" s="27" t="s">
        <v>3227</v>
      </c>
      <c r="C2038" s="27" t="s">
        <v>5773</v>
      </c>
      <c r="D2038">
        <f>VLOOKUP(tblTargetMedicos[[#This Row],[codigo_id]],[1]DIM_REPRESENTANTE_MEDICO!$C:$F,4,0)</f>
        <v>4</v>
      </c>
      <c r="E2038">
        <f>VLOOKUP(tblTargetMedicos[[#This Row],[codigo_id]],[1]DIM_REPRESENTANTE_MEDICO!$C:$F,3,0)</f>
        <v>9</v>
      </c>
      <c r="F2038" s="27" t="s">
        <v>5796</v>
      </c>
      <c r="G2038" s="27" t="s">
        <v>5784</v>
      </c>
      <c r="H2038" s="27" t="s">
        <v>96</v>
      </c>
      <c r="I2038">
        <v>1</v>
      </c>
    </row>
    <row r="2039" spans="1:9">
      <c r="A2039" t="s">
        <v>2454</v>
      </c>
      <c r="B2039" s="27" t="s">
        <v>3227</v>
      </c>
      <c r="C2039" s="27" t="s">
        <v>5773</v>
      </c>
      <c r="D2039">
        <f>VLOOKUP(tblTargetMedicos[[#This Row],[codigo_id]],[1]DIM_REPRESENTANTE_MEDICO!$C:$F,4,0)</f>
        <v>4</v>
      </c>
      <c r="E2039">
        <f>VLOOKUP(tblTargetMedicos[[#This Row],[codigo_id]],[1]DIM_REPRESENTANTE_MEDICO!$C:$F,3,0)</f>
        <v>9</v>
      </c>
      <c r="F2039" s="27" t="s">
        <v>5796</v>
      </c>
      <c r="G2039" s="27" t="s">
        <v>5783</v>
      </c>
      <c r="H2039" s="27" t="s">
        <v>96</v>
      </c>
      <c r="I2039">
        <v>1</v>
      </c>
    </row>
    <row r="2040" spans="1:9">
      <c r="A2040" t="s">
        <v>2455</v>
      </c>
      <c r="B2040" s="27" t="s">
        <v>3227</v>
      </c>
      <c r="C2040" s="27" t="s">
        <v>5773</v>
      </c>
      <c r="D2040">
        <f>VLOOKUP(tblTargetMedicos[[#This Row],[codigo_id]],[1]DIM_REPRESENTANTE_MEDICO!$C:$F,4,0)</f>
        <v>4</v>
      </c>
      <c r="E2040">
        <f>VLOOKUP(tblTargetMedicos[[#This Row],[codigo_id]],[1]DIM_REPRESENTANTE_MEDICO!$C:$F,3,0)</f>
        <v>9</v>
      </c>
      <c r="F2040" s="27" t="s">
        <v>5796</v>
      </c>
      <c r="G2040" s="27" t="s">
        <v>5785</v>
      </c>
      <c r="H2040" s="27" t="s">
        <v>96</v>
      </c>
      <c r="I2040">
        <v>1</v>
      </c>
    </row>
    <row r="2041" spans="1:9">
      <c r="A2041" t="s">
        <v>2456</v>
      </c>
      <c r="B2041" s="27" t="s">
        <v>3227</v>
      </c>
      <c r="C2041" s="27" t="s">
        <v>5773</v>
      </c>
      <c r="D2041">
        <f>VLOOKUP(tblTargetMedicos[[#This Row],[codigo_id]],[1]DIM_REPRESENTANTE_MEDICO!$C:$F,4,0)</f>
        <v>4</v>
      </c>
      <c r="E2041">
        <f>VLOOKUP(tblTargetMedicos[[#This Row],[codigo_id]],[1]DIM_REPRESENTANTE_MEDICO!$C:$F,3,0)</f>
        <v>9</v>
      </c>
      <c r="F2041" s="27" t="s">
        <v>5796</v>
      </c>
      <c r="G2041" s="27" t="s">
        <v>5779</v>
      </c>
      <c r="H2041" s="27" t="s">
        <v>96</v>
      </c>
      <c r="I2041">
        <v>1</v>
      </c>
    </row>
    <row r="2042" spans="1:9">
      <c r="A2042" t="s">
        <v>2457</v>
      </c>
      <c r="B2042" s="27" t="s">
        <v>3227</v>
      </c>
      <c r="C2042" s="27" t="s">
        <v>5773</v>
      </c>
      <c r="D2042">
        <f>VLOOKUP(tblTargetMedicos[[#This Row],[codigo_id]],[1]DIM_REPRESENTANTE_MEDICO!$C:$F,4,0)</f>
        <v>4</v>
      </c>
      <c r="E2042">
        <f>VLOOKUP(tblTargetMedicos[[#This Row],[codigo_id]],[1]DIM_REPRESENTANTE_MEDICO!$C:$F,3,0)</f>
        <v>9</v>
      </c>
      <c r="F2042" s="27" t="s">
        <v>5796</v>
      </c>
      <c r="G2042" s="27" t="s">
        <v>5784</v>
      </c>
      <c r="H2042" s="27" t="s">
        <v>95</v>
      </c>
      <c r="I2042">
        <v>1</v>
      </c>
    </row>
    <row r="2043" spans="1:9">
      <c r="A2043" t="s">
        <v>2458</v>
      </c>
      <c r="B2043" s="27" t="s">
        <v>3227</v>
      </c>
      <c r="C2043" s="27" t="s">
        <v>5773</v>
      </c>
      <c r="D2043">
        <f>VLOOKUP(tblTargetMedicos[[#This Row],[codigo_id]],[1]DIM_REPRESENTANTE_MEDICO!$C:$F,4,0)</f>
        <v>4</v>
      </c>
      <c r="E2043">
        <f>VLOOKUP(tblTargetMedicos[[#This Row],[codigo_id]],[1]DIM_REPRESENTANTE_MEDICO!$C:$F,3,0)</f>
        <v>9</v>
      </c>
      <c r="F2043" s="27" t="s">
        <v>5796</v>
      </c>
      <c r="G2043" s="27" t="s">
        <v>5779</v>
      </c>
      <c r="H2043" s="27" t="s">
        <v>95</v>
      </c>
      <c r="I2043">
        <v>1</v>
      </c>
    </row>
    <row r="2044" spans="1:9">
      <c r="A2044" t="s">
        <v>2459</v>
      </c>
      <c r="B2044" s="27" t="s">
        <v>3227</v>
      </c>
      <c r="C2044" s="27" t="s">
        <v>5773</v>
      </c>
      <c r="D2044">
        <f>VLOOKUP(tblTargetMedicos[[#This Row],[codigo_id]],[1]DIM_REPRESENTANTE_MEDICO!$C:$F,4,0)</f>
        <v>4</v>
      </c>
      <c r="E2044">
        <f>VLOOKUP(tblTargetMedicos[[#This Row],[codigo_id]],[1]DIM_REPRESENTANTE_MEDICO!$C:$F,3,0)</f>
        <v>9</v>
      </c>
      <c r="F2044" s="27" t="s">
        <v>5796</v>
      </c>
      <c r="G2044" s="27" t="s">
        <v>5787</v>
      </c>
      <c r="H2044" s="27" t="s">
        <v>95</v>
      </c>
      <c r="I2044">
        <v>1</v>
      </c>
    </row>
    <row r="2045" spans="1:9">
      <c r="A2045" t="s">
        <v>2460</v>
      </c>
      <c r="B2045" s="27" t="s">
        <v>3227</v>
      </c>
      <c r="C2045" s="27" t="s">
        <v>5773</v>
      </c>
      <c r="D2045">
        <f>VLOOKUP(tblTargetMedicos[[#This Row],[codigo_id]],[1]DIM_REPRESENTANTE_MEDICO!$C:$F,4,0)</f>
        <v>4</v>
      </c>
      <c r="E2045">
        <f>VLOOKUP(tblTargetMedicos[[#This Row],[codigo_id]],[1]DIM_REPRESENTANTE_MEDICO!$C:$F,3,0)</f>
        <v>9</v>
      </c>
      <c r="F2045" s="27" t="s">
        <v>5796</v>
      </c>
      <c r="G2045" s="27" t="s">
        <v>5782</v>
      </c>
      <c r="H2045" s="27" t="s">
        <v>97</v>
      </c>
      <c r="I2045">
        <v>1</v>
      </c>
    </row>
    <row r="2046" spans="1:9">
      <c r="A2046" t="s">
        <v>2461</v>
      </c>
      <c r="B2046" s="27" t="s">
        <v>3227</v>
      </c>
      <c r="C2046" s="27" t="s">
        <v>5773</v>
      </c>
      <c r="D2046">
        <f>VLOOKUP(tblTargetMedicos[[#This Row],[codigo_id]],[1]DIM_REPRESENTANTE_MEDICO!$C:$F,4,0)</f>
        <v>4</v>
      </c>
      <c r="E2046">
        <f>VLOOKUP(tblTargetMedicos[[#This Row],[codigo_id]],[1]DIM_REPRESENTANTE_MEDICO!$C:$F,3,0)</f>
        <v>9</v>
      </c>
      <c r="F2046" s="27" t="s">
        <v>5796</v>
      </c>
      <c r="G2046" s="27" t="s">
        <v>5779</v>
      </c>
      <c r="H2046" s="27" t="s">
        <v>95</v>
      </c>
      <c r="I2046">
        <v>1</v>
      </c>
    </row>
    <row r="2047" spans="1:9">
      <c r="A2047" t="s">
        <v>2462</v>
      </c>
      <c r="B2047" s="27" t="s">
        <v>3227</v>
      </c>
      <c r="C2047" s="27" t="s">
        <v>5773</v>
      </c>
      <c r="D2047">
        <f>VLOOKUP(tblTargetMedicos[[#This Row],[codigo_id]],[1]DIM_REPRESENTANTE_MEDICO!$C:$F,4,0)</f>
        <v>4</v>
      </c>
      <c r="E2047">
        <f>VLOOKUP(tblTargetMedicos[[#This Row],[codigo_id]],[1]DIM_REPRESENTANTE_MEDICO!$C:$F,3,0)</f>
        <v>9</v>
      </c>
      <c r="F2047" s="27" t="s">
        <v>5796</v>
      </c>
      <c r="G2047" s="27" t="s">
        <v>5779</v>
      </c>
      <c r="H2047" s="27" t="s">
        <v>96</v>
      </c>
      <c r="I2047">
        <v>1</v>
      </c>
    </row>
    <row r="2048" spans="1:9">
      <c r="A2048" t="s">
        <v>2463</v>
      </c>
      <c r="B2048" s="27" t="s">
        <v>3227</v>
      </c>
      <c r="C2048" s="27" t="s">
        <v>5773</v>
      </c>
      <c r="D2048">
        <f>VLOOKUP(tblTargetMedicos[[#This Row],[codigo_id]],[1]DIM_REPRESENTANTE_MEDICO!$C:$F,4,0)</f>
        <v>4</v>
      </c>
      <c r="E2048">
        <f>VLOOKUP(tblTargetMedicos[[#This Row],[codigo_id]],[1]DIM_REPRESENTANTE_MEDICO!$C:$F,3,0)</f>
        <v>9</v>
      </c>
      <c r="F2048" s="27" t="s">
        <v>5796</v>
      </c>
      <c r="G2048" s="27" t="s">
        <v>5784</v>
      </c>
      <c r="H2048" s="27" t="s">
        <v>96</v>
      </c>
      <c r="I2048">
        <v>1</v>
      </c>
    </row>
    <row r="2049" spans="1:9">
      <c r="A2049" t="s">
        <v>2464</v>
      </c>
      <c r="B2049" s="27" t="s">
        <v>3227</v>
      </c>
      <c r="C2049" s="27" t="s">
        <v>5773</v>
      </c>
      <c r="D2049">
        <f>VLOOKUP(tblTargetMedicos[[#This Row],[codigo_id]],[1]DIM_REPRESENTANTE_MEDICO!$C:$F,4,0)</f>
        <v>4</v>
      </c>
      <c r="E2049">
        <f>VLOOKUP(tblTargetMedicos[[#This Row],[codigo_id]],[1]DIM_REPRESENTANTE_MEDICO!$C:$F,3,0)</f>
        <v>9</v>
      </c>
      <c r="F2049" s="27" t="s">
        <v>5796</v>
      </c>
      <c r="G2049" s="27" t="s">
        <v>5785</v>
      </c>
      <c r="H2049" s="27" t="s">
        <v>96</v>
      </c>
      <c r="I2049">
        <v>1</v>
      </c>
    </row>
    <row r="2050" spans="1:9">
      <c r="A2050" t="s">
        <v>2465</v>
      </c>
      <c r="B2050" s="27" t="s">
        <v>3227</v>
      </c>
      <c r="C2050" s="27" t="s">
        <v>5773</v>
      </c>
      <c r="D2050">
        <f>VLOOKUP(tblTargetMedicos[[#This Row],[codigo_id]],[1]DIM_REPRESENTANTE_MEDICO!$C:$F,4,0)</f>
        <v>4</v>
      </c>
      <c r="E2050">
        <f>VLOOKUP(tblTargetMedicos[[#This Row],[codigo_id]],[1]DIM_REPRESENTANTE_MEDICO!$C:$F,3,0)</f>
        <v>9</v>
      </c>
      <c r="F2050" s="27" t="s">
        <v>5796</v>
      </c>
      <c r="G2050" s="27" t="s">
        <v>5786</v>
      </c>
      <c r="H2050" s="27" t="s">
        <v>95</v>
      </c>
      <c r="I2050">
        <v>1</v>
      </c>
    </row>
    <row r="2051" spans="1:9">
      <c r="A2051" t="s">
        <v>2466</v>
      </c>
      <c r="B2051" s="27" t="s">
        <v>3227</v>
      </c>
      <c r="C2051" s="27" t="s">
        <v>5773</v>
      </c>
      <c r="D2051">
        <f>VLOOKUP(tblTargetMedicos[[#This Row],[codigo_id]],[1]DIM_REPRESENTANTE_MEDICO!$C:$F,4,0)</f>
        <v>4</v>
      </c>
      <c r="E2051">
        <f>VLOOKUP(tblTargetMedicos[[#This Row],[codigo_id]],[1]DIM_REPRESENTANTE_MEDICO!$C:$F,3,0)</f>
        <v>9</v>
      </c>
      <c r="F2051" s="27" t="s">
        <v>5796</v>
      </c>
      <c r="G2051" s="27" t="s">
        <v>5784</v>
      </c>
      <c r="H2051" s="27" t="s">
        <v>97</v>
      </c>
      <c r="I2051">
        <v>1</v>
      </c>
    </row>
    <row r="2052" spans="1:9">
      <c r="A2052" t="s">
        <v>2467</v>
      </c>
      <c r="B2052" s="27" t="s">
        <v>3227</v>
      </c>
      <c r="C2052" s="27" t="s">
        <v>5773</v>
      </c>
      <c r="D2052">
        <f>VLOOKUP(tblTargetMedicos[[#This Row],[codigo_id]],[1]DIM_REPRESENTANTE_MEDICO!$C:$F,4,0)</f>
        <v>4</v>
      </c>
      <c r="E2052">
        <f>VLOOKUP(tblTargetMedicos[[#This Row],[codigo_id]],[1]DIM_REPRESENTANTE_MEDICO!$C:$F,3,0)</f>
        <v>9</v>
      </c>
      <c r="F2052" s="27" t="s">
        <v>5796</v>
      </c>
      <c r="G2052" s="27" t="s">
        <v>5784</v>
      </c>
      <c r="H2052" s="27" t="s">
        <v>96</v>
      </c>
      <c r="I2052">
        <v>1</v>
      </c>
    </row>
    <row r="2053" spans="1:9">
      <c r="A2053" t="s">
        <v>2468</v>
      </c>
      <c r="B2053" s="27" t="s">
        <v>3227</v>
      </c>
      <c r="C2053" s="27" t="s">
        <v>5773</v>
      </c>
      <c r="D2053">
        <f>VLOOKUP(tblTargetMedicos[[#This Row],[codigo_id]],[1]DIM_REPRESENTANTE_MEDICO!$C:$F,4,0)</f>
        <v>4</v>
      </c>
      <c r="E2053">
        <f>VLOOKUP(tblTargetMedicos[[#This Row],[codigo_id]],[1]DIM_REPRESENTANTE_MEDICO!$C:$F,3,0)</f>
        <v>9</v>
      </c>
      <c r="F2053" s="27" t="s">
        <v>5796</v>
      </c>
      <c r="G2053" s="27" t="s">
        <v>5786</v>
      </c>
      <c r="H2053" s="27" t="s">
        <v>96</v>
      </c>
      <c r="I2053">
        <v>1</v>
      </c>
    </row>
    <row r="2054" spans="1:9">
      <c r="A2054" t="s">
        <v>2469</v>
      </c>
      <c r="B2054" s="27" t="s">
        <v>3227</v>
      </c>
      <c r="C2054" s="27" t="s">
        <v>5773</v>
      </c>
      <c r="D2054">
        <f>VLOOKUP(tblTargetMedicos[[#This Row],[codigo_id]],[1]DIM_REPRESENTANTE_MEDICO!$C:$F,4,0)</f>
        <v>4</v>
      </c>
      <c r="E2054">
        <f>VLOOKUP(tblTargetMedicos[[#This Row],[codigo_id]],[1]DIM_REPRESENTANTE_MEDICO!$C:$F,3,0)</f>
        <v>9</v>
      </c>
      <c r="F2054" s="27" t="s">
        <v>5796</v>
      </c>
      <c r="G2054" s="27" t="s">
        <v>5784</v>
      </c>
      <c r="H2054" s="27" t="s">
        <v>96</v>
      </c>
      <c r="I2054">
        <v>1</v>
      </c>
    </row>
    <row r="2055" spans="1:9">
      <c r="A2055" t="s">
        <v>2470</v>
      </c>
      <c r="B2055" s="27" t="s">
        <v>3227</v>
      </c>
      <c r="C2055" s="27" t="s">
        <v>5773</v>
      </c>
      <c r="D2055">
        <f>VLOOKUP(tblTargetMedicos[[#This Row],[codigo_id]],[1]DIM_REPRESENTANTE_MEDICO!$C:$F,4,0)</f>
        <v>4</v>
      </c>
      <c r="E2055">
        <f>VLOOKUP(tblTargetMedicos[[#This Row],[codigo_id]],[1]DIM_REPRESENTANTE_MEDICO!$C:$F,3,0)</f>
        <v>9</v>
      </c>
      <c r="F2055" s="27" t="s">
        <v>5796</v>
      </c>
      <c r="G2055" s="27" t="s">
        <v>5779</v>
      </c>
      <c r="H2055" s="27" t="s">
        <v>96</v>
      </c>
      <c r="I2055">
        <v>1</v>
      </c>
    </row>
    <row r="2056" spans="1:9">
      <c r="A2056" t="s">
        <v>2471</v>
      </c>
      <c r="B2056" s="27" t="s">
        <v>3227</v>
      </c>
      <c r="C2056" s="27" t="s">
        <v>5773</v>
      </c>
      <c r="D2056">
        <f>VLOOKUP(tblTargetMedicos[[#This Row],[codigo_id]],[1]DIM_REPRESENTANTE_MEDICO!$C:$F,4,0)</f>
        <v>4</v>
      </c>
      <c r="E2056">
        <f>VLOOKUP(tblTargetMedicos[[#This Row],[codigo_id]],[1]DIM_REPRESENTANTE_MEDICO!$C:$F,3,0)</f>
        <v>9</v>
      </c>
      <c r="F2056" s="27" t="s">
        <v>5796</v>
      </c>
      <c r="G2056" s="27" t="s">
        <v>5783</v>
      </c>
      <c r="H2056" s="27" t="s">
        <v>97</v>
      </c>
      <c r="I2056">
        <v>1</v>
      </c>
    </row>
    <row r="2057" spans="1:9">
      <c r="A2057" t="s">
        <v>2472</v>
      </c>
      <c r="B2057" s="27" t="s">
        <v>3227</v>
      </c>
      <c r="C2057" s="27" t="s">
        <v>5773</v>
      </c>
      <c r="D2057">
        <f>VLOOKUP(tblTargetMedicos[[#This Row],[codigo_id]],[1]DIM_REPRESENTANTE_MEDICO!$C:$F,4,0)</f>
        <v>4</v>
      </c>
      <c r="E2057">
        <f>VLOOKUP(tblTargetMedicos[[#This Row],[codigo_id]],[1]DIM_REPRESENTANTE_MEDICO!$C:$F,3,0)</f>
        <v>9</v>
      </c>
      <c r="F2057" s="27" t="s">
        <v>5796</v>
      </c>
      <c r="G2057" s="27" t="s">
        <v>5784</v>
      </c>
      <c r="H2057" s="27" t="s">
        <v>96</v>
      </c>
      <c r="I2057">
        <v>1</v>
      </c>
    </row>
    <row r="2058" spans="1:9">
      <c r="A2058" t="s">
        <v>2473</v>
      </c>
      <c r="B2058" s="27" t="s">
        <v>3227</v>
      </c>
      <c r="C2058" s="27" t="s">
        <v>5773</v>
      </c>
      <c r="D2058">
        <f>VLOOKUP(tblTargetMedicos[[#This Row],[codigo_id]],[1]DIM_REPRESENTANTE_MEDICO!$C:$F,4,0)</f>
        <v>4</v>
      </c>
      <c r="E2058">
        <f>VLOOKUP(tblTargetMedicos[[#This Row],[codigo_id]],[1]DIM_REPRESENTANTE_MEDICO!$C:$F,3,0)</f>
        <v>9</v>
      </c>
      <c r="F2058" s="27" t="s">
        <v>5796</v>
      </c>
      <c r="G2058" s="27" t="s">
        <v>5780</v>
      </c>
      <c r="H2058" s="27" t="s">
        <v>96</v>
      </c>
      <c r="I2058">
        <v>1</v>
      </c>
    </row>
    <row r="2059" spans="1:9">
      <c r="A2059" t="s">
        <v>2474</v>
      </c>
      <c r="B2059" s="27" t="s">
        <v>3227</v>
      </c>
      <c r="C2059" s="27" t="s">
        <v>5773</v>
      </c>
      <c r="D2059">
        <f>VLOOKUP(tblTargetMedicos[[#This Row],[codigo_id]],[1]DIM_REPRESENTANTE_MEDICO!$C:$F,4,0)</f>
        <v>4</v>
      </c>
      <c r="E2059">
        <f>VLOOKUP(tblTargetMedicos[[#This Row],[codigo_id]],[1]DIM_REPRESENTANTE_MEDICO!$C:$F,3,0)</f>
        <v>9</v>
      </c>
      <c r="F2059" s="27" t="s">
        <v>5796</v>
      </c>
      <c r="G2059" s="27" t="s">
        <v>5785</v>
      </c>
      <c r="H2059" s="27" t="s">
        <v>96</v>
      </c>
      <c r="I2059">
        <v>1</v>
      </c>
    </row>
    <row r="2060" spans="1:9">
      <c r="A2060" t="s">
        <v>2475</v>
      </c>
      <c r="B2060" s="27" t="s">
        <v>3227</v>
      </c>
      <c r="C2060" s="27" t="s">
        <v>5773</v>
      </c>
      <c r="D2060">
        <f>VLOOKUP(tblTargetMedicos[[#This Row],[codigo_id]],[1]DIM_REPRESENTANTE_MEDICO!$C:$F,4,0)</f>
        <v>4</v>
      </c>
      <c r="E2060">
        <f>VLOOKUP(tblTargetMedicos[[#This Row],[codigo_id]],[1]DIM_REPRESENTANTE_MEDICO!$C:$F,3,0)</f>
        <v>9</v>
      </c>
      <c r="F2060" s="27" t="s">
        <v>5796</v>
      </c>
      <c r="G2060" s="27" t="s">
        <v>5779</v>
      </c>
      <c r="H2060" s="27" t="s">
        <v>95</v>
      </c>
      <c r="I2060">
        <v>1</v>
      </c>
    </row>
    <row r="2061" spans="1:9">
      <c r="A2061" t="s">
        <v>2476</v>
      </c>
      <c r="B2061" s="27" t="s">
        <v>3227</v>
      </c>
      <c r="C2061" s="27" t="s">
        <v>5773</v>
      </c>
      <c r="D2061">
        <f>VLOOKUP(tblTargetMedicos[[#This Row],[codigo_id]],[1]DIM_REPRESENTANTE_MEDICO!$C:$F,4,0)</f>
        <v>4</v>
      </c>
      <c r="E2061">
        <f>VLOOKUP(tblTargetMedicos[[#This Row],[codigo_id]],[1]DIM_REPRESENTANTE_MEDICO!$C:$F,3,0)</f>
        <v>9</v>
      </c>
      <c r="F2061" s="27" t="s">
        <v>5796</v>
      </c>
      <c r="G2061" s="27" t="s">
        <v>5783</v>
      </c>
      <c r="H2061" s="27" t="s">
        <v>95</v>
      </c>
      <c r="I2061">
        <v>1</v>
      </c>
    </row>
    <row r="2062" spans="1:9">
      <c r="A2062" t="s">
        <v>2477</v>
      </c>
      <c r="B2062" s="27" t="s">
        <v>3227</v>
      </c>
      <c r="C2062" s="27" t="s">
        <v>5773</v>
      </c>
      <c r="D2062">
        <f>VLOOKUP(tblTargetMedicos[[#This Row],[codigo_id]],[1]DIM_REPRESENTANTE_MEDICO!$C:$F,4,0)</f>
        <v>4</v>
      </c>
      <c r="E2062">
        <f>VLOOKUP(tblTargetMedicos[[#This Row],[codigo_id]],[1]DIM_REPRESENTANTE_MEDICO!$C:$F,3,0)</f>
        <v>9</v>
      </c>
      <c r="F2062" s="27" t="s">
        <v>5796</v>
      </c>
      <c r="G2062" s="27" t="s">
        <v>5790</v>
      </c>
      <c r="H2062" s="27" t="s">
        <v>97</v>
      </c>
      <c r="I2062">
        <v>1</v>
      </c>
    </row>
    <row r="2063" spans="1:9">
      <c r="A2063" t="s">
        <v>2478</v>
      </c>
      <c r="B2063" s="27" t="s">
        <v>3227</v>
      </c>
      <c r="C2063" s="27" t="s">
        <v>5773</v>
      </c>
      <c r="D2063">
        <f>VLOOKUP(tblTargetMedicos[[#This Row],[codigo_id]],[1]DIM_REPRESENTANTE_MEDICO!$C:$F,4,0)</f>
        <v>4</v>
      </c>
      <c r="E2063">
        <f>VLOOKUP(tblTargetMedicos[[#This Row],[codigo_id]],[1]DIM_REPRESENTANTE_MEDICO!$C:$F,3,0)</f>
        <v>9</v>
      </c>
      <c r="F2063" s="27" t="s">
        <v>5796</v>
      </c>
      <c r="G2063" s="27" t="s">
        <v>5784</v>
      </c>
      <c r="H2063" s="27" t="s">
        <v>96</v>
      </c>
      <c r="I2063">
        <v>1</v>
      </c>
    </row>
    <row r="2064" spans="1:9">
      <c r="A2064" t="s">
        <v>2479</v>
      </c>
      <c r="B2064" s="27" t="s">
        <v>3227</v>
      </c>
      <c r="C2064" s="27" t="s">
        <v>5773</v>
      </c>
      <c r="D2064">
        <f>VLOOKUP(tblTargetMedicos[[#This Row],[codigo_id]],[1]DIM_REPRESENTANTE_MEDICO!$C:$F,4,0)</f>
        <v>4</v>
      </c>
      <c r="E2064">
        <f>VLOOKUP(tblTargetMedicos[[#This Row],[codigo_id]],[1]DIM_REPRESENTANTE_MEDICO!$C:$F,3,0)</f>
        <v>9</v>
      </c>
      <c r="F2064" s="27" t="s">
        <v>5796</v>
      </c>
      <c r="G2064" s="27" t="s">
        <v>5782</v>
      </c>
      <c r="H2064" s="27" t="s">
        <v>97</v>
      </c>
      <c r="I2064">
        <v>1</v>
      </c>
    </row>
    <row r="2065" spans="1:9">
      <c r="A2065" t="s">
        <v>2480</v>
      </c>
      <c r="B2065" s="27" t="s">
        <v>3227</v>
      </c>
      <c r="C2065" s="27" t="s">
        <v>5773</v>
      </c>
      <c r="D2065">
        <f>VLOOKUP(tblTargetMedicos[[#This Row],[codigo_id]],[1]DIM_REPRESENTANTE_MEDICO!$C:$F,4,0)</f>
        <v>4</v>
      </c>
      <c r="E2065">
        <f>VLOOKUP(tblTargetMedicos[[#This Row],[codigo_id]],[1]DIM_REPRESENTANTE_MEDICO!$C:$F,3,0)</f>
        <v>9</v>
      </c>
      <c r="F2065" s="27" t="s">
        <v>5796</v>
      </c>
      <c r="G2065" s="27" t="s">
        <v>5783</v>
      </c>
      <c r="H2065" s="27" t="s">
        <v>95</v>
      </c>
      <c r="I2065">
        <v>1</v>
      </c>
    </row>
    <row r="2066" spans="1:9">
      <c r="A2066" t="s">
        <v>2481</v>
      </c>
      <c r="B2066" s="27" t="s">
        <v>3227</v>
      </c>
      <c r="C2066" s="27" t="s">
        <v>5773</v>
      </c>
      <c r="D2066">
        <f>VLOOKUP(tblTargetMedicos[[#This Row],[codigo_id]],[1]DIM_REPRESENTANTE_MEDICO!$C:$F,4,0)</f>
        <v>4</v>
      </c>
      <c r="E2066">
        <f>VLOOKUP(tblTargetMedicos[[#This Row],[codigo_id]],[1]DIM_REPRESENTANTE_MEDICO!$C:$F,3,0)</f>
        <v>9</v>
      </c>
      <c r="F2066" s="27" t="s">
        <v>5796</v>
      </c>
      <c r="G2066" s="27" t="s">
        <v>5782</v>
      </c>
      <c r="H2066" s="27" t="s">
        <v>96</v>
      </c>
      <c r="I2066">
        <v>1</v>
      </c>
    </row>
    <row r="2067" spans="1:9">
      <c r="A2067" t="s">
        <v>2482</v>
      </c>
      <c r="B2067" s="27" t="s">
        <v>3227</v>
      </c>
      <c r="C2067" s="27" t="s">
        <v>5773</v>
      </c>
      <c r="D2067">
        <f>VLOOKUP(tblTargetMedicos[[#This Row],[codigo_id]],[1]DIM_REPRESENTANTE_MEDICO!$C:$F,4,0)</f>
        <v>4</v>
      </c>
      <c r="E2067">
        <f>VLOOKUP(tblTargetMedicos[[#This Row],[codigo_id]],[1]DIM_REPRESENTANTE_MEDICO!$C:$F,3,0)</f>
        <v>9</v>
      </c>
      <c r="F2067" s="27" t="s">
        <v>5796</v>
      </c>
      <c r="G2067" s="27" t="s">
        <v>5784</v>
      </c>
      <c r="H2067" s="27" t="s">
        <v>96</v>
      </c>
      <c r="I2067">
        <v>1</v>
      </c>
    </row>
    <row r="2068" spans="1:9">
      <c r="A2068" t="s">
        <v>2483</v>
      </c>
      <c r="B2068" s="27" t="s">
        <v>3227</v>
      </c>
      <c r="C2068" s="27" t="s">
        <v>5773</v>
      </c>
      <c r="D2068">
        <f>VLOOKUP(tblTargetMedicos[[#This Row],[codigo_id]],[1]DIM_REPRESENTANTE_MEDICO!$C:$F,4,0)</f>
        <v>4</v>
      </c>
      <c r="E2068">
        <f>VLOOKUP(tblTargetMedicos[[#This Row],[codigo_id]],[1]DIM_REPRESENTANTE_MEDICO!$C:$F,3,0)</f>
        <v>9</v>
      </c>
      <c r="F2068" s="27" t="s">
        <v>5796</v>
      </c>
      <c r="G2068" s="27" t="s">
        <v>5779</v>
      </c>
      <c r="H2068" s="27" t="s">
        <v>96</v>
      </c>
      <c r="I2068">
        <v>1</v>
      </c>
    </row>
    <row r="2069" spans="1:9">
      <c r="A2069" t="s">
        <v>2484</v>
      </c>
      <c r="B2069" s="27" t="s">
        <v>3227</v>
      </c>
      <c r="C2069" s="27" t="s">
        <v>5773</v>
      </c>
      <c r="D2069">
        <f>VLOOKUP(tblTargetMedicos[[#This Row],[codigo_id]],[1]DIM_REPRESENTANTE_MEDICO!$C:$F,4,0)</f>
        <v>4</v>
      </c>
      <c r="E2069">
        <f>VLOOKUP(tblTargetMedicos[[#This Row],[codigo_id]],[1]DIM_REPRESENTANTE_MEDICO!$C:$F,3,0)</f>
        <v>9</v>
      </c>
      <c r="F2069" s="27" t="s">
        <v>5796</v>
      </c>
      <c r="G2069" s="27" t="s">
        <v>5782</v>
      </c>
      <c r="H2069" s="27" t="s">
        <v>96</v>
      </c>
      <c r="I2069">
        <v>1</v>
      </c>
    </row>
    <row r="2070" spans="1:9">
      <c r="A2070" t="s">
        <v>2485</v>
      </c>
      <c r="B2070" s="27" t="s">
        <v>3227</v>
      </c>
      <c r="C2070" s="27" t="s">
        <v>5773</v>
      </c>
      <c r="D2070">
        <f>VLOOKUP(tblTargetMedicos[[#This Row],[codigo_id]],[1]DIM_REPRESENTANTE_MEDICO!$C:$F,4,0)</f>
        <v>4</v>
      </c>
      <c r="E2070">
        <f>VLOOKUP(tblTargetMedicos[[#This Row],[codigo_id]],[1]DIM_REPRESENTANTE_MEDICO!$C:$F,3,0)</f>
        <v>9</v>
      </c>
      <c r="F2070" s="27" t="s">
        <v>5796</v>
      </c>
      <c r="G2070" s="27" t="s">
        <v>5784</v>
      </c>
      <c r="H2070" s="27" t="s">
        <v>96</v>
      </c>
      <c r="I2070">
        <v>1</v>
      </c>
    </row>
    <row r="2071" spans="1:9">
      <c r="A2071" t="s">
        <v>2486</v>
      </c>
      <c r="B2071" s="27" t="s">
        <v>3227</v>
      </c>
      <c r="C2071" s="27" t="s">
        <v>5773</v>
      </c>
      <c r="D2071">
        <f>VLOOKUP(tblTargetMedicos[[#This Row],[codigo_id]],[1]DIM_REPRESENTANTE_MEDICO!$C:$F,4,0)</f>
        <v>4</v>
      </c>
      <c r="E2071">
        <f>VLOOKUP(tblTargetMedicos[[#This Row],[codigo_id]],[1]DIM_REPRESENTANTE_MEDICO!$C:$F,3,0)</f>
        <v>9</v>
      </c>
      <c r="F2071" s="27" t="s">
        <v>5796</v>
      </c>
      <c r="G2071" s="27" t="s">
        <v>5779</v>
      </c>
      <c r="H2071" s="27" t="s">
        <v>96</v>
      </c>
      <c r="I2071">
        <v>1</v>
      </c>
    </row>
    <row r="2072" spans="1:9">
      <c r="A2072" t="s">
        <v>2487</v>
      </c>
      <c r="B2072" s="27" t="s">
        <v>3227</v>
      </c>
      <c r="C2072" s="27" t="s">
        <v>5773</v>
      </c>
      <c r="D2072">
        <f>VLOOKUP(tblTargetMedicos[[#This Row],[codigo_id]],[1]DIM_REPRESENTANTE_MEDICO!$C:$F,4,0)</f>
        <v>4</v>
      </c>
      <c r="E2072">
        <f>VLOOKUP(tblTargetMedicos[[#This Row],[codigo_id]],[1]DIM_REPRESENTANTE_MEDICO!$C:$F,3,0)</f>
        <v>9</v>
      </c>
      <c r="F2072" s="27" t="s">
        <v>5796</v>
      </c>
      <c r="G2072" s="27" t="s">
        <v>5784</v>
      </c>
      <c r="H2072" s="27" t="s">
        <v>96</v>
      </c>
      <c r="I2072">
        <v>1</v>
      </c>
    </row>
    <row r="2073" spans="1:9">
      <c r="A2073" t="s">
        <v>2488</v>
      </c>
      <c r="B2073" s="27" t="s">
        <v>3227</v>
      </c>
      <c r="C2073" s="27" t="s">
        <v>5773</v>
      </c>
      <c r="D2073">
        <f>VLOOKUP(tblTargetMedicos[[#This Row],[codigo_id]],[1]DIM_REPRESENTANTE_MEDICO!$C:$F,4,0)</f>
        <v>4</v>
      </c>
      <c r="E2073">
        <f>VLOOKUP(tblTargetMedicos[[#This Row],[codigo_id]],[1]DIM_REPRESENTANTE_MEDICO!$C:$F,3,0)</f>
        <v>9</v>
      </c>
      <c r="F2073" s="27" t="s">
        <v>5796</v>
      </c>
      <c r="G2073" s="27" t="s">
        <v>5784</v>
      </c>
      <c r="H2073" s="27" t="s">
        <v>96</v>
      </c>
      <c r="I2073">
        <v>1</v>
      </c>
    </row>
    <row r="2074" spans="1:9">
      <c r="A2074" t="s">
        <v>2489</v>
      </c>
      <c r="B2074" s="27" t="s">
        <v>3227</v>
      </c>
      <c r="C2074" s="27" t="s">
        <v>5773</v>
      </c>
      <c r="D2074">
        <f>VLOOKUP(tblTargetMedicos[[#This Row],[codigo_id]],[1]DIM_REPRESENTANTE_MEDICO!$C:$F,4,0)</f>
        <v>4</v>
      </c>
      <c r="E2074">
        <f>VLOOKUP(tblTargetMedicos[[#This Row],[codigo_id]],[1]DIM_REPRESENTANTE_MEDICO!$C:$F,3,0)</f>
        <v>9</v>
      </c>
      <c r="F2074" s="27" t="s">
        <v>5796</v>
      </c>
      <c r="G2074" s="27" t="s">
        <v>5787</v>
      </c>
      <c r="H2074" s="27" t="s">
        <v>96</v>
      </c>
      <c r="I2074">
        <v>1</v>
      </c>
    </row>
    <row r="2075" spans="1:9">
      <c r="A2075" t="s">
        <v>2490</v>
      </c>
      <c r="B2075" s="27" t="s">
        <v>3227</v>
      </c>
      <c r="C2075" s="27" t="s">
        <v>5773</v>
      </c>
      <c r="D2075">
        <f>VLOOKUP(tblTargetMedicos[[#This Row],[codigo_id]],[1]DIM_REPRESENTANTE_MEDICO!$C:$F,4,0)</f>
        <v>4</v>
      </c>
      <c r="E2075">
        <f>VLOOKUP(tblTargetMedicos[[#This Row],[codigo_id]],[1]DIM_REPRESENTANTE_MEDICO!$C:$F,3,0)</f>
        <v>9</v>
      </c>
      <c r="F2075" s="27" t="s">
        <v>5796</v>
      </c>
      <c r="G2075" s="27" t="s">
        <v>5783</v>
      </c>
      <c r="H2075" s="27" t="s">
        <v>96</v>
      </c>
      <c r="I2075">
        <v>1</v>
      </c>
    </row>
    <row r="2076" spans="1:9">
      <c r="A2076" t="s">
        <v>2491</v>
      </c>
      <c r="B2076" s="27" t="s">
        <v>3227</v>
      </c>
      <c r="C2076" s="27" t="s">
        <v>5773</v>
      </c>
      <c r="D2076">
        <f>VLOOKUP(tblTargetMedicos[[#This Row],[codigo_id]],[1]DIM_REPRESENTANTE_MEDICO!$C:$F,4,0)</f>
        <v>4</v>
      </c>
      <c r="E2076">
        <f>VLOOKUP(tblTargetMedicos[[#This Row],[codigo_id]],[1]DIM_REPRESENTANTE_MEDICO!$C:$F,3,0)</f>
        <v>9</v>
      </c>
      <c r="F2076" s="27" t="s">
        <v>5796</v>
      </c>
      <c r="G2076" s="27" t="s">
        <v>5784</v>
      </c>
      <c r="H2076" s="27" t="s">
        <v>96</v>
      </c>
      <c r="I2076">
        <v>1</v>
      </c>
    </row>
    <row r="2077" spans="1:9">
      <c r="A2077" t="s">
        <v>2492</v>
      </c>
      <c r="B2077" s="27" t="s">
        <v>3227</v>
      </c>
      <c r="C2077" s="27" t="s">
        <v>5773</v>
      </c>
      <c r="D2077">
        <f>VLOOKUP(tblTargetMedicos[[#This Row],[codigo_id]],[1]DIM_REPRESENTANTE_MEDICO!$C:$F,4,0)</f>
        <v>4</v>
      </c>
      <c r="E2077">
        <f>VLOOKUP(tblTargetMedicos[[#This Row],[codigo_id]],[1]DIM_REPRESENTANTE_MEDICO!$C:$F,3,0)</f>
        <v>9</v>
      </c>
      <c r="F2077" s="27" t="s">
        <v>5796</v>
      </c>
      <c r="G2077" s="27" t="s">
        <v>5788</v>
      </c>
      <c r="H2077" s="27" t="s">
        <v>95</v>
      </c>
      <c r="I2077">
        <v>1</v>
      </c>
    </row>
    <row r="2078" spans="1:9">
      <c r="A2078" t="s">
        <v>2493</v>
      </c>
      <c r="B2078" s="27" t="s">
        <v>3227</v>
      </c>
      <c r="C2078" s="27" t="s">
        <v>5773</v>
      </c>
      <c r="D2078">
        <f>VLOOKUP(tblTargetMedicos[[#This Row],[codigo_id]],[1]DIM_REPRESENTANTE_MEDICO!$C:$F,4,0)</f>
        <v>4</v>
      </c>
      <c r="E2078">
        <f>VLOOKUP(tblTargetMedicos[[#This Row],[codigo_id]],[1]DIM_REPRESENTANTE_MEDICO!$C:$F,3,0)</f>
        <v>9</v>
      </c>
      <c r="F2078" s="27" t="s">
        <v>5796</v>
      </c>
      <c r="G2078" s="27" t="s">
        <v>5779</v>
      </c>
      <c r="H2078" s="27" t="s">
        <v>96</v>
      </c>
      <c r="I2078">
        <v>1</v>
      </c>
    </row>
    <row r="2079" spans="1:9">
      <c r="A2079" t="s">
        <v>2494</v>
      </c>
      <c r="B2079" s="27" t="s">
        <v>3227</v>
      </c>
      <c r="C2079" s="27" t="s">
        <v>5773</v>
      </c>
      <c r="D2079">
        <f>VLOOKUP(tblTargetMedicos[[#This Row],[codigo_id]],[1]DIM_REPRESENTANTE_MEDICO!$C:$F,4,0)</f>
        <v>4</v>
      </c>
      <c r="E2079">
        <f>VLOOKUP(tblTargetMedicos[[#This Row],[codigo_id]],[1]DIM_REPRESENTANTE_MEDICO!$C:$F,3,0)</f>
        <v>9</v>
      </c>
      <c r="F2079" s="27" t="s">
        <v>5796</v>
      </c>
      <c r="G2079" s="27" t="s">
        <v>5786</v>
      </c>
      <c r="H2079" s="27" t="s">
        <v>95</v>
      </c>
      <c r="I2079">
        <v>1</v>
      </c>
    </row>
    <row r="2080" spans="1:9">
      <c r="A2080" t="s">
        <v>2495</v>
      </c>
      <c r="B2080" s="27" t="s">
        <v>3227</v>
      </c>
      <c r="C2080" s="27" t="s">
        <v>5773</v>
      </c>
      <c r="D2080">
        <f>VLOOKUP(tblTargetMedicos[[#This Row],[codigo_id]],[1]DIM_REPRESENTANTE_MEDICO!$C:$F,4,0)</f>
        <v>4</v>
      </c>
      <c r="E2080">
        <f>VLOOKUP(tblTargetMedicos[[#This Row],[codigo_id]],[1]DIM_REPRESENTANTE_MEDICO!$C:$F,3,0)</f>
        <v>9</v>
      </c>
      <c r="F2080" s="27" t="s">
        <v>5796</v>
      </c>
      <c r="G2080" s="27" t="s">
        <v>5783</v>
      </c>
      <c r="H2080" s="27" t="s">
        <v>96</v>
      </c>
      <c r="I2080">
        <v>1</v>
      </c>
    </row>
    <row r="2081" spans="1:9">
      <c r="A2081" t="s">
        <v>2496</v>
      </c>
      <c r="B2081" s="27" t="s">
        <v>3227</v>
      </c>
      <c r="C2081" s="27" t="s">
        <v>5773</v>
      </c>
      <c r="D2081">
        <f>VLOOKUP(tblTargetMedicos[[#This Row],[codigo_id]],[1]DIM_REPRESENTANTE_MEDICO!$C:$F,4,0)</f>
        <v>4</v>
      </c>
      <c r="E2081">
        <f>VLOOKUP(tblTargetMedicos[[#This Row],[codigo_id]],[1]DIM_REPRESENTANTE_MEDICO!$C:$F,3,0)</f>
        <v>9</v>
      </c>
      <c r="F2081" s="27" t="s">
        <v>5796</v>
      </c>
      <c r="G2081" s="27" t="s">
        <v>5785</v>
      </c>
      <c r="H2081" s="27" t="s">
        <v>96</v>
      </c>
      <c r="I2081">
        <v>1</v>
      </c>
    </row>
    <row r="2082" spans="1:9">
      <c r="A2082" t="s">
        <v>2497</v>
      </c>
      <c r="B2082" s="27" t="s">
        <v>3227</v>
      </c>
      <c r="C2082" s="27" t="s">
        <v>5773</v>
      </c>
      <c r="D2082">
        <f>VLOOKUP(tblTargetMedicos[[#This Row],[codigo_id]],[1]DIM_REPRESENTANTE_MEDICO!$C:$F,4,0)</f>
        <v>4</v>
      </c>
      <c r="E2082">
        <f>VLOOKUP(tblTargetMedicos[[#This Row],[codigo_id]],[1]DIM_REPRESENTANTE_MEDICO!$C:$F,3,0)</f>
        <v>9</v>
      </c>
      <c r="F2082" s="27" t="s">
        <v>5796</v>
      </c>
      <c r="G2082" s="27" t="s">
        <v>5779</v>
      </c>
      <c r="H2082" s="27" t="s">
        <v>95</v>
      </c>
      <c r="I2082">
        <v>1</v>
      </c>
    </row>
    <row r="2083" spans="1:9">
      <c r="A2083" t="s">
        <v>2498</v>
      </c>
      <c r="B2083" s="27" t="s">
        <v>3227</v>
      </c>
      <c r="C2083" s="27" t="s">
        <v>5773</v>
      </c>
      <c r="D2083">
        <f>VLOOKUP(tblTargetMedicos[[#This Row],[codigo_id]],[1]DIM_REPRESENTANTE_MEDICO!$C:$F,4,0)</f>
        <v>4</v>
      </c>
      <c r="E2083">
        <f>VLOOKUP(tblTargetMedicos[[#This Row],[codigo_id]],[1]DIM_REPRESENTANTE_MEDICO!$C:$F,3,0)</f>
        <v>9</v>
      </c>
      <c r="F2083" s="27" t="s">
        <v>5796</v>
      </c>
      <c r="G2083" s="27" t="s">
        <v>5782</v>
      </c>
      <c r="H2083" s="27" t="s">
        <v>97</v>
      </c>
      <c r="I2083">
        <v>1</v>
      </c>
    </row>
    <row r="2084" spans="1:9">
      <c r="A2084" t="s">
        <v>2499</v>
      </c>
      <c r="B2084" s="27" t="s">
        <v>3227</v>
      </c>
      <c r="C2084" s="27" t="s">
        <v>5773</v>
      </c>
      <c r="D2084">
        <f>VLOOKUP(tblTargetMedicos[[#This Row],[codigo_id]],[1]DIM_REPRESENTANTE_MEDICO!$C:$F,4,0)</f>
        <v>4</v>
      </c>
      <c r="E2084">
        <f>VLOOKUP(tblTargetMedicos[[#This Row],[codigo_id]],[1]DIM_REPRESENTANTE_MEDICO!$C:$F,3,0)</f>
        <v>9</v>
      </c>
      <c r="F2084" s="27" t="s">
        <v>5796</v>
      </c>
      <c r="G2084" s="27" t="s">
        <v>5784</v>
      </c>
      <c r="H2084" s="27" t="s">
        <v>96</v>
      </c>
      <c r="I2084">
        <v>1</v>
      </c>
    </row>
    <row r="2085" spans="1:9">
      <c r="A2085" t="s">
        <v>2500</v>
      </c>
      <c r="B2085" s="27" t="s">
        <v>3227</v>
      </c>
      <c r="C2085" s="27" t="s">
        <v>5773</v>
      </c>
      <c r="D2085">
        <f>VLOOKUP(tblTargetMedicos[[#This Row],[codigo_id]],[1]DIM_REPRESENTANTE_MEDICO!$C:$F,4,0)</f>
        <v>4</v>
      </c>
      <c r="E2085">
        <f>VLOOKUP(tblTargetMedicos[[#This Row],[codigo_id]],[1]DIM_REPRESENTANTE_MEDICO!$C:$F,3,0)</f>
        <v>9</v>
      </c>
      <c r="F2085" s="27" t="s">
        <v>5796</v>
      </c>
      <c r="G2085" s="27" t="s">
        <v>5784</v>
      </c>
      <c r="H2085" s="27" t="s">
        <v>95</v>
      </c>
      <c r="I2085">
        <v>1</v>
      </c>
    </row>
    <row r="2086" spans="1:9">
      <c r="A2086" t="s">
        <v>2501</v>
      </c>
      <c r="B2086" s="27" t="s">
        <v>3227</v>
      </c>
      <c r="C2086" s="27" t="s">
        <v>5773</v>
      </c>
      <c r="D2086">
        <f>VLOOKUP(tblTargetMedicos[[#This Row],[codigo_id]],[1]DIM_REPRESENTANTE_MEDICO!$C:$F,4,0)</f>
        <v>4</v>
      </c>
      <c r="E2086">
        <f>VLOOKUP(tblTargetMedicos[[#This Row],[codigo_id]],[1]DIM_REPRESENTANTE_MEDICO!$C:$F,3,0)</f>
        <v>9</v>
      </c>
      <c r="F2086" s="27" t="s">
        <v>5796</v>
      </c>
      <c r="G2086" s="27" t="s">
        <v>5784</v>
      </c>
      <c r="H2086" s="27" t="s">
        <v>96</v>
      </c>
      <c r="I2086">
        <v>1</v>
      </c>
    </row>
    <row r="2087" spans="1:9">
      <c r="A2087" t="s">
        <v>2502</v>
      </c>
      <c r="B2087" s="27" t="s">
        <v>3227</v>
      </c>
      <c r="C2087" s="27" t="s">
        <v>5773</v>
      </c>
      <c r="D2087">
        <f>VLOOKUP(tblTargetMedicos[[#This Row],[codigo_id]],[1]DIM_REPRESENTANTE_MEDICO!$C:$F,4,0)</f>
        <v>4</v>
      </c>
      <c r="E2087">
        <f>VLOOKUP(tblTargetMedicos[[#This Row],[codigo_id]],[1]DIM_REPRESENTANTE_MEDICO!$C:$F,3,0)</f>
        <v>9</v>
      </c>
      <c r="F2087" s="27" t="s">
        <v>5796</v>
      </c>
      <c r="G2087" s="27" t="s">
        <v>5784</v>
      </c>
      <c r="H2087" s="27" t="s">
        <v>96</v>
      </c>
      <c r="I2087">
        <v>1</v>
      </c>
    </row>
    <row r="2088" spans="1:9">
      <c r="A2088" t="s">
        <v>2503</v>
      </c>
      <c r="B2088" s="27" t="s">
        <v>3227</v>
      </c>
      <c r="C2088" s="27" t="s">
        <v>5773</v>
      </c>
      <c r="D2088">
        <f>VLOOKUP(tblTargetMedicos[[#This Row],[codigo_id]],[1]DIM_REPRESENTANTE_MEDICO!$C:$F,4,0)</f>
        <v>4</v>
      </c>
      <c r="E2088">
        <f>VLOOKUP(tblTargetMedicos[[#This Row],[codigo_id]],[1]DIM_REPRESENTANTE_MEDICO!$C:$F,3,0)</f>
        <v>9</v>
      </c>
      <c r="F2088" s="27" t="s">
        <v>5796</v>
      </c>
      <c r="G2088" s="27" t="s">
        <v>5782</v>
      </c>
      <c r="H2088" s="27" t="s">
        <v>96</v>
      </c>
      <c r="I2088">
        <v>1</v>
      </c>
    </row>
    <row r="2089" spans="1:9">
      <c r="A2089" t="s">
        <v>2504</v>
      </c>
      <c r="B2089" s="27" t="s">
        <v>3227</v>
      </c>
      <c r="C2089" s="27" t="s">
        <v>5773</v>
      </c>
      <c r="D2089">
        <f>VLOOKUP(tblTargetMedicos[[#This Row],[codigo_id]],[1]DIM_REPRESENTANTE_MEDICO!$C:$F,4,0)</f>
        <v>4</v>
      </c>
      <c r="E2089">
        <f>VLOOKUP(tblTargetMedicos[[#This Row],[codigo_id]],[1]DIM_REPRESENTANTE_MEDICO!$C:$F,3,0)</f>
        <v>9</v>
      </c>
      <c r="F2089" s="27" t="s">
        <v>5796</v>
      </c>
      <c r="G2089" s="27" t="s">
        <v>5785</v>
      </c>
      <c r="H2089" s="27" t="s">
        <v>95</v>
      </c>
      <c r="I2089">
        <v>1</v>
      </c>
    </row>
    <row r="2090" spans="1:9">
      <c r="A2090" t="s">
        <v>2505</v>
      </c>
      <c r="B2090" s="27" t="s">
        <v>3227</v>
      </c>
      <c r="C2090" s="27" t="s">
        <v>5773</v>
      </c>
      <c r="D2090">
        <f>VLOOKUP(tblTargetMedicos[[#This Row],[codigo_id]],[1]DIM_REPRESENTANTE_MEDICO!$C:$F,4,0)</f>
        <v>4</v>
      </c>
      <c r="E2090">
        <f>VLOOKUP(tblTargetMedicos[[#This Row],[codigo_id]],[1]DIM_REPRESENTANTE_MEDICO!$C:$F,3,0)</f>
        <v>9</v>
      </c>
      <c r="F2090" s="27" t="s">
        <v>5796</v>
      </c>
      <c r="G2090" s="27" t="s">
        <v>5783</v>
      </c>
      <c r="H2090" s="27" t="s">
        <v>96</v>
      </c>
      <c r="I2090">
        <v>1</v>
      </c>
    </row>
    <row r="2091" spans="1:9">
      <c r="A2091" t="s">
        <v>2506</v>
      </c>
      <c r="B2091" s="27" t="s">
        <v>3227</v>
      </c>
      <c r="C2091" s="27" t="s">
        <v>5773</v>
      </c>
      <c r="D2091">
        <f>VLOOKUP(tblTargetMedicos[[#This Row],[codigo_id]],[1]DIM_REPRESENTANTE_MEDICO!$C:$F,4,0)</f>
        <v>4</v>
      </c>
      <c r="E2091">
        <f>VLOOKUP(tblTargetMedicos[[#This Row],[codigo_id]],[1]DIM_REPRESENTANTE_MEDICO!$C:$F,3,0)</f>
        <v>9</v>
      </c>
      <c r="F2091" s="27" t="s">
        <v>5796</v>
      </c>
      <c r="G2091" s="27" t="s">
        <v>5779</v>
      </c>
      <c r="H2091" s="27" t="s">
        <v>96</v>
      </c>
      <c r="I2091">
        <v>1</v>
      </c>
    </row>
    <row r="2092" spans="1:9">
      <c r="A2092" t="s">
        <v>2507</v>
      </c>
      <c r="B2092" s="27" t="s">
        <v>3227</v>
      </c>
      <c r="C2092" s="27" t="s">
        <v>5773</v>
      </c>
      <c r="D2092">
        <f>VLOOKUP(tblTargetMedicos[[#This Row],[codigo_id]],[1]DIM_REPRESENTANTE_MEDICO!$C:$F,4,0)</f>
        <v>4</v>
      </c>
      <c r="E2092">
        <f>VLOOKUP(tblTargetMedicos[[#This Row],[codigo_id]],[1]DIM_REPRESENTANTE_MEDICO!$C:$F,3,0)</f>
        <v>9</v>
      </c>
      <c r="F2092" s="27" t="s">
        <v>5796</v>
      </c>
      <c r="G2092" s="27" t="s">
        <v>5786</v>
      </c>
      <c r="H2092" s="27" t="s">
        <v>96</v>
      </c>
      <c r="I2092">
        <v>1</v>
      </c>
    </row>
    <row r="2093" spans="1:9">
      <c r="A2093" t="s">
        <v>2508</v>
      </c>
      <c r="B2093" s="27" t="s">
        <v>3227</v>
      </c>
      <c r="C2093" s="27" t="s">
        <v>5773</v>
      </c>
      <c r="D2093">
        <f>VLOOKUP(tblTargetMedicos[[#This Row],[codigo_id]],[1]DIM_REPRESENTANTE_MEDICO!$C:$F,4,0)</f>
        <v>4</v>
      </c>
      <c r="E2093">
        <f>VLOOKUP(tblTargetMedicos[[#This Row],[codigo_id]],[1]DIM_REPRESENTANTE_MEDICO!$C:$F,3,0)</f>
        <v>9</v>
      </c>
      <c r="F2093" s="27" t="s">
        <v>5796</v>
      </c>
      <c r="G2093" s="27" t="s">
        <v>5784</v>
      </c>
      <c r="H2093" s="27" t="s">
        <v>96</v>
      </c>
      <c r="I2093">
        <v>1</v>
      </c>
    </row>
    <row r="2094" spans="1:9">
      <c r="A2094" t="s">
        <v>2509</v>
      </c>
      <c r="B2094" s="27" t="s">
        <v>3227</v>
      </c>
      <c r="C2094" s="27" t="s">
        <v>5773</v>
      </c>
      <c r="D2094">
        <f>VLOOKUP(tblTargetMedicos[[#This Row],[codigo_id]],[1]DIM_REPRESENTANTE_MEDICO!$C:$F,4,0)</f>
        <v>4</v>
      </c>
      <c r="E2094">
        <f>VLOOKUP(tblTargetMedicos[[#This Row],[codigo_id]],[1]DIM_REPRESENTANTE_MEDICO!$C:$F,3,0)</f>
        <v>9</v>
      </c>
      <c r="F2094" s="27" t="s">
        <v>5796</v>
      </c>
      <c r="G2094" s="27" t="s">
        <v>5786</v>
      </c>
      <c r="H2094" s="27" t="s">
        <v>96</v>
      </c>
      <c r="I2094">
        <v>1</v>
      </c>
    </row>
    <row r="2095" spans="1:9">
      <c r="A2095" t="s">
        <v>2510</v>
      </c>
      <c r="B2095" s="27" t="s">
        <v>3227</v>
      </c>
      <c r="C2095" s="27" t="s">
        <v>5773</v>
      </c>
      <c r="D2095">
        <f>VLOOKUP(tblTargetMedicos[[#This Row],[codigo_id]],[1]DIM_REPRESENTANTE_MEDICO!$C:$F,4,0)</f>
        <v>4</v>
      </c>
      <c r="E2095">
        <f>VLOOKUP(tblTargetMedicos[[#This Row],[codigo_id]],[1]DIM_REPRESENTANTE_MEDICO!$C:$F,3,0)</f>
        <v>9</v>
      </c>
      <c r="F2095" s="27" t="s">
        <v>5796</v>
      </c>
      <c r="G2095" s="27" t="s">
        <v>5784</v>
      </c>
      <c r="H2095" s="27" t="s">
        <v>96</v>
      </c>
      <c r="I2095">
        <v>1</v>
      </c>
    </row>
    <row r="2096" spans="1:9">
      <c r="A2096" t="s">
        <v>2511</v>
      </c>
      <c r="B2096" s="27" t="s">
        <v>3227</v>
      </c>
      <c r="C2096" s="27" t="s">
        <v>5773</v>
      </c>
      <c r="D2096">
        <f>VLOOKUP(tblTargetMedicos[[#This Row],[codigo_id]],[1]DIM_REPRESENTANTE_MEDICO!$C:$F,4,0)</f>
        <v>4</v>
      </c>
      <c r="E2096">
        <f>VLOOKUP(tblTargetMedicos[[#This Row],[codigo_id]],[1]DIM_REPRESENTANTE_MEDICO!$C:$F,3,0)</f>
        <v>9</v>
      </c>
      <c r="F2096" s="27" t="s">
        <v>5796</v>
      </c>
      <c r="G2096" s="27" t="s">
        <v>5781</v>
      </c>
      <c r="H2096" s="27" t="s">
        <v>97</v>
      </c>
      <c r="I2096">
        <v>1</v>
      </c>
    </row>
    <row r="2097" spans="1:9">
      <c r="A2097" t="s">
        <v>2512</v>
      </c>
      <c r="B2097" s="27" t="s">
        <v>3227</v>
      </c>
      <c r="C2097" s="27" t="s">
        <v>5773</v>
      </c>
      <c r="D2097">
        <f>VLOOKUP(tblTargetMedicos[[#This Row],[codigo_id]],[1]DIM_REPRESENTANTE_MEDICO!$C:$F,4,0)</f>
        <v>4</v>
      </c>
      <c r="E2097">
        <f>VLOOKUP(tblTargetMedicos[[#This Row],[codigo_id]],[1]DIM_REPRESENTANTE_MEDICO!$C:$F,3,0)</f>
        <v>9</v>
      </c>
      <c r="F2097" s="27" t="s">
        <v>5796</v>
      </c>
      <c r="G2097" s="27" t="s">
        <v>5779</v>
      </c>
      <c r="H2097" s="27" t="s">
        <v>96</v>
      </c>
      <c r="I2097">
        <v>1</v>
      </c>
    </row>
    <row r="2098" spans="1:9">
      <c r="A2098" t="s">
        <v>2513</v>
      </c>
      <c r="B2098" s="27" t="s">
        <v>3227</v>
      </c>
      <c r="C2098" s="27" t="s">
        <v>5773</v>
      </c>
      <c r="D2098">
        <f>VLOOKUP(tblTargetMedicos[[#This Row],[codigo_id]],[1]DIM_REPRESENTANTE_MEDICO!$C:$F,4,0)</f>
        <v>4</v>
      </c>
      <c r="E2098">
        <f>VLOOKUP(tblTargetMedicos[[#This Row],[codigo_id]],[1]DIM_REPRESENTANTE_MEDICO!$C:$F,3,0)</f>
        <v>9</v>
      </c>
      <c r="F2098" s="27" t="s">
        <v>5796</v>
      </c>
      <c r="G2098" s="27" t="s">
        <v>5784</v>
      </c>
      <c r="H2098" s="27" t="s">
        <v>96</v>
      </c>
      <c r="I2098">
        <v>1</v>
      </c>
    </row>
    <row r="2099" spans="1:9">
      <c r="A2099" t="s">
        <v>2514</v>
      </c>
      <c r="B2099" s="27" t="s">
        <v>3227</v>
      </c>
      <c r="C2099" s="27" t="s">
        <v>5773</v>
      </c>
      <c r="D2099">
        <f>VLOOKUP(tblTargetMedicos[[#This Row],[codigo_id]],[1]DIM_REPRESENTANTE_MEDICO!$C:$F,4,0)</f>
        <v>4</v>
      </c>
      <c r="E2099">
        <f>VLOOKUP(tblTargetMedicos[[#This Row],[codigo_id]],[1]DIM_REPRESENTANTE_MEDICO!$C:$F,3,0)</f>
        <v>9</v>
      </c>
      <c r="F2099" s="27" t="s">
        <v>5796</v>
      </c>
      <c r="G2099" s="27" t="s">
        <v>5783</v>
      </c>
      <c r="H2099" s="27" t="s">
        <v>95</v>
      </c>
      <c r="I2099">
        <v>1</v>
      </c>
    </row>
    <row r="2100" spans="1:9">
      <c r="A2100" t="s">
        <v>2515</v>
      </c>
      <c r="B2100" s="27" t="s">
        <v>3227</v>
      </c>
      <c r="C2100" s="27" t="s">
        <v>5773</v>
      </c>
      <c r="D2100">
        <f>VLOOKUP(tblTargetMedicos[[#This Row],[codigo_id]],[1]DIM_REPRESENTANTE_MEDICO!$C:$F,4,0)</f>
        <v>4</v>
      </c>
      <c r="E2100">
        <f>VLOOKUP(tblTargetMedicos[[#This Row],[codigo_id]],[1]DIM_REPRESENTANTE_MEDICO!$C:$F,3,0)</f>
        <v>9</v>
      </c>
      <c r="F2100" s="27" t="s">
        <v>5796</v>
      </c>
      <c r="G2100" s="27" t="s">
        <v>5784</v>
      </c>
      <c r="H2100" s="27" t="s">
        <v>96</v>
      </c>
      <c r="I2100">
        <v>1</v>
      </c>
    </row>
    <row r="2101" spans="1:9">
      <c r="A2101" t="s">
        <v>2516</v>
      </c>
      <c r="B2101" s="27" t="s">
        <v>3227</v>
      </c>
      <c r="C2101" s="27" t="s">
        <v>5773</v>
      </c>
      <c r="D2101">
        <f>VLOOKUP(tblTargetMedicos[[#This Row],[codigo_id]],[1]DIM_REPRESENTANTE_MEDICO!$C:$F,4,0)</f>
        <v>4</v>
      </c>
      <c r="E2101">
        <f>VLOOKUP(tblTargetMedicos[[#This Row],[codigo_id]],[1]DIM_REPRESENTANTE_MEDICO!$C:$F,3,0)</f>
        <v>9</v>
      </c>
      <c r="F2101" s="27" t="s">
        <v>5796</v>
      </c>
      <c r="G2101" s="27" t="s">
        <v>5788</v>
      </c>
      <c r="H2101" s="27" t="s">
        <v>95</v>
      </c>
      <c r="I2101">
        <v>1</v>
      </c>
    </row>
    <row r="2102" spans="1:9">
      <c r="A2102" t="s">
        <v>2517</v>
      </c>
      <c r="B2102" s="27" t="s">
        <v>3227</v>
      </c>
      <c r="C2102" s="27" t="s">
        <v>5773</v>
      </c>
      <c r="D2102">
        <f>VLOOKUP(tblTargetMedicos[[#This Row],[codigo_id]],[1]DIM_REPRESENTANTE_MEDICO!$C:$F,4,0)</f>
        <v>4</v>
      </c>
      <c r="E2102">
        <f>VLOOKUP(tblTargetMedicos[[#This Row],[codigo_id]],[1]DIM_REPRESENTANTE_MEDICO!$C:$F,3,0)</f>
        <v>9</v>
      </c>
      <c r="F2102" s="27" t="s">
        <v>5796</v>
      </c>
      <c r="G2102" s="27" t="s">
        <v>5783</v>
      </c>
      <c r="H2102" s="27" t="s">
        <v>96</v>
      </c>
      <c r="I2102">
        <v>1</v>
      </c>
    </row>
    <row r="2103" spans="1:9">
      <c r="A2103" t="s">
        <v>2518</v>
      </c>
      <c r="B2103" s="27" t="s">
        <v>3227</v>
      </c>
      <c r="C2103" s="27" t="s">
        <v>5773</v>
      </c>
      <c r="D2103">
        <f>VLOOKUP(tblTargetMedicos[[#This Row],[codigo_id]],[1]DIM_REPRESENTANTE_MEDICO!$C:$F,4,0)</f>
        <v>4</v>
      </c>
      <c r="E2103">
        <f>VLOOKUP(tblTargetMedicos[[#This Row],[codigo_id]],[1]DIM_REPRESENTANTE_MEDICO!$C:$F,3,0)</f>
        <v>9</v>
      </c>
      <c r="F2103" s="27" t="s">
        <v>5796</v>
      </c>
      <c r="G2103" s="27" t="s">
        <v>5784</v>
      </c>
      <c r="H2103" s="27" t="s">
        <v>96</v>
      </c>
      <c r="I2103">
        <v>1</v>
      </c>
    </row>
    <row r="2104" spans="1:9">
      <c r="A2104" t="s">
        <v>2519</v>
      </c>
      <c r="B2104" s="27" t="s">
        <v>3227</v>
      </c>
      <c r="C2104" s="27" t="s">
        <v>5773</v>
      </c>
      <c r="D2104">
        <f>VLOOKUP(tblTargetMedicos[[#This Row],[codigo_id]],[1]DIM_REPRESENTANTE_MEDICO!$C:$F,4,0)</f>
        <v>4</v>
      </c>
      <c r="E2104">
        <f>VLOOKUP(tblTargetMedicos[[#This Row],[codigo_id]],[1]DIM_REPRESENTANTE_MEDICO!$C:$F,3,0)</f>
        <v>9</v>
      </c>
      <c r="F2104" s="27" t="s">
        <v>5796</v>
      </c>
      <c r="G2104" s="27" t="s">
        <v>5784</v>
      </c>
      <c r="H2104" s="27" t="s">
        <v>96</v>
      </c>
      <c r="I2104">
        <v>1</v>
      </c>
    </row>
    <row r="2105" spans="1:9">
      <c r="A2105" t="s">
        <v>2520</v>
      </c>
      <c r="B2105" s="27" t="s">
        <v>3227</v>
      </c>
      <c r="C2105" s="27" t="s">
        <v>5773</v>
      </c>
      <c r="D2105">
        <f>VLOOKUP(tblTargetMedicos[[#This Row],[codigo_id]],[1]DIM_REPRESENTANTE_MEDICO!$C:$F,4,0)</f>
        <v>4</v>
      </c>
      <c r="E2105">
        <f>VLOOKUP(tblTargetMedicos[[#This Row],[codigo_id]],[1]DIM_REPRESENTANTE_MEDICO!$C:$F,3,0)</f>
        <v>9</v>
      </c>
      <c r="F2105" s="27" t="s">
        <v>5796</v>
      </c>
      <c r="G2105" s="27" t="s">
        <v>5785</v>
      </c>
      <c r="H2105" s="27" t="s">
        <v>96</v>
      </c>
      <c r="I2105">
        <v>1</v>
      </c>
    </row>
    <row r="2106" spans="1:9">
      <c r="A2106" t="s">
        <v>2521</v>
      </c>
      <c r="B2106" s="27" t="s">
        <v>3227</v>
      </c>
      <c r="C2106" s="27" t="s">
        <v>5773</v>
      </c>
      <c r="D2106">
        <f>VLOOKUP(tblTargetMedicos[[#This Row],[codigo_id]],[1]DIM_REPRESENTANTE_MEDICO!$C:$F,4,0)</f>
        <v>4</v>
      </c>
      <c r="E2106">
        <f>VLOOKUP(tblTargetMedicos[[#This Row],[codigo_id]],[1]DIM_REPRESENTANTE_MEDICO!$C:$F,3,0)</f>
        <v>9</v>
      </c>
      <c r="F2106" s="27" t="s">
        <v>5796</v>
      </c>
      <c r="G2106" s="27" t="s">
        <v>5783</v>
      </c>
      <c r="H2106" s="27" t="s">
        <v>96</v>
      </c>
      <c r="I2106">
        <v>1</v>
      </c>
    </row>
    <row r="2107" spans="1:9">
      <c r="A2107" t="s">
        <v>2522</v>
      </c>
      <c r="B2107" s="27" t="s">
        <v>3227</v>
      </c>
      <c r="C2107" s="27" t="s">
        <v>5773</v>
      </c>
      <c r="D2107">
        <f>VLOOKUP(tblTargetMedicos[[#This Row],[codigo_id]],[1]DIM_REPRESENTANTE_MEDICO!$C:$F,4,0)</f>
        <v>4</v>
      </c>
      <c r="E2107">
        <f>VLOOKUP(tblTargetMedicos[[#This Row],[codigo_id]],[1]DIM_REPRESENTANTE_MEDICO!$C:$F,3,0)</f>
        <v>9</v>
      </c>
      <c r="F2107" s="27" t="s">
        <v>5796</v>
      </c>
      <c r="G2107" s="27" t="s">
        <v>5784</v>
      </c>
      <c r="H2107" s="27" t="s">
        <v>96</v>
      </c>
      <c r="I2107">
        <v>1</v>
      </c>
    </row>
    <row r="2108" spans="1:9">
      <c r="A2108" t="s">
        <v>2523</v>
      </c>
      <c r="B2108" s="27" t="s">
        <v>3227</v>
      </c>
      <c r="C2108" s="27" t="s">
        <v>5773</v>
      </c>
      <c r="D2108">
        <f>VLOOKUP(tblTargetMedicos[[#This Row],[codigo_id]],[1]DIM_REPRESENTANTE_MEDICO!$C:$F,4,0)</f>
        <v>4</v>
      </c>
      <c r="E2108">
        <f>VLOOKUP(tblTargetMedicos[[#This Row],[codigo_id]],[1]DIM_REPRESENTANTE_MEDICO!$C:$F,3,0)</f>
        <v>9</v>
      </c>
      <c r="F2108" s="27" t="s">
        <v>5796</v>
      </c>
      <c r="G2108" s="27" t="s">
        <v>5786</v>
      </c>
      <c r="H2108" s="27" t="s">
        <v>96</v>
      </c>
      <c r="I2108">
        <v>1</v>
      </c>
    </row>
    <row r="2109" spans="1:9">
      <c r="A2109" t="s">
        <v>2524</v>
      </c>
      <c r="B2109" s="27" t="s">
        <v>3227</v>
      </c>
      <c r="C2109" s="27" t="s">
        <v>5773</v>
      </c>
      <c r="D2109">
        <f>VLOOKUP(tblTargetMedicos[[#This Row],[codigo_id]],[1]DIM_REPRESENTANTE_MEDICO!$C:$F,4,0)</f>
        <v>4</v>
      </c>
      <c r="E2109">
        <f>VLOOKUP(tblTargetMedicos[[#This Row],[codigo_id]],[1]DIM_REPRESENTANTE_MEDICO!$C:$F,3,0)</f>
        <v>9</v>
      </c>
      <c r="F2109" s="27" t="s">
        <v>5796</v>
      </c>
      <c r="G2109" s="27" t="s">
        <v>5787</v>
      </c>
      <c r="H2109" s="27" t="s">
        <v>96</v>
      </c>
      <c r="I2109">
        <v>1</v>
      </c>
    </row>
    <row r="2110" spans="1:9">
      <c r="A2110" t="s">
        <v>2525</v>
      </c>
      <c r="B2110" s="27" t="s">
        <v>3227</v>
      </c>
      <c r="C2110" s="27" t="s">
        <v>5773</v>
      </c>
      <c r="D2110">
        <f>VLOOKUP(tblTargetMedicos[[#This Row],[codigo_id]],[1]DIM_REPRESENTANTE_MEDICO!$C:$F,4,0)</f>
        <v>4</v>
      </c>
      <c r="E2110">
        <f>VLOOKUP(tblTargetMedicos[[#This Row],[codigo_id]],[1]DIM_REPRESENTANTE_MEDICO!$C:$F,3,0)</f>
        <v>9</v>
      </c>
      <c r="F2110" s="27" t="s">
        <v>5796</v>
      </c>
      <c r="G2110" s="27" t="s">
        <v>5783</v>
      </c>
      <c r="H2110" s="27" t="s">
        <v>96</v>
      </c>
      <c r="I2110">
        <v>1</v>
      </c>
    </row>
    <row r="2111" spans="1:9">
      <c r="A2111" t="s">
        <v>2526</v>
      </c>
      <c r="B2111" s="27" t="s">
        <v>3227</v>
      </c>
      <c r="C2111" s="27" t="s">
        <v>5773</v>
      </c>
      <c r="D2111">
        <f>VLOOKUP(tblTargetMedicos[[#This Row],[codigo_id]],[1]DIM_REPRESENTANTE_MEDICO!$C:$F,4,0)</f>
        <v>4</v>
      </c>
      <c r="E2111">
        <f>VLOOKUP(tblTargetMedicos[[#This Row],[codigo_id]],[1]DIM_REPRESENTANTE_MEDICO!$C:$F,3,0)</f>
        <v>9</v>
      </c>
      <c r="F2111" s="27" t="s">
        <v>5796</v>
      </c>
      <c r="G2111" s="27" t="s">
        <v>5783</v>
      </c>
      <c r="H2111" s="27" t="s">
        <v>96</v>
      </c>
      <c r="I2111">
        <v>1</v>
      </c>
    </row>
    <row r="2112" spans="1:9">
      <c r="A2112" t="s">
        <v>2527</v>
      </c>
      <c r="B2112" s="27" t="s">
        <v>3227</v>
      </c>
      <c r="C2112" s="27" t="s">
        <v>5773</v>
      </c>
      <c r="D2112">
        <f>VLOOKUP(tblTargetMedicos[[#This Row],[codigo_id]],[1]DIM_REPRESENTANTE_MEDICO!$C:$F,4,0)</f>
        <v>4</v>
      </c>
      <c r="E2112">
        <f>VLOOKUP(tblTargetMedicos[[#This Row],[codigo_id]],[1]DIM_REPRESENTANTE_MEDICO!$C:$F,3,0)</f>
        <v>9</v>
      </c>
      <c r="F2112" s="27" t="s">
        <v>5796</v>
      </c>
      <c r="G2112" s="27" t="s">
        <v>5785</v>
      </c>
      <c r="H2112" s="27" t="s">
        <v>96</v>
      </c>
      <c r="I2112">
        <v>1</v>
      </c>
    </row>
    <row r="2113" spans="1:9">
      <c r="A2113" t="s">
        <v>2528</v>
      </c>
      <c r="B2113" s="27" t="s">
        <v>3227</v>
      </c>
      <c r="C2113" s="27" t="s">
        <v>5773</v>
      </c>
      <c r="D2113">
        <f>VLOOKUP(tblTargetMedicos[[#This Row],[codigo_id]],[1]DIM_REPRESENTANTE_MEDICO!$C:$F,4,0)</f>
        <v>4</v>
      </c>
      <c r="E2113">
        <f>VLOOKUP(tblTargetMedicos[[#This Row],[codigo_id]],[1]DIM_REPRESENTANTE_MEDICO!$C:$F,3,0)</f>
        <v>9</v>
      </c>
      <c r="F2113" s="27" t="s">
        <v>5796</v>
      </c>
      <c r="G2113" s="27" t="s">
        <v>5780</v>
      </c>
      <c r="H2113" s="27" t="s">
        <v>96</v>
      </c>
      <c r="I2113">
        <v>1</v>
      </c>
    </row>
    <row r="2114" spans="1:9">
      <c r="A2114" t="s">
        <v>2529</v>
      </c>
      <c r="B2114" s="27" t="s">
        <v>3227</v>
      </c>
      <c r="C2114" s="27" t="s">
        <v>5773</v>
      </c>
      <c r="D2114">
        <f>VLOOKUP(tblTargetMedicos[[#This Row],[codigo_id]],[1]DIM_REPRESENTANTE_MEDICO!$C:$F,4,0)</f>
        <v>4</v>
      </c>
      <c r="E2114">
        <f>VLOOKUP(tblTargetMedicos[[#This Row],[codigo_id]],[1]DIM_REPRESENTANTE_MEDICO!$C:$F,3,0)</f>
        <v>9</v>
      </c>
      <c r="F2114" s="27" t="s">
        <v>5796</v>
      </c>
      <c r="G2114" s="27" t="s">
        <v>5779</v>
      </c>
      <c r="H2114" s="27" t="s">
        <v>95</v>
      </c>
      <c r="I2114">
        <v>1</v>
      </c>
    </row>
    <row r="2115" spans="1:9">
      <c r="A2115" t="s">
        <v>2530</v>
      </c>
      <c r="B2115" s="27" t="s">
        <v>3227</v>
      </c>
      <c r="C2115" s="27" t="s">
        <v>5773</v>
      </c>
      <c r="D2115">
        <f>VLOOKUP(tblTargetMedicos[[#This Row],[codigo_id]],[1]DIM_REPRESENTANTE_MEDICO!$C:$F,4,0)</f>
        <v>4</v>
      </c>
      <c r="E2115">
        <f>VLOOKUP(tblTargetMedicos[[#This Row],[codigo_id]],[1]DIM_REPRESENTANTE_MEDICO!$C:$F,3,0)</f>
        <v>9</v>
      </c>
      <c r="F2115" s="27" t="s">
        <v>5796</v>
      </c>
      <c r="G2115" s="27" t="s">
        <v>5787</v>
      </c>
      <c r="H2115" s="27" t="s">
        <v>96</v>
      </c>
      <c r="I2115">
        <v>1</v>
      </c>
    </row>
    <row r="2116" spans="1:9">
      <c r="A2116" t="s">
        <v>2531</v>
      </c>
      <c r="B2116" s="27" t="s">
        <v>3227</v>
      </c>
      <c r="C2116" s="27" t="s">
        <v>5773</v>
      </c>
      <c r="D2116">
        <f>VLOOKUP(tblTargetMedicos[[#This Row],[codigo_id]],[1]DIM_REPRESENTANTE_MEDICO!$C:$F,4,0)</f>
        <v>4</v>
      </c>
      <c r="E2116">
        <f>VLOOKUP(tblTargetMedicos[[#This Row],[codigo_id]],[1]DIM_REPRESENTANTE_MEDICO!$C:$F,3,0)</f>
        <v>9</v>
      </c>
      <c r="F2116" s="27" t="s">
        <v>5796</v>
      </c>
      <c r="G2116" s="27" t="s">
        <v>5783</v>
      </c>
      <c r="H2116" s="27" t="s">
        <v>97</v>
      </c>
      <c r="I2116">
        <v>1</v>
      </c>
    </row>
    <row r="2117" spans="1:9">
      <c r="A2117" t="s">
        <v>2532</v>
      </c>
      <c r="B2117" s="27" t="s">
        <v>3227</v>
      </c>
      <c r="C2117" s="27" t="s">
        <v>5773</v>
      </c>
      <c r="D2117">
        <f>VLOOKUP(tblTargetMedicos[[#This Row],[codigo_id]],[1]DIM_REPRESENTANTE_MEDICO!$C:$F,4,0)</f>
        <v>4</v>
      </c>
      <c r="E2117">
        <f>VLOOKUP(tblTargetMedicos[[#This Row],[codigo_id]],[1]DIM_REPRESENTANTE_MEDICO!$C:$F,3,0)</f>
        <v>9</v>
      </c>
      <c r="F2117" s="27" t="s">
        <v>5796</v>
      </c>
      <c r="G2117" s="27" t="s">
        <v>5785</v>
      </c>
      <c r="H2117" s="27" t="s">
        <v>95</v>
      </c>
      <c r="I2117">
        <v>1</v>
      </c>
    </row>
    <row r="2118" spans="1:9">
      <c r="A2118" t="s">
        <v>2533</v>
      </c>
      <c r="B2118" s="27" t="s">
        <v>3227</v>
      </c>
      <c r="C2118" s="27" t="s">
        <v>5773</v>
      </c>
      <c r="D2118">
        <f>VLOOKUP(tblTargetMedicos[[#This Row],[codigo_id]],[1]DIM_REPRESENTANTE_MEDICO!$C:$F,4,0)</f>
        <v>4</v>
      </c>
      <c r="E2118">
        <f>VLOOKUP(tblTargetMedicos[[#This Row],[codigo_id]],[1]DIM_REPRESENTANTE_MEDICO!$C:$F,3,0)</f>
        <v>9</v>
      </c>
      <c r="F2118" s="27" t="s">
        <v>5796</v>
      </c>
      <c r="G2118" s="27" t="s">
        <v>5786</v>
      </c>
      <c r="H2118" s="27" t="s">
        <v>97</v>
      </c>
      <c r="I2118">
        <v>1</v>
      </c>
    </row>
    <row r="2119" spans="1:9">
      <c r="A2119" t="s">
        <v>2534</v>
      </c>
      <c r="B2119" s="27" t="s">
        <v>3227</v>
      </c>
      <c r="C2119" s="27" t="s">
        <v>5773</v>
      </c>
      <c r="D2119">
        <f>VLOOKUP(tblTargetMedicos[[#This Row],[codigo_id]],[1]DIM_REPRESENTANTE_MEDICO!$C:$F,4,0)</f>
        <v>4</v>
      </c>
      <c r="E2119">
        <f>VLOOKUP(tblTargetMedicos[[#This Row],[codigo_id]],[1]DIM_REPRESENTANTE_MEDICO!$C:$F,3,0)</f>
        <v>9</v>
      </c>
      <c r="F2119" s="27" t="s">
        <v>5796</v>
      </c>
      <c r="G2119" s="27" t="s">
        <v>5784</v>
      </c>
      <c r="H2119" s="27" t="s">
        <v>97</v>
      </c>
      <c r="I2119">
        <v>1</v>
      </c>
    </row>
    <row r="2120" spans="1:9">
      <c r="A2120" t="s">
        <v>2535</v>
      </c>
      <c r="B2120" s="27" t="s">
        <v>3227</v>
      </c>
      <c r="C2120" s="27" t="s">
        <v>5773</v>
      </c>
      <c r="D2120">
        <f>VLOOKUP(tblTargetMedicos[[#This Row],[codigo_id]],[1]DIM_REPRESENTANTE_MEDICO!$C:$F,4,0)</f>
        <v>4</v>
      </c>
      <c r="E2120">
        <f>VLOOKUP(tblTargetMedicos[[#This Row],[codigo_id]],[1]DIM_REPRESENTANTE_MEDICO!$C:$F,3,0)</f>
        <v>9</v>
      </c>
      <c r="F2120" s="27" t="s">
        <v>5796</v>
      </c>
      <c r="G2120" s="27" t="s">
        <v>5783</v>
      </c>
      <c r="H2120" s="27" t="s">
        <v>96</v>
      </c>
      <c r="I2120">
        <v>1</v>
      </c>
    </row>
    <row r="2121" spans="1:9">
      <c r="A2121" t="s">
        <v>2536</v>
      </c>
      <c r="B2121" s="27" t="s">
        <v>3227</v>
      </c>
      <c r="C2121" s="27" t="s">
        <v>5773</v>
      </c>
      <c r="D2121">
        <f>VLOOKUP(tblTargetMedicos[[#This Row],[codigo_id]],[1]DIM_REPRESENTANTE_MEDICO!$C:$F,4,0)</f>
        <v>4</v>
      </c>
      <c r="E2121">
        <f>VLOOKUP(tblTargetMedicos[[#This Row],[codigo_id]],[1]DIM_REPRESENTANTE_MEDICO!$C:$F,3,0)</f>
        <v>9</v>
      </c>
      <c r="F2121" s="27" t="s">
        <v>5796</v>
      </c>
      <c r="G2121" s="27" t="s">
        <v>5784</v>
      </c>
      <c r="H2121" s="27" t="s">
        <v>96</v>
      </c>
      <c r="I2121">
        <v>1</v>
      </c>
    </row>
    <row r="2122" spans="1:9">
      <c r="A2122" t="s">
        <v>2537</v>
      </c>
      <c r="B2122" s="27" t="s">
        <v>3227</v>
      </c>
      <c r="C2122" s="27" t="s">
        <v>5773</v>
      </c>
      <c r="D2122">
        <f>VLOOKUP(tblTargetMedicos[[#This Row],[codigo_id]],[1]DIM_REPRESENTANTE_MEDICO!$C:$F,4,0)</f>
        <v>4</v>
      </c>
      <c r="E2122">
        <f>VLOOKUP(tblTargetMedicos[[#This Row],[codigo_id]],[1]DIM_REPRESENTANTE_MEDICO!$C:$F,3,0)</f>
        <v>9</v>
      </c>
      <c r="F2122" s="27" t="s">
        <v>5796</v>
      </c>
      <c r="G2122" s="27" t="s">
        <v>5780</v>
      </c>
      <c r="H2122" s="27" t="s">
        <v>97</v>
      </c>
      <c r="I2122">
        <v>1</v>
      </c>
    </row>
    <row r="2123" spans="1:9">
      <c r="A2123" t="s">
        <v>2538</v>
      </c>
      <c r="B2123" s="27" t="s">
        <v>3227</v>
      </c>
      <c r="C2123" s="27" t="s">
        <v>5773</v>
      </c>
      <c r="D2123">
        <f>VLOOKUP(tblTargetMedicos[[#This Row],[codigo_id]],[1]DIM_REPRESENTANTE_MEDICO!$C:$F,4,0)</f>
        <v>4</v>
      </c>
      <c r="E2123">
        <f>VLOOKUP(tblTargetMedicos[[#This Row],[codigo_id]],[1]DIM_REPRESENTANTE_MEDICO!$C:$F,3,0)</f>
        <v>9</v>
      </c>
      <c r="F2123" s="27" t="s">
        <v>5796</v>
      </c>
      <c r="G2123" s="27" t="s">
        <v>5785</v>
      </c>
      <c r="H2123" s="27" t="s">
        <v>96</v>
      </c>
      <c r="I2123">
        <v>1</v>
      </c>
    </row>
    <row r="2124" spans="1:9">
      <c r="A2124" t="s">
        <v>2539</v>
      </c>
      <c r="B2124" s="27" t="s">
        <v>3227</v>
      </c>
      <c r="C2124" s="27" t="s">
        <v>5773</v>
      </c>
      <c r="D2124">
        <f>VLOOKUP(tblTargetMedicos[[#This Row],[codigo_id]],[1]DIM_REPRESENTANTE_MEDICO!$C:$F,4,0)</f>
        <v>4</v>
      </c>
      <c r="E2124">
        <f>VLOOKUP(tblTargetMedicos[[#This Row],[codigo_id]],[1]DIM_REPRESENTANTE_MEDICO!$C:$F,3,0)</f>
        <v>9</v>
      </c>
      <c r="F2124" s="27" t="s">
        <v>5796</v>
      </c>
      <c r="G2124" s="27" t="s">
        <v>5781</v>
      </c>
      <c r="H2124" s="27" t="s">
        <v>97</v>
      </c>
      <c r="I2124">
        <v>1</v>
      </c>
    </row>
    <row r="2125" spans="1:9">
      <c r="A2125" t="s">
        <v>2540</v>
      </c>
      <c r="B2125" s="27" t="s">
        <v>3227</v>
      </c>
      <c r="C2125" s="27" t="s">
        <v>5773</v>
      </c>
      <c r="D2125">
        <f>VLOOKUP(tblTargetMedicos[[#This Row],[codigo_id]],[1]DIM_REPRESENTANTE_MEDICO!$C:$F,4,0)</f>
        <v>4</v>
      </c>
      <c r="E2125">
        <f>VLOOKUP(tblTargetMedicos[[#This Row],[codigo_id]],[1]DIM_REPRESENTANTE_MEDICO!$C:$F,3,0)</f>
        <v>9</v>
      </c>
      <c r="F2125" s="27" t="s">
        <v>5796</v>
      </c>
      <c r="G2125" s="27" t="s">
        <v>5783</v>
      </c>
      <c r="H2125" s="27" t="s">
        <v>95</v>
      </c>
      <c r="I2125">
        <v>1</v>
      </c>
    </row>
    <row r="2126" spans="1:9">
      <c r="A2126" t="s">
        <v>2541</v>
      </c>
      <c r="B2126" s="27" t="s">
        <v>3227</v>
      </c>
      <c r="C2126" s="27" t="s">
        <v>5773</v>
      </c>
      <c r="D2126">
        <f>VLOOKUP(tblTargetMedicos[[#This Row],[codigo_id]],[1]DIM_REPRESENTANTE_MEDICO!$C:$F,4,0)</f>
        <v>4</v>
      </c>
      <c r="E2126">
        <f>VLOOKUP(tblTargetMedicos[[#This Row],[codigo_id]],[1]DIM_REPRESENTANTE_MEDICO!$C:$F,3,0)</f>
        <v>9</v>
      </c>
      <c r="F2126" s="27" t="s">
        <v>5796</v>
      </c>
      <c r="G2126" s="27" t="s">
        <v>5779</v>
      </c>
      <c r="H2126" s="27" t="s">
        <v>95</v>
      </c>
      <c r="I2126">
        <v>1</v>
      </c>
    </row>
    <row r="2127" spans="1:9">
      <c r="A2127" t="s">
        <v>2542</v>
      </c>
      <c r="B2127" s="27" t="s">
        <v>3227</v>
      </c>
      <c r="C2127" s="27" t="s">
        <v>5773</v>
      </c>
      <c r="D2127">
        <f>VLOOKUP(tblTargetMedicos[[#This Row],[codigo_id]],[1]DIM_REPRESENTANTE_MEDICO!$C:$F,4,0)</f>
        <v>4</v>
      </c>
      <c r="E2127">
        <f>VLOOKUP(tblTargetMedicos[[#This Row],[codigo_id]],[1]DIM_REPRESENTANTE_MEDICO!$C:$F,3,0)</f>
        <v>9</v>
      </c>
      <c r="F2127" s="27" t="s">
        <v>5796</v>
      </c>
      <c r="G2127" s="27" t="s">
        <v>5784</v>
      </c>
      <c r="H2127" s="27" t="s">
        <v>96</v>
      </c>
      <c r="I2127">
        <v>1</v>
      </c>
    </row>
    <row r="2128" spans="1:9">
      <c r="A2128" t="s">
        <v>2543</v>
      </c>
      <c r="B2128" s="27" t="s">
        <v>3227</v>
      </c>
      <c r="C2128" s="27" t="s">
        <v>5773</v>
      </c>
      <c r="D2128">
        <f>VLOOKUP(tblTargetMedicos[[#This Row],[codigo_id]],[1]DIM_REPRESENTANTE_MEDICO!$C:$F,4,0)</f>
        <v>4</v>
      </c>
      <c r="E2128">
        <f>VLOOKUP(tblTargetMedicos[[#This Row],[codigo_id]],[1]DIM_REPRESENTANTE_MEDICO!$C:$F,3,0)</f>
        <v>9</v>
      </c>
      <c r="F2128" s="27" t="s">
        <v>5796</v>
      </c>
      <c r="G2128" s="27" t="s">
        <v>5783</v>
      </c>
      <c r="H2128" s="27" t="s">
        <v>96</v>
      </c>
      <c r="I2128">
        <v>1</v>
      </c>
    </row>
    <row r="2129" spans="1:9">
      <c r="A2129" t="s">
        <v>2544</v>
      </c>
      <c r="B2129" s="27" t="s">
        <v>3227</v>
      </c>
      <c r="C2129" s="27" t="s">
        <v>5773</v>
      </c>
      <c r="D2129">
        <f>VLOOKUP(tblTargetMedicos[[#This Row],[codigo_id]],[1]DIM_REPRESENTANTE_MEDICO!$C:$F,4,0)</f>
        <v>4</v>
      </c>
      <c r="E2129">
        <f>VLOOKUP(tblTargetMedicos[[#This Row],[codigo_id]],[1]DIM_REPRESENTANTE_MEDICO!$C:$F,3,0)</f>
        <v>9</v>
      </c>
      <c r="F2129" s="27" t="s">
        <v>5796</v>
      </c>
      <c r="G2129" s="27" t="s">
        <v>5779</v>
      </c>
      <c r="H2129" s="27" t="s">
        <v>96</v>
      </c>
      <c r="I2129">
        <v>1</v>
      </c>
    </row>
    <row r="2130" spans="1:9">
      <c r="A2130" t="s">
        <v>2545</v>
      </c>
      <c r="B2130" s="27" t="s">
        <v>3227</v>
      </c>
      <c r="C2130" s="27" t="s">
        <v>5773</v>
      </c>
      <c r="D2130">
        <f>VLOOKUP(tblTargetMedicos[[#This Row],[codigo_id]],[1]DIM_REPRESENTANTE_MEDICO!$C:$F,4,0)</f>
        <v>4</v>
      </c>
      <c r="E2130">
        <f>VLOOKUP(tblTargetMedicos[[#This Row],[codigo_id]],[1]DIM_REPRESENTANTE_MEDICO!$C:$F,3,0)</f>
        <v>9</v>
      </c>
      <c r="F2130" s="27" t="s">
        <v>5796</v>
      </c>
      <c r="G2130" s="27" t="s">
        <v>5779</v>
      </c>
      <c r="H2130" s="27" t="s">
        <v>96</v>
      </c>
      <c r="I2130">
        <v>1</v>
      </c>
    </row>
    <row r="2131" spans="1:9">
      <c r="A2131" t="s">
        <v>2546</v>
      </c>
      <c r="B2131" s="27" t="s">
        <v>3227</v>
      </c>
      <c r="C2131" s="27" t="s">
        <v>5773</v>
      </c>
      <c r="D2131">
        <f>VLOOKUP(tblTargetMedicos[[#This Row],[codigo_id]],[1]DIM_REPRESENTANTE_MEDICO!$C:$F,4,0)</f>
        <v>4</v>
      </c>
      <c r="E2131">
        <f>VLOOKUP(tblTargetMedicos[[#This Row],[codigo_id]],[1]DIM_REPRESENTANTE_MEDICO!$C:$F,3,0)</f>
        <v>9</v>
      </c>
      <c r="F2131" s="27" t="s">
        <v>5796</v>
      </c>
      <c r="G2131" s="27" t="s">
        <v>5784</v>
      </c>
      <c r="H2131" s="27" t="s">
        <v>95</v>
      </c>
      <c r="I2131">
        <v>1</v>
      </c>
    </row>
    <row r="2132" spans="1:9">
      <c r="A2132" t="s">
        <v>2547</v>
      </c>
      <c r="B2132" s="27" t="s">
        <v>3227</v>
      </c>
      <c r="C2132" s="27" t="s">
        <v>5773</v>
      </c>
      <c r="D2132">
        <f>VLOOKUP(tblTargetMedicos[[#This Row],[codigo_id]],[1]DIM_REPRESENTANTE_MEDICO!$C:$F,4,0)</f>
        <v>4</v>
      </c>
      <c r="E2132">
        <f>VLOOKUP(tblTargetMedicos[[#This Row],[codigo_id]],[1]DIM_REPRESENTANTE_MEDICO!$C:$F,3,0)</f>
        <v>9</v>
      </c>
      <c r="F2132" s="27" t="s">
        <v>5796</v>
      </c>
      <c r="G2132" s="27" t="s">
        <v>5785</v>
      </c>
      <c r="H2132" s="27" t="s">
        <v>96</v>
      </c>
      <c r="I2132">
        <v>1</v>
      </c>
    </row>
    <row r="2133" spans="1:9">
      <c r="A2133" t="s">
        <v>2548</v>
      </c>
      <c r="B2133" s="27" t="s">
        <v>3227</v>
      </c>
      <c r="C2133" s="27" t="s">
        <v>5773</v>
      </c>
      <c r="D2133">
        <f>VLOOKUP(tblTargetMedicos[[#This Row],[codigo_id]],[1]DIM_REPRESENTANTE_MEDICO!$C:$F,4,0)</f>
        <v>4</v>
      </c>
      <c r="E2133">
        <f>VLOOKUP(tblTargetMedicos[[#This Row],[codigo_id]],[1]DIM_REPRESENTANTE_MEDICO!$C:$F,3,0)</f>
        <v>9</v>
      </c>
      <c r="F2133" s="27" t="s">
        <v>5796</v>
      </c>
      <c r="G2133" s="27" t="s">
        <v>5783</v>
      </c>
      <c r="H2133" s="27" t="s">
        <v>96</v>
      </c>
      <c r="I2133">
        <v>1</v>
      </c>
    </row>
    <row r="2134" spans="1:9">
      <c r="A2134" t="s">
        <v>2549</v>
      </c>
      <c r="B2134" s="27" t="s">
        <v>3227</v>
      </c>
      <c r="C2134" s="27" t="s">
        <v>5773</v>
      </c>
      <c r="D2134">
        <f>VLOOKUP(tblTargetMedicos[[#This Row],[codigo_id]],[1]DIM_REPRESENTANTE_MEDICO!$C:$F,4,0)</f>
        <v>4</v>
      </c>
      <c r="E2134">
        <f>VLOOKUP(tblTargetMedicos[[#This Row],[codigo_id]],[1]DIM_REPRESENTANTE_MEDICO!$C:$F,3,0)</f>
        <v>9</v>
      </c>
      <c r="F2134" s="27" t="s">
        <v>5796</v>
      </c>
      <c r="G2134" s="27" t="s">
        <v>5784</v>
      </c>
      <c r="H2134" s="27" t="s">
        <v>95</v>
      </c>
      <c r="I2134">
        <v>1</v>
      </c>
    </row>
    <row r="2135" spans="1:9">
      <c r="A2135" t="s">
        <v>2550</v>
      </c>
      <c r="B2135" s="27" t="s">
        <v>3227</v>
      </c>
      <c r="C2135" s="27" t="s">
        <v>5773</v>
      </c>
      <c r="D2135">
        <f>VLOOKUP(tblTargetMedicos[[#This Row],[codigo_id]],[1]DIM_REPRESENTANTE_MEDICO!$C:$F,4,0)</f>
        <v>4</v>
      </c>
      <c r="E2135">
        <f>VLOOKUP(tblTargetMedicos[[#This Row],[codigo_id]],[1]DIM_REPRESENTANTE_MEDICO!$C:$F,3,0)</f>
        <v>9</v>
      </c>
      <c r="F2135" s="27" t="s">
        <v>5796</v>
      </c>
      <c r="G2135" s="27" t="s">
        <v>5785</v>
      </c>
      <c r="H2135" s="27" t="s">
        <v>96</v>
      </c>
      <c r="I2135">
        <v>1</v>
      </c>
    </row>
    <row r="2136" spans="1:9">
      <c r="A2136" t="s">
        <v>2551</v>
      </c>
      <c r="B2136" s="27" t="s">
        <v>3227</v>
      </c>
      <c r="C2136" s="27" t="s">
        <v>5773</v>
      </c>
      <c r="D2136">
        <f>VLOOKUP(tblTargetMedicos[[#This Row],[codigo_id]],[1]DIM_REPRESENTANTE_MEDICO!$C:$F,4,0)</f>
        <v>4</v>
      </c>
      <c r="E2136">
        <f>VLOOKUP(tblTargetMedicos[[#This Row],[codigo_id]],[1]DIM_REPRESENTANTE_MEDICO!$C:$F,3,0)</f>
        <v>9</v>
      </c>
      <c r="F2136" s="27" t="s">
        <v>5796</v>
      </c>
      <c r="G2136" s="27" t="s">
        <v>5783</v>
      </c>
      <c r="H2136" s="27" t="s">
        <v>96</v>
      </c>
      <c r="I2136">
        <v>1</v>
      </c>
    </row>
    <row r="2137" spans="1:9">
      <c r="A2137" t="s">
        <v>2552</v>
      </c>
      <c r="B2137" s="27" t="s">
        <v>3227</v>
      </c>
      <c r="C2137" s="27" t="s">
        <v>5773</v>
      </c>
      <c r="D2137">
        <f>VLOOKUP(tblTargetMedicos[[#This Row],[codigo_id]],[1]DIM_REPRESENTANTE_MEDICO!$C:$F,4,0)</f>
        <v>4</v>
      </c>
      <c r="E2137">
        <f>VLOOKUP(tblTargetMedicos[[#This Row],[codigo_id]],[1]DIM_REPRESENTANTE_MEDICO!$C:$F,3,0)</f>
        <v>9</v>
      </c>
      <c r="F2137" s="27" t="s">
        <v>5796</v>
      </c>
      <c r="G2137" s="27" t="s">
        <v>5780</v>
      </c>
      <c r="H2137" s="27" t="s">
        <v>96</v>
      </c>
      <c r="I2137">
        <v>1</v>
      </c>
    </row>
    <row r="2138" spans="1:9">
      <c r="A2138" t="s">
        <v>2553</v>
      </c>
      <c r="B2138" s="27" t="s">
        <v>3227</v>
      </c>
      <c r="C2138" s="27" t="s">
        <v>5773</v>
      </c>
      <c r="D2138">
        <f>VLOOKUP(tblTargetMedicos[[#This Row],[codigo_id]],[1]DIM_REPRESENTANTE_MEDICO!$C:$F,4,0)</f>
        <v>4</v>
      </c>
      <c r="E2138">
        <f>VLOOKUP(tblTargetMedicos[[#This Row],[codigo_id]],[1]DIM_REPRESENTANTE_MEDICO!$C:$F,3,0)</f>
        <v>9</v>
      </c>
      <c r="F2138" s="27" t="s">
        <v>5796</v>
      </c>
      <c r="G2138" s="27" t="s">
        <v>5783</v>
      </c>
      <c r="H2138" s="27" t="s">
        <v>96</v>
      </c>
      <c r="I2138">
        <v>1</v>
      </c>
    </row>
    <row r="2139" spans="1:9">
      <c r="A2139" t="s">
        <v>2554</v>
      </c>
      <c r="B2139" s="27" t="s">
        <v>3227</v>
      </c>
      <c r="C2139" s="27" t="s">
        <v>5773</v>
      </c>
      <c r="D2139">
        <f>VLOOKUP(tblTargetMedicos[[#This Row],[codigo_id]],[1]DIM_REPRESENTANTE_MEDICO!$C:$F,4,0)</f>
        <v>4</v>
      </c>
      <c r="E2139">
        <f>VLOOKUP(tblTargetMedicos[[#This Row],[codigo_id]],[1]DIM_REPRESENTANTE_MEDICO!$C:$F,3,0)</f>
        <v>9</v>
      </c>
      <c r="F2139" s="27" t="s">
        <v>5796</v>
      </c>
      <c r="G2139" s="27" t="s">
        <v>5784</v>
      </c>
      <c r="H2139" s="27" t="s">
        <v>96</v>
      </c>
      <c r="I2139">
        <v>1</v>
      </c>
    </row>
    <row r="2140" spans="1:9">
      <c r="A2140" t="s">
        <v>2555</v>
      </c>
      <c r="B2140" s="27" t="s">
        <v>3227</v>
      </c>
      <c r="C2140" s="27" t="s">
        <v>5773</v>
      </c>
      <c r="D2140">
        <f>VLOOKUP(tblTargetMedicos[[#This Row],[codigo_id]],[1]DIM_REPRESENTANTE_MEDICO!$C:$F,4,0)</f>
        <v>4</v>
      </c>
      <c r="E2140">
        <f>VLOOKUP(tblTargetMedicos[[#This Row],[codigo_id]],[1]DIM_REPRESENTANTE_MEDICO!$C:$F,3,0)</f>
        <v>9</v>
      </c>
      <c r="F2140" s="27" t="s">
        <v>5796</v>
      </c>
      <c r="G2140" s="27" t="s">
        <v>5784</v>
      </c>
      <c r="H2140" s="27" t="s">
        <v>95</v>
      </c>
      <c r="I2140">
        <v>1</v>
      </c>
    </row>
    <row r="2141" spans="1:9">
      <c r="A2141" t="s">
        <v>2556</v>
      </c>
      <c r="B2141" s="27" t="s">
        <v>3227</v>
      </c>
      <c r="C2141" s="27" t="s">
        <v>5773</v>
      </c>
      <c r="D2141">
        <f>VLOOKUP(tblTargetMedicos[[#This Row],[codigo_id]],[1]DIM_REPRESENTANTE_MEDICO!$C:$F,4,0)</f>
        <v>4</v>
      </c>
      <c r="E2141">
        <f>VLOOKUP(tblTargetMedicos[[#This Row],[codigo_id]],[1]DIM_REPRESENTANTE_MEDICO!$C:$F,3,0)</f>
        <v>9</v>
      </c>
      <c r="F2141" s="27" t="s">
        <v>5796</v>
      </c>
      <c r="G2141" s="27" t="s">
        <v>5791</v>
      </c>
      <c r="H2141" s="27" t="s">
        <v>95</v>
      </c>
      <c r="I2141">
        <v>1</v>
      </c>
    </row>
    <row r="2142" spans="1:9">
      <c r="A2142" t="s">
        <v>2557</v>
      </c>
      <c r="B2142" s="27" t="s">
        <v>3227</v>
      </c>
      <c r="C2142" s="27" t="s">
        <v>5773</v>
      </c>
      <c r="D2142">
        <f>VLOOKUP(tblTargetMedicos[[#This Row],[codigo_id]],[1]DIM_REPRESENTANTE_MEDICO!$C:$F,4,0)</f>
        <v>4</v>
      </c>
      <c r="E2142">
        <f>VLOOKUP(tblTargetMedicos[[#This Row],[codigo_id]],[1]DIM_REPRESENTANTE_MEDICO!$C:$F,3,0)</f>
        <v>9</v>
      </c>
      <c r="F2142" s="27" t="s">
        <v>5796</v>
      </c>
      <c r="G2142" s="27" t="s">
        <v>5786</v>
      </c>
      <c r="H2142" s="27" t="s">
        <v>96</v>
      </c>
      <c r="I2142">
        <v>1</v>
      </c>
    </row>
    <row r="2143" spans="1:9">
      <c r="A2143" t="s">
        <v>2558</v>
      </c>
      <c r="B2143" s="27" t="s">
        <v>3227</v>
      </c>
      <c r="C2143" s="27" t="s">
        <v>5773</v>
      </c>
      <c r="D2143">
        <f>VLOOKUP(tblTargetMedicos[[#This Row],[codigo_id]],[1]DIM_REPRESENTANTE_MEDICO!$C:$F,4,0)</f>
        <v>4</v>
      </c>
      <c r="E2143">
        <f>VLOOKUP(tblTargetMedicos[[#This Row],[codigo_id]],[1]DIM_REPRESENTANTE_MEDICO!$C:$F,3,0)</f>
        <v>9</v>
      </c>
      <c r="F2143" s="27" t="s">
        <v>5796</v>
      </c>
      <c r="G2143" s="27" t="s">
        <v>5784</v>
      </c>
      <c r="H2143" s="27" t="s">
        <v>96</v>
      </c>
      <c r="I2143">
        <v>1</v>
      </c>
    </row>
    <row r="2144" spans="1:9">
      <c r="A2144" t="s">
        <v>2559</v>
      </c>
      <c r="B2144" s="27" t="s">
        <v>3227</v>
      </c>
      <c r="C2144" s="27" t="s">
        <v>5773</v>
      </c>
      <c r="D2144">
        <f>VLOOKUP(tblTargetMedicos[[#This Row],[codigo_id]],[1]DIM_REPRESENTANTE_MEDICO!$C:$F,4,0)</f>
        <v>4</v>
      </c>
      <c r="E2144">
        <f>VLOOKUP(tblTargetMedicos[[#This Row],[codigo_id]],[1]DIM_REPRESENTANTE_MEDICO!$C:$F,3,0)</f>
        <v>9</v>
      </c>
      <c r="F2144" s="27" t="s">
        <v>5796</v>
      </c>
      <c r="G2144" s="27" t="s">
        <v>5787</v>
      </c>
      <c r="H2144" s="27" t="s">
        <v>96</v>
      </c>
      <c r="I2144">
        <v>1</v>
      </c>
    </row>
    <row r="2145" spans="1:9">
      <c r="A2145" t="s">
        <v>2560</v>
      </c>
      <c r="B2145" s="27" t="s">
        <v>3227</v>
      </c>
      <c r="C2145" s="27" t="s">
        <v>5773</v>
      </c>
      <c r="D2145">
        <f>VLOOKUP(tblTargetMedicos[[#This Row],[codigo_id]],[1]DIM_REPRESENTANTE_MEDICO!$C:$F,4,0)</f>
        <v>4</v>
      </c>
      <c r="E2145">
        <f>VLOOKUP(tblTargetMedicos[[#This Row],[codigo_id]],[1]DIM_REPRESENTANTE_MEDICO!$C:$F,3,0)</f>
        <v>9</v>
      </c>
      <c r="F2145" s="27" t="s">
        <v>5796</v>
      </c>
      <c r="G2145" s="27" t="s">
        <v>5781</v>
      </c>
      <c r="H2145" s="27" t="s">
        <v>96</v>
      </c>
      <c r="I2145">
        <v>1</v>
      </c>
    </row>
    <row r="2146" spans="1:9">
      <c r="A2146" t="s">
        <v>2561</v>
      </c>
      <c r="B2146" s="27" t="s">
        <v>3227</v>
      </c>
      <c r="C2146" s="27" t="s">
        <v>5773</v>
      </c>
      <c r="D2146">
        <f>VLOOKUP(tblTargetMedicos[[#This Row],[codigo_id]],[1]DIM_REPRESENTANTE_MEDICO!$C:$F,4,0)</f>
        <v>4</v>
      </c>
      <c r="E2146">
        <f>VLOOKUP(tblTargetMedicos[[#This Row],[codigo_id]],[1]DIM_REPRESENTANTE_MEDICO!$C:$F,3,0)</f>
        <v>9</v>
      </c>
      <c r="F2146" s="27" t="s">
        <v>5796</v>
      </c>
      <c r="G2146" s="27" t="s">
        <v>5780</v>
      </c>
      <c r="H2146" s="27" t="s">
        <v>95</v>
      </c>
      <c r="I2146">
        <v>1</v>
      </c>
    </row>
    <row r="2147" spans="1:9">
      <c r="A2147" t="s">
        <v>2562</v>
      </c>
      <c r="B2147" s="27" t="s">
        <v>3227</v>
      </c>
      <c r="C2147" s="27" t="s">
        <v>5773</v>
      </c>
      <c r="D2147">
        <f>VLOOKUP(tblTargetMedicos[[#This Row],[codigo_id]],[1]DIM_REPRESENTANTE_MEDICO!$C:$F,4,0)</f>
        <v>4</v>
      </c>
      <c r="E2147">
        <f>VLOOKUP(tblTargetMedicos[[#This Row],[codigo_id]],[1]DIM_REPRESENTANTE_MEDICO!$C:$F,3,0)</f>
        <v>9</v>
      </c>
      <c r="F2147" s="27" t="s">
        <v>5796</v>
      </c>
      <c r="G2147" s="27" t="s">
        <v>5784</v>
      </c>
      <c r="H2147" s="27" t="s">
        <v>95</v>
      </c>
      <c r="I2147">
        <v>1</v>
      </c>
    </row>
    <row r="2148" spans="1:9">
      <c r="A2148" t="s">
        <v>2563</v>
      </c>
      <c r="B2148" s="27" t="s">
        <v>3227</v>
      </c>
      <c r="C2148" s="27" t="s">
        <v>5773</v>
      </c>
      <c r="D2148">
        <f>VLOOKUP(tblTargetMedicos[[#This Row],[codigo_id]],[1]DIM_REPRESENTANTE_MEDICO!$C:$F,4,0)</f>
        <v>4</v>
      </c>
      <c r="E2148">
        <f>VLOOKUP(tblTargetMedicos[[#This Row],[codigo_id]],[1]DIM_REPRESENTANTE_MEDICO!$C:$F,3,0)</f>
        <v>9</v>
      </c>
      <c r="F2148" s="27" t="s">
        <v>5796</v>
      </c>
      <c r="G2148" s="27" t="s">
        <v>5784</v>
      </c>
      <c r="H2148" s="27" t="s">
        <v>95</v>
      </c>
      <c r="I2148">
        <v>1</v>
      </c>
    </row>
    <row r="2149" spans="1:9">
      <c r="A2149" t="s">
        <v>2564</v>
      </c>
      <c r="B2149" s="27" t="s">
        <v>3227</v>
      </c>
      <c r="C2149" s="27" t="s">
        <v>5773</v>
      </c>
      <c r="D2149">
        <f>VLOOKUP(tblTargetMedicos[[#This Row],[codigo_id]],[1]DIM_REPRESENTANTE_MEDICO!$C:$F,4,0)</f>
        <v>4</v>
      </c>
      <c r="E2149">
        <f>VLOOKUP(tblTargetMedicos[[#This Row],[codigo_id]],[1]DIM_REPRESENTANTE_MEDICO!$C:$F,3,0)</f>
        <v>9</v>
      </c>
      <c r="F2149" s="27" t="s">
        <v>5796</v>
      </c>
      <c r="G2149" s="27" t="s">
        <v>5785</v>
      </c>
      <c r="H2149" s="27" t="s">
        <v>96</v>
      </c>
      <c r="I2149">
        <v>1</v>
      </c>
    </row>
    <row r="2150" spans="1:9">
      <c r="A2150" t="s">
        <v>2565</v>
      </c>
      <c r="B2150" s="27" t="s">
        <v>3227</v>
      </c>
      <c r="C2150" s="27" t="s">
        <v>5773</v>
      </c>
      <c r="D2150">
        <f>VLOOKUP(tblTargetMedicos[[#This Row],[codigo_id]],[1]DIM_REPRESENTANTE_MEDICO!$C:$F,4,0)</f>
        <v>4</v>
      </c>
      <c r="E2150">
        <f>VLOOKUP(tblTargetMedicos[[#This Row],[codigo_id]],[1]DIM_REPRESENTANTE_MEDICO!$C:$F,3,0)</f>
        <v>9</v>
      </c>
      <c r="F2150" s="27" t="s">
        <v>5796</v>
      </c>
      <c r="G2150" s="27" t="s">
        <v>5784</v>
      </c>
      <c r="H2150" s="27" t="s">
        <v>96</v>
      </c>
      <c r="I2150">
        <v>1</v>
      </c>
    </row>
    <row r="2151" spans="1:9">
      <c r="A2151" t="s">
        <v>2566</v>
      </c>
      <c r="B2151" s="27" t="s">
        <v>3227</v>
      </c>
      <c r="C2151" s="27" t="s">
        <v>5773</v>
      </c>
      <c r="D2151">
        <f>VLOOKUP(tblTargetMedicos[[#This Row],[codigo_id]],[1]DIM_REPRESENTANTE_MEDICO!$C:$F,4,0)</f>
        <v>4</v>
      </c>
      <c r="E2151">
        <f>VLOOKUP(tblTargetMedicos[[#This Row],[codigo_id]],[1]DIM_REPRESENTANTE_MEDICO!$C:$F,3,0)</f>
        <v>9</v>
      </c>
      <c r="F2151" s="27" t="s">
        <v>5796</v>
      </c>
      <c r="G2151" s="27" t="s">
        <v>5779</v>
      </c>
      <c r="H2151" s="27" t="s">
        <v>96</v>
      </c>
      <c r="I2151">
        <v>1</v>
      </c>
    </row>
    <row r="2152" spans="1:9">
      <c r="A2152" t="s">
        <v>2567</v>
      </c>
      <c r="B2152" s="27" t="s">
        <v>3227</v>
      </c>
      <c r="C2152" s="27" t="s">
        <v>5773</v>
      </c>
      <c r="D2152">
        <f>VLOOKUP(tblTargetMedicos[[#This Row],[codigo_id]],[1]DIM_REPRESENTANTE_MEDICO!$C:$F,4,0)</f>
        <v>4</v>
      </c>
      <c r="E2152">
        <f>VLOOKUP(tblTargetMedicos[[#This Row],[codigo_id]],[1]DIM_REPRESENTANTE_MEDICO!$C:$F,3,0)</f>
        <v>9</v>
      </c>
      <c r="F2152" s="27" t="s">
        <v>5796</v>
      </c>
      <c r="G2152" s="27" t="s">
        <v>5785</v>
      </c>
      <c r="H2152" s="27" t="s">
        <v>96</v>
      </c>
      <c r="I2152">
        <v>1</v>
      </c>
    </row>
    <row r="2153" spans="1:9">
      <c r="A2153" t="s">
        <v>2568</v>
      </c>
      <c r="B2153" s="27" t="s">
        <v>3227</v>
      </c>
      <c r="C2153" s="27" t="s">
        <v>5773</v>
      </c>
      <c r="D2153">
        <f>VLOOKUP(tblTargetMedicos[[#This Row],[codigo_id]],[1]DIM_REPRESENTANTE_MEDICO!$C:$F,4,0)</f>
        <v>4</v>
      </c>
      <c r="E2153">
        <f>VLOOKUP(tblTargetMedicos[[#This Row],[codigo_id]],[1]DIM_REPRESENTANTE_MEDICO!$C:$F,3,0)</f>
        <v>9</v>
      </c>
      <c r="F2153" s="27" t="s">
        <v>5796</v>
      </c>
      <c r="G2153" s="27" t="s">
        <v>5785</v>
      </c>
      <c r="H2153" s="27" t="s">
        <v>95</v>
      </c>
      <c r="I2153">
        <v>1</v>
      </c>
    </row>
    <row r="2154" spans="1:9">
      <c r="A2154" t="s">
        <v>2569</v>
      </c>
      <c r="B2154" s="27" t="s">
        <v>3227</v>
      </c>
      <c r="C2154" s="27" t="s">
        <v>5773</v>
      </c>
      <c r="D2154">
        <f>VLOOKUP(tblTargetMedicos[[#This Row],[codigo_id]],[1]DIM_REPRESENTANTE_MEDICO!$C:$F,4,0)</f>
        <v>4</v>
      </c>
      <c r="E2154">
        <f>VLOOKUP(tblTargetMedicos[[#This Row],[codigo_id]],[1]DIM_REPRESENTANTE_MEDICO!$C:$F,3,0)</f>
        <v>9</v>
      </c>
      <c r="F2154" s="27" t="s">
        <v>5796</v>
      </c>
      <c r="G2154" s="27" t="s">
        <v>5786</v>
      </c>
      <c r="H2154" s="27" t="s">
        <v>96</v>
      </c>
      <c r="I2154">
        <v>1</v>
      </c>
    </row>
    <row r="2155" spans="1:9">
      <c r="A2155" t="s">
        <v>2570</v>
      </c>
      <c r="B2155" s="27" t="s">
        <v>3227</v>
      </c>
      <c r="C2155" s="27" t="s">
        <v>5773</v>
      </c>
      <c r="D2155">
        <f>VLOOKUP(tblTargetMedicos[[#This Row],[codigo_id]],[1]DIM_REPRESENTANTE_MEDICO!$C:$F,4,0)</f>
        <v>4</v>
      </c>
      <c r="E2155">
        <f>VLOOKUP(tblTargetMedicos[[#This Row],[codigo_id]],[1]DIM_REPRESENTANTE_MEDICO!$C:$F,3,0)</f>
        <v>9</v>
      </c>
      <c r="F2155" s="27" t="s">
        <v>5796</v>
      </c>
      <c r="G2155" s="27" t="s">
        <v>5783</v>
      </c>
      <c r="H2155" s="27" t="s">
        <v>95</v>
      </c>
      <c r="I2155">
        <v>1</v>
      </c>
    </row>
    <row r="2156" spans="1:9">
      <c r="A2156" t="s">
        <v>2571</v>
      </c>
      <c r="B2156" s="27" t="s">
        <v>3227</v>
      </c>
      <c r="C2156" s="27" t="s">
        <v>5773</v>
      </c>
      <c r="D2156">
        <f>VLOOKUP(tblTargetMedicos[[#This Row],[codigo_id]],[1]DIM_REPRESENTANTE_MEDICO!$C:$F,4,0)</f>
        <v>4</v>
      </c>
      <c r="E2156">
        <f>VLOOKUP(tblTargetMedicos[[#This Row],[codigo_id]],[1]DIM_REPRESENTANTE_MEDICO!$C:$F,3,0)</f>
        <v>9</v>
      </c>
      <c r="F2156" s="27" t="s">
        <v>5796</v>
      </c>
      <c r="G2156" s="27" t="s">
        <v>5784</v>
      </c>
      <c r="H2156" s="27" t="s">
        <v>95</v>
      </c>
      <c r="I2156">
        <v>1</v>
      </c>
    </row>
    <row r="2157" spans="1:9">
      <c r="A2157" t="s">
        <v>2572</v>
      </c>
      <c r="B2157" s="27" t="s">
        <v>3227</v>
      </c>
      <c r="C2157" s="27" t="s">
        <v>5773</v>
      </c>
      <c r="D2157">
        <f>VLOOKUP(tblTargetMedicos[[#This Row],[codigo_id]],[1]DIM_REPRESENTANTE_MEDICO!$C:$F,4,0)</f>
        <v>4</v>
      </c>
      <c r="E2157">
        <f>VLOOKUP(tblTargetMedicos[[#This Row],[codigo_id]],[1]DIM_REPRESENTANTE_MEDICO!$C:$F,3,0)</f>
        <v>9</v>
      </c>
      <c r="F2157" s="27" t="s">
        <v>5796</v>
      </c>
      <c r="G2157" s="27" t="s">
        <v>5782</v>
      </c>
      <c r="H2157" s="27" t="s">
        <v>96</v>
      </c>
      <c r="I2157">
        <v>1</v>
      </c>
    </row>
    <row r="2158" spans="1:9">
      <c r="A2158" t="s">
        <v>2573</v>
      </c>
      <c r="B2158" s="27" t="s">
        <v>3227</v>
      </c>
      <c r="C2158" s="27" t="s">
        <v>5773</v>
      </c>
      <c r="D2158">
        <f>VLOOKUP(tblTargetMedicos[[#This Row],[codigo_id]],[1]DIM_REPRESENTANTE_MEDICO!$C:$F,4,0)</f>
        <v>4</v>
      </c>
      <c r="E2158">
        <f>VLOOKUP(tblTargetMedicos[[#This Row],[codigo_id]],[1]DIM_REPRESENTANTE_MEDICO!$C:$F,3,0)</f>
        <v>9</v>
      </c>
      <c r="F2158" s="27" t="s">
        <v>5796</v>
      </c>
      <c r="G2158" s="27" t="s">
        <v>5784</v>
      </c>
      <c r="H2158" s="27" t="s">
        <v>96</v>
      </c>
      <c r="I2158">
        <v>1</v>
      </c>
    </row>
    <row r="2159" spans="1:9">
      <c r="A2159" t="s">
        <v>2574</v>
      </c>
      <c r="B2159" s="27" t="s">
        <v>3227</v>
      </c>
      <c r="C2159" s="27" t="s">
        <v>5773</v>
      </c>
      <c r="D2159">
        <f>VLOOKUP(tblTargetMedicos[[#This Row],[codigo_id]],[1]DIM_REPRESENTANTE_MEDICO!$C:$F,4,0)</f>
        <v>4</v>
      </c>
      <c r="E2159">
        <f>VLOOKUP(tblTargetMedicos[[#This Row],[codigo_id]],[1]DIM_REPRESENTANTE_MEDICO!$C:$F,3,0)</f>
        <v>9</v>
      </c>
      <c r="F2159" s="27" t="s">
        <v>5796</v>
      </c>
      <c r="G2159" s="27" t="s">
        <v>5783</v>
      </c>
      <c r="H2159" s="27" t="s">
        <v>96</v>
      </c>
      <c r="I2159">
        <v>1</v>
      </c>
    </row>
    <row r="2160" spans="1:9">
      <c r="A2160" t="s">
        <v>2575</v>
      </c>
      <c r="B2160" s="27" t="s">
        <v>3227</v>
      </c>
      <c r="C2160" s="27" t="s">
        <v>5773</v>
      </c>
      <c r="D2160">
        <f>VLOOKUP(tblTargetMedicos[[#This Row],[codigo_id]],[1]DIM_REPRESENTANTE_MEDICO!$C:$F,4,0)</f>
        <v>4</v>
      </c>
      <c r="E2160">
        <f>VLOOKUP(tblTargetMedicos[[#This Row],[codigo_id]],[1]DIM_REPRESENTANTE_MEDICO!$C:$F,3,0)</f>
        <v>9</v>
      </c>
      <c r="F2160" s="27" t="s">
        <v>5796</v>
      </c>
      <c r="G2160" s="27" t="s">
        <v>5784</v>
      </c>
      <c r="H2160" s="27" t="s">
        <v>96</v>
      </c>
      <c r="I2160">
        <v>1</v>
      </c>
    </row>
    <row r="2161" spans="1:9">
      <c r="A2161" t="s">
        <v>2576</v>
      </c>
      <c r="B2161" s="27" t="s">
        <v>3227</v>
      </c>
      <c r="C2161" s="27" t="s">
        <v>5773</v>
      </c>
      <c r="D2161">
        <f>VLOOKUP(tblTargetMedicos[[#This Row],[codigo_id]],[1]DIM_REPRESENTANTE_MEDICO!$C:$F,4,0)</f>
        <v>4</v>
      </c>
      <c r="E2161">
        <f>VLOOKUP(tblTargetMedicos[[#This Row],[codigo_id]],[1]DIM_REPRESENTANTE_MEDICO!$C:$F,3,0)</f>
        <v>9</v>
      </c>
      <c r="F2161" s="27" t="s">
        <v>5796</v>
      </c>
      <c r="G2161" s="27" t="s">
        <v>5788</v>
      </c>
      <c r="H2161" s="27" t="s">
        <v>96</v>
      </c>
      <c r="I2161">
        <v>1</v>
      </c>
    </row>
    <row r="2162" spans="1:9">
      <c r="A2162" t="s">
        <v>2577</v>
      </c>
      <c r="B2162" s="27" t="s">
        <v>3227</v>
      </c>
      <c r="C2162" s="27" t="s">
        <v>5773</v>
      </c>
      <c r="D2162">
        <f>VLOOKUP(tblTargetMedicos[[#This Row],[codigo_id]],[1]DIM_REPRESENTANTE_MEDICO!$C:$F,4,0)</f>
        <v>4</v>
      </c>
      <c r="E2162">
        <f>VLOOKUP(tblTargetMedicos[[#This Row],[codigo_id]],[1]DIM_REPRESENTANTE_MEDICO!$C:$F,3,0)</f>
        <v>9</v>
      </c>
      <c r="F2162" s="27" t="s">
        <v>5796</v>
      </c>
      <c r="G2162" s="27" t="s">
        <v>5784</v>
      </c>
      <c r="H2162" s="27" t="s">
        <v>96</v>
      </c>
      <c r="I2162">
        <v>1</v>
      </c>
    </row>
    <row r="2163" spans="1:9">
      <c r="A2163" t="s">
        <v>2578</v>
      </c>
      <c r="B2163" s="27" t="s">
        <v>3227</v>
      </c>
      <c r="C2163" s="27" t="s">
        <v>5773</v>
      </c>
      <c r="D2163">
        <f>VLOOKUP(tblTargetMedicos[[#This Row],[codigo_id]],[1]DIM_REPRESENTANTE_MEDICO!$C:$F,4,0)</f>
        <v>4</v>
      </c>
      <c r="E2163">
        <f>VLOOKUP(tblTargetMedicos[[#This Row],[codigo_id]],[1]DIM_REPRESENTANTE_MEDICO!$C:$F,3,0)</f>
        <v>9</v>
      </c>
      <c r="F2163" s="27" t="s">
        <v>5796</v>
      </c>
      <c r="G2163" s="27" t="s">
        <v>5784</v>
      </c>
      <c r="H2163" s="27" t="s">
        <v>96</v>
      </c>
      <c r="I2163">
        <v>1</v>
      </c>
    </row>
    <row r="2164" spans="1:9">
      <c r="A2164" t="s">
        <v>2579</v>
      </c>
      <c r="B2164" s="27" t="s">
        <v>3227</v>
      </c>
      <c r="C2164" s="27" t="s">
        <v>5773</v>
      </c>
      <c r="D2164">
        <f>VLOOKUP(tblTargetMedicos[[#This Row],[codigo_id]],[1]DIM_REPRESENTANTE_MEDICO!$C:$F,4,0)</f>
        <v>4</v>
      </c>
      <c r="E2164">
        <f>VLOOKUP(tblTargetMedicos[[#This Row],[codigo_id]],[1]DIM_REPRESENTANTE_MEDICO!$C:$F,3,0)</f>
        <v>9</v>
      </c>
      <c r="F2164" s="27" t="s">
        <v>5796</v>
      </c>
      <c r="G2164" s="27" t="s">
        <v>5786</v>
      </c>
      <c r="H2164" s="27" t="s">
        <v>97</v>
      </c>
      <c r="I2164">
        <v>1</v>
      </c>
    </row>
    <row r="2165" spans="1:9">
      <c r="A2165" t="s">
        <v>2580</v>
      </c>
      <c r="B2165" s="27" t="s">
        <v>3227</v>
      </c>
      <c r="C2165" s="27" t="s">
        <v>5773</v>
      </c>
      <c r="D2165">
        <f>VLOOKUP(tblTargetMedicos[[#This Row],[codigo_id]],[1]DIM_REPRESENTANTE_MEDICO!$C:$F,4,0)</f>
        <v>4</v>
      </c>
      <c r="E2165">
        <f>VLOOKUP(tblTargetMedicos[[#This Row],[codigo_id]],[1]DIM_REPRESENTANTE_MEDICO!$C:$F,3,0)</f>
        <v>9</v>
      </c>
      <c r="F2165" s="27" t="s">
        <v>5796</v>
      </c>
      <c r="G2165" s="27" t="s">
        <v>5783</v>
      </c>
      <c r="H2165" s="27" t="s">
        <v>96</v>
      </c>
      <c r="I2165">
        <v>1</v>
      </c>
    </row>
    <row r="2166" spans="1:9">
      <c r="A2166" t="s">
        <v>2581</v>
      </c>
      <c r="B2166" s="27" t="s">
        <v>3227</v>
      </c>
      <c r="C2166" s="27" t="s">
        <v>5773</v>
      </c>
      <c r="D2166">
        <f>VLOOKUP(tblTargetMedicos[[#This Row],[codigo_id]],[1]DIM_REPRESENTANTE_MEDICO!$C:$F,4,0)</f>
        <v>4</v>
      </c>
      <c r="E2166">
        <f>VLOOKUP(tblTargetMedicos[[#This Row],[codigo_id]],[1]DIM_REPRESENTANTE_MEDICO!$C:$F,3,0)</f>
        <v>9</v>
      </c>
      <c r="F2166" s="27" t="s">
        <v>5796</v>
      </c>
      <c r="G2166" s="27" t="s">
        <v>5788</v>
      </c>
      <c r="H2166" s="27" t="s">
        <v>96</v>
      </c>
      <c r="I2166">
        <v>1</v>
      </c>
    </row>
    <row r="2167" spans="1:9">
      <c r="A2167" t="s">
        <v>2582</v>
      </c>
      <c r="B2167" s="27" t="s">
        <v>3227</v>
      </c>
      <c r="C2167" s="27" t="s">
        <v>5773</v>
      </c>
      <c r="D2167">
        <f>VLOOKUP(tblTargetMedicos[[#This Row],[codigo_id]],[1]DIM_REPRESENTANTE_MEDICO!$C:$F,4,0)</f>
        <v>4</v>
      </c>
      <c r="E2167">
        <f>VLOOKUP(tblTargetMedicos[[#This Row],[codigo_id]],[1]DIM_REPRESENTANTE_MEDICO!$C:$F,3,0)</f>
        <v>9</v>
      </c>
      <c r="F2167" s="27" t="s">
        <v>5796</v>
      </c>
      <c r="G2167" s="27" t="s">
        <v>5784</v>
      </c>
      <c r="H2167" s="27" t="s">
        <v>97</v>
      </c>
      <c r="I2167">
        <v>1</v>
      </c>
    </row>
    <row r="2168" spans="1:9">
      <c r="A2168" t="s">
        <v>2583</v>
      </c>
      <c r="B2168" s="27" t="s">
        <v>3227</v>
      </c>
      <c r="C2168" s="27" t="s">
        <v>5773</v>
      </c>
      <c r="D2168">
        <f>VLOOKUP(tblTargetMedicos[[#This Row],[codigo_id]],[1]DIM_REPRESENTANTE_MEDICO!$C:$F,4,0)</f>
        <v>4</v>
      </c>
      <c r="E2168">
        <f>VLOOKUP(tblTargetMedicos[[#This Row],[codigo_id]],[1]DIM_REPRESENTANTE_MEDICO!$C:$F,3,0)</f>
        <v>9</v>
      </c>
      <c r="F2168" s="27" t="s">
        <v>5796</v>
      </c>
      <c r="G2168" s="27" t="s">
        <v>5784</v>
      </c>
      <c r="H2168" s="27" t="s">
        <v>96</v>
      </c>
      <c r="I2168">
        <v>1</v>
      </c>
    </row>
    <row r="2169" spans="1:9">
      <c r="A2169" t="s">
        <v>2584</v>
      </c>
      <c r="B2169" s="27" t="s">
        <v>3227</v>
      </c>
      <c r="C2169" s="27" t="s">
        <v>5773</v>
      </c>
      <c r="D2169">
        <f>VLOOKUP(tblTargetMedicos[[#This Row],[codigo_id]],[1]DIM_REPRESENTANTE_MEDICO!$C:$F,4,0)</f>
        <v>4</v>
      </c>
      <c r="E2169">
        <f>VLOOKUP(tblTargetMedicos[[#This Row],[codigo_id]],[1]DIM_REPRESENTANTE_MEDICO!$C:$F,3,0)</f>
        <v>9</v>
      </c>
      <c r="F2169" s="27" t="s">
        <v>5796</v>
      </c>
      <c r="G2169" s="27" t="s">
        <v>5780</v>
      </c>
      <c r="H2169" s="27" t="s">
        <v>97</v>
      </c>
      <c r="I2169">
        <v>1</v>
      </c>
    </row>
    <row r="2170" spans="1:9">
      <c r="A2170" t="s">
        <v>2585</v>
      </c>
      <c r="B2170" s="27" t="s">
        <v>3227</v>
      </c>
      <c r="C2170" s="27" t="s">
        <v>5773</v>
      </c>
      <c r="D2170">
        <f>VLOOKUP(tblTargetMedicos[[#This Row],[codigo_id]],[1]DIM_REPRESENTANTE_MEDICO!$C:$F,4,0)</f>
        <v>4</v>
      </c>
      <c r="E2170">
        <f>VLOOKUP(tblTargetMedicos[[#This Row],[codigo_id]],[1]DIM_REPRESENTANTE_MEDICO!$C:$F,3,0)</f>
        <v>9</v>
      </c>
      <c r="F2170" s="27" t="s">
        <v>5796</v>
      </c>
      <c r="G2170" s="27" t="s">
        <v>5783</v>
      </c>
      <c r="H2170" s="27" t="s">
        <v>96</v>
      </c>
      <c r="I2170">
        <v>1</v>
      </c>
    </row>
    <row r="2171" spans="1:9">
      <c r="A2171" t="s">
        <v>2586</v>
      </c>
      <c r="B2171" s="27" t="s">
        <v>3227</v>
      </c>
      <c r="C2171" s="27" t="s">
        <v>5773</v>
      </c>
      <c r="D2171">
        <f>VLOOKUP(tblTargetMedicos[[#This Row],[codigo_id]],[1]DIM_REPRESENTANTE_MEDICO!$C:$F,4,0)</f>
        <v>4</v>
      </c>
      <c r="E2171">
        <f>VLOOKUP(tblTargetMedicos[[#This Row],[codigo_id]],[1]DIM_REPRESENTANTE_MEDICO!$C:$F,3,0)</f>
        <v>9</v>
      </c>
      <c r="F2171" s="27" t="s">
        <v>5796</v>
      </c>
      <c r="G2171" s="27" t="s">
        <v>5783</v>
      </c>
      <c r="H2171" s="27" t="s">
        <v>97</v>
      </c>
      <c r="I2171">
        <v>1</v>
      </c>
    </row>
    <row r="2172" spans="1:9">
      <c r="A2172" t="s">
        <v>2587</v>
      </c>
      <c r="B2172" s="27" t="s">
        <v>3227</v>
      </c>
      <c r="C2172" s="27" t="s">
        <v>5773</v>
      </c>
      <c r="D2172">
        <f>VLOOKUP(tblTargetMedicos[[#This Row],[codigo_id]],[1]DIM_REPRESENTANTE_MEDICO!$C:$F,4,0)</f>
        <v>4</v>
      </c>
      <c r="E2172">
        <f>VLOOKUP(tblTargetMedicos[[#This Row],[codigo_id]],[1]DIM_REPRESENTANTE_MEDICO!$C:$F,3,0)</f>
        <v>9</v>
      </c>
      <c r="F2172" s="27" t="s">
        <v>5796</v>
      </c>
      <c r="G2172" s="27" t="s">
        <v>5786</v>
      </c>
      <c r="H2172" s="27" t="s">
        <v>97</v>
      </c>
      <c r="I2172">
        <v>1</v>
      </c>
    </row>
    <row r="2173" spans="1:9">
      <c r="A2173" t="s">
        <v>2588</v>
      </c>
      <c r="B2173" s="27" t="s">
        <v>3227</v>
      </c>
      <c r="C2173" s="27" t="s">
        <v>5773</v>
      </c>
      <c r="D2173">
        <f>VLOOKUP(tblTargetMedicos[[#This Row],[codigo_id]],[1]DIM_REPRESENTANTE_MEDICO!$C:$F,4,0)</f>
        <v>4</v>
      </c>
      <c r="E2173">
        <f>VLOOKUP(tblTargetMedicos[[#This Row],[codigo_id]],[1]DIM_REPRESENTANTE_MEDICO!$C:$F,3,0)</f>
        <v>9</v>
      </c>
      <c r="F2173" s="27" t="s">
        <v>5796</v>
      </c>
      <c r="G2173" s="27" t="s">
        <v>5783</v>
      </c>
      <c r="H2173" s="27" t="s">
        <v>96</v>
      </c>
      <c r="I2173">
        <v>1</v>
      </c>
    </row>
    <row r="2174" spans="1:9">
      <c r="A2174" t="s">
        <v>2589</v>
      </c>
      <c r="B2174" s="27" t="s">
        <v>3227</v>
      </c>
      <c r="C2174" s="27" t="s">
        <v>5773</v>
      </c>
      <c r="D2174">
        <f>VLOOKUP(tblTargetMedicos[[#This Row],[codigo_id]],[1]DIM_REPRESENTANTE_MEDICO!$C:$F,4,0)</f>
        <v>4</v>
      </c>
      <c r="E2174">
        <f>VLOOKUP(tblTargetMedicos[[#This Row],[codigo_id]],[1]DIM_REPRESENTANTE_MEDICO!$C:$F,3,0)</f>
        <v>9</v>
      </c>
      <c r="F2174" s="27" t="s">
        <v>5796</v>
      </c>
      <c r="G2174" s="27" t="s">
        <v>5784</v>
      </c>
      <c r="H2174" s="27" t="s">
        <v>96</v>
      </c>
      <c r="I2174">
        <v>1</v>
      </c>
    </row>
    <row r="2175" spans="1:9">
      <c r="A2175" t="s">
        <v>2590</v>
      </c>
      <c r="B2175" s="27" t="s">
        <v>3227</v>
      </c>
      <c r="C2175" s="27" t="s">
        <v>5773</v>
      </c>
      <c r="D2175">
        <f>VLOOKUP(tblTargetMedicos[[#This Row],[codigo_id]],[1]DIM_REPRESENTANTE_MEDICO!$C:$F,4,0)</f>
        <v>4</v>
      </c>
      <c r="E2175">
        <f>VLOOKUP(tblTargetMedicos[[#This Row],[codigo_id]],[1]DIM_REPRESENTANTE_MEDICO!$C:$F,3,0)</f>
        <v>9</v>
      </c>
      <c r="F2175" s="27" t="s">
        <v>5796</v>
      </c>
      <c r="G2175" s="27" t="s">
        <v>5784</v>
      </c>
      <c r="H2175" s="27" t="s">
        <v>95</v>
      </c>
      <c r="I2175">
        <v>1</v>
      </c>
    </row>
    <row r="2176" spans="1:9">
      <c r="A2176" t="s">
        <v>2591</v>
      </c>
      <c r="B2176" s="27" t="s">
        <v>3227</v>
      </c>
      <c r="C2176" s="27" t="s">
        <v>5773</v>
      </c>
      <c r="D2176">
        <f>VLOOKUP(tblTargetMedicos[[#This Row],[codigo_id]],[1]DIM_REPRESENTANTE_MEDICO!$C:$F,4,0)</f>
        <v>4</v>
      </c>
      <c r="E2176">
        <f>VLOOKUP(tblTargetMedicos[[#This Row],[codigo_id]],[1]DIM_REPRESENTANTE_MEDICO!$C:$F,3,0)</f>
        <v>9</v>
      </c>
      <c r="F2176" s="27" t="s">
        <v>5796</v>
      </c>
      <c r="G2176" s="27" t="s">
        <v>5783</v>
      </c>
      <c r="H2176" s="27" t="s">
        <v>96</v>
      </c>
      <c r="I2176">
        <v>1</v>
      </c>
    </row>
    <row r="2177" spans="1:9">
      <c r="A2177" t="s">
        <v>2592</v>
      </c>
      <c r="B2177" s="27" t="s">
        <v>3227</v>
      </c>
      <c r="C2177" s="27" t="s">
        <v>5773</v>
      </c>
      <c r="D2177">
        <f>VLOOKUP(tblTargetMedicos[[#This Row],[codigo_id]],[1]DIM_REPRESENTANTE_MEDICO!$C:$F,4,0)</f>
        <v>4</v>
      </c>
      <c r="E2177">
        <f>VLOOKUP(tblTargetMedicos[[#This Row],[codigo_id]],[1]DIM_REPRESENTANTE_MEDICO!$C:$F,3,0)</f>
        <v>9</v>
      </c>
      <c r="F2177" s="27" t="s">
        <v>5796</v>
      </c>
      <c r="G2177" s="27" t="s">
        <v>5786</v>
      </c>
      <c r="H2177" s="27" t="s">
        <v>96</v>
      </c>
      <c r="I2177">
        <v>1</v>
      </c>
    </row>
    <row r="2178" spans="1:9">
      <c r="A2178" t="s">
        <v>2593</v>
      </c>
      <c r="B2178" s="27" t="s">
        <v>3227</v>
      </c>
      <c r="C2178" s="27" t="s">
        <v>5773</v>
      </c>
      <c r="D2178">
        <f>VLOOKUP(tblTargetMedicos[[#This Row],[codigo_id]],[1]DIM_REPRESENTANTE_MEDICO!$C:$F,4,0)</f>
        <v>4</v>
      </c>
      <c r="E2178">
        <f>VLOOKUP(tblTargetMedicos[[#This Row],[codigo_id]],[1]DIM_REPRESENTANTE_MEDICO!$C:$F,3,0)</f>
        <v>9</v>
      </c>
      <c r="F2178" s="27" t="s">
        <v>5796</v>
      </c>
      <c r="G2178" s="27" t="s">
        <v>5783</v>
      </c>
      <c r="H2178" s="27" t="s">
        <v>95</v>
      </c>
      <c r="I2178">
        <v>1</v>
      </c>
    </row>
    <row r="2179" spans="1:9">
      <c r="A2179" t="s">
        <v>2594</v>
      </c>
      <c r="B2179" s="27" t="s">
        <v>3227</v>
      </c>
      <c r="C2179" s="27" t="s">
        <v>5773</v>
      </c>
      <c r="D2179">
        <f>VLOOKUP(tblTargetMedicos[[#This Row],[codigo_id]],[1]DIM_REPRESENTANTE_MEDICO!$C:$F,4,0)</f>
        <v>4</v>
      </c>
      <c r="E2179">
        <f>VLOOKUP(tblTargetMedicos[[#This Row],[codigo_id]],[1]DIM_REPRESENTANTE_MEDICO!$C:$F,3,0)</f>
        <v>9</v>
      </c>
      <c r="F2179" s="27" t="s">
        <v>5796</v>
      </c>
      <c r="G2179" s="27" t="s">
        <v>5790</v>
      </c>
      <c r="H2179" s="27" t="s">
        <v>96</v>
      </c>
      <c r="I2179">
        <v>1</v>
      </c>
    </row>
    <row r="2180" spans="1:9">
      <c r="A2180" t="s">
        <v>2595</v>
      </c>
      <c r="B2180" s="27" t="s">
        <v>3227</v>
      </c>
      <c r="C2180" s="27" t="s">
        <v>5773</v>
      </c>
      <c r="D2180">
        <f>VLOOKUP(tblTargetMedicos[[#This Row],[codigo_id]],[1]DIM_REPRESENTANTE_MEDICO!$C:$F,4,0)</f>
        <v>4</v>
      </c>
      <c r="E2180">
        <f>VLOOKUP(tblTargetMedicos[[#This Row],[codigo_id]],[1]DIM_REPRESENTANTE_MEDICO!$C:$F,3,0)</f>
        <v>9</v>
      </c>
      <c r="F2180" s="27" t="s">
        <v>5796</v>
      </c>
      <c r="G2180" s="27" t="s">
        <v>5785</v>
      </c>
      <c r="H2180" s="27" t="s">
        <v>96</v>
      </c>
      <c r="I2180">
        <v>1</v>
      </c>
    </row>
    <row r="2181" spans="1:9">
      <c r="A2181" t="s">
        <v>2596</v>
      </c>
      <c r="B2181" s="27" t="s">
        <v>3227</v>
      </c>
      <c r="C2181" s="27" t="s">
        <v>5773</v>
      </c>
      <c r="D2181">
        <f>VLOOKUP(tblTargetMedicos[[#This Row],[codigo_id]],[1]DIM_REPRESENTANTE_MEDICO!$C:$F,4,0)</f>
        <v>4</v>
      </c>
      <c r="E2181">
        <f>VLOOKUP(tblTargetMedicos[[#This Row],[codigo_id]],[1]DIM_REPRESENTANTE_MEDICO!$C:$F,3,0)</f>
        <v>9</v>
      </c>
      <c r="F2181" s="27" t="s">
        <v>5796</v>
      </c>
      <c r="G2181" s="27" t="s">
        <v>5784</v>
      </c>
      <c r="H2181" s="27" t="s">
        <v>96</v>
      </c>
      <c r="I2181">
        <v>1</v>
      </c>
    </row>
    <row r="2182" spans="1:9">
      <c r="A2182" t="s">
        <v>2597</v>
      </c>
      <c r="B2182" s="27" t="s">
        <v>3227</v>
      </c>
      <c r="C2182" s="27" t="s">
        <v>5773</v>
      </c>
      <c r="D2182">
        <f>VLOOKUP(tblTargetMedicos[[#This Row],[codigo_id]],[1]DIM_REPRESENTANTE_MEDICO!$C:$F,4,0)</f>
        <v>4</v>
      </c>
      <c r="E2182">
        <f>VLOOKUP(tblTargetMedicos[[#This Row],[codigo_id]],[1]DIM_REPRESENTANTE_MEDICO!$C:$F,3,0)</f>
        <v>9</v>
      </c>
      <c r="F2182" s="27" t="s">
        <v>5796</v>
      </c>
      <c r="G2182" s="27" t="s">
        <v>5786</v>
      </c>
      <c r="H2182" s="27" t="s">
        <v>96</v>
      </c>
      <c r="I2182">
        <v>1</v>
      </c>
    </row>
    <row r="2183" spans="1:9">
      <c r="A2183" t="s">
        <v>2598</v>
      </c>
      <c r="B2183" s="27" t="s">
        <v>3227</v>
      </c>
      <c r="C2183" s="27" t="s">
        <v>5773</v>
      </c>
      <c r="D2183">
        <f>VLOOKUP(tblTargetMedicos[[#This Row],[codigo_id]],[1]DIM_REPRESENTANTE_MEDICO!$C:$F,4,0)</f>
        <v>4</v>
      </c>
      <c r="E2183">
        <f>VLOOKUP(tblTargetMedicos[[#This Row],[codigo_id]],[1]DIM_REPRESENTANTE_MEDICO!$C:$F,3,0)</f>
        <v>9</v>
      </c>
      <c r="F2183" s="27" t="s">
        <v>5796</v>
      </c>
      <c r="G2183" s="27" t="s">
        <v>5784</v>
      </c>
      <c r="H2183" s="27" t="s">
        <v>96</v>
      </c>
      <c r="I2183">
        <v>1</v>
      </c>
    </row>
    <row r="2184" spans="1:9">
      <c r="A2184" t="s">
        <v>2599</v>
      </c>
      <c r="B2184" s="27" t="s">
        <v>3227</v>
      </c>
      <c r="C2184" s="27" t="s">
        <v>5773</v>
      </c>
      <c r="D2184">
        <f>VLOOKUP(tblTargetMedicos[[#This Row],[codigo_id]],[1]DIM_REPRESENTANTE_MEDICO!$C:$F,4,0)</f>
        <v>4</v>
      </c>
      <c r="E2184">
        <f>VLOOKUP(tblTargetMedicos[[#This Row],[codigo_id]],[1]DIM_REPRESENTANTE_MEDICO!$C:$F,3,0)</f>
        <v>9</v>
      </c>
      <c r="F2184" s="27" t="s">
        <v>5796</v>
      </c>
      <c r="G2184" s="27" t="s">
        <v>5784</v>
      </c>
      <c r="H2184" s="27" t="s">
        <v>95</v>
      </c>
      <c r="I2184">
        <v>1</v>
      </c>
    </row>
    <row r="2185" spans="1:9">
      <c r="A2185" t="s">
        <v>2600</v>
      </c>
      <c r="B2185" s="27" t="s">
        <v>3227</v>
      </c>
      <c r="C2185" s="27" t="s">
        <v>5773</v>
      </c>
      <c r="D2185">
        <f>VLOOKUP(tblTargetMedicos[[#This Row],[codigo_id]],[1]DIM_REPRESENTANTE_MEDICO!$C:$F,4,0)</f>
        <v>4</v>
      </c>
      <c r="E2185">
        <f>VLOOKUP(tblTargetMedicos[[#This Row],[codigo_id]],[1]DIM_REPRESENTANTE_MEDICO!$C:$F,3,0)</f>
        <v>9</v>
      </c>
      <c r="F2185" s="27" t="s">
        <v>5796</v>
      </c>
      <c r="G2185" s="27" t="s">
        <v>5783</v>
      </c>
      <c r="H2185" s="27" t="s">
        <v>96</v>
      </c>
      <c r="I2185">
        <v>1</v>
      </c>
    </row>
    <row r="2186" spans="1:9">
      <c r="A2186" t="s">
        <v>2601</v>
      </c>
      <c r="B2186" s="27" t="s">
        <v>3227</v>
      </c>
      <c r="C2186" s="27" t="s">
        <v>5773</v>
      </c>
      <c r="D2186">
        <f>VLOOKUP(tblTargetMedicos[[#This Row],[codigo_id]],[1]DIM_REPRESENTANTE_MEDICO!$C:$F,4,0)</f>
        <v>4</v>
      </c>
      <c r="E2186">
        <f>VLOOKUP(tblTargetMedicos[[#This Row],[codigo_id]],[1]DIM_REPRESENTANTE_MEDICO!$C:$F,3,0)</f>
        <v>9</v>
      </c>
      <c r="F2186" s="27" t="s">
        <v>5796</v>
      </c>
      <c r="G2186" s="27" t="s">
        <v>5784</v>
      </c>
      <c r="H2186" s="27" t="s">
        <v>96</v>
      </c>
      <c r="I2186">
        <v>1</v>
      </c>
    </row>
    <row r="2187" spans="1:9">
      <c r="A2187" t="s">
        <v>2602</v>
      </c>
      <c r="B2187" s="27" t="s">
        <v>3227</v>
      </c>
      <c r="C2187" s="27" t="s">
        <v>5773</v>
      </c>
      <c r="D2187">
        <f>VLOOKUP(tblTargetMedicos[[#This Row],[codigo_id]],[1]DIM_REPRESENTANTE_MEDICO!$C:$F,4,0)</f>
        <v>4</v>
      </c>
      <c r="E2187">
        <f>VLOOKUP(tblTargetMedicos[[#This Row],[codigo_id]],[1]DIM_REPRESENTANTE_MEDICO!$C:$F,3,0)</f>
        <v>9</v>
      </c>
      <c r="F2187" s="27" t="s">
        <v>5796</v>
      </c>
      <c r="G2187" s="27" t="s">
        <v>5780</v>
      </c>
      <c r="H2187" s="27" t="s">
        <v>95</v>
      </c>
      <c r="I2187">
        <v>1</v>
      </c>
    </row>
    <row r="2188" spans="1:9">
      <c r="A2188" t="s">
        <v>2603</v>
      </c>
      <c r="B2188" s="27" t="s">
        <v>3227</v>
      </c>
      <c r="C2188" s="27" t="s">
        <v>5773</v>
      </c>
      <c r="D2188">
        <f>VLOOKUP(tblTargetMedicos[[#This Row],[codigo_id]],[1]DIM_REPRESENTANTE_MEDICO!$C:$F,4,0)</f>
        <v>4</v>
      </c>
      <c r="E2188">
        <f>VLOOKUP(tblTargetMedicos[[#This Row],[codigo_id]],[1]DIM_REPRESENTANTE_MEDICO!$C:$F,3,0)</f>
        <v>9</v>
      </c>
      <c r="F2188" s="27" t="s">
        <v>5796</v>
      </c>
      <c r="G2188" s="27" t="s">
        <v>5786</v>
      </c>
      <c r="H2188" s="27" t="s">
        <v>95</v>
      </c>
      <c r="I2188">
        <v>1</v>
      </c>
    </row>
    <row r="2189" spans="1:9">
      <c r="A2189" t="s">
        <v>2604</v>
      </c>
      <c r="B2189" s="27" t="s">
        <v>3227</v>
      </c>
      <c r="C2189" s="27" t="s">
        <v>5773</v>
      </c>
      <c r="D2189">
        <f>VLOOKUP(tblTargetMedicos[[#This Row],[codigo_id]],[1]DIM_REPRESENTANTE_MEDICO!$C:$F,4,0)</f>
        <v>4</v>
      </c>
      <c r="E2189">
        <f>VLOOKUP(tblTargetMedicos[[#This Row],[codigo_id]],[1]DIM_REPRESENTANTE_MEDICO!$C:$F,3,0)</f>
        <v>9</v>
      </c>
      <c r="F2189" s="27" t="s">
        <v>5796</v>
      </c>
      <c r="G2189" s="27" t="s">
        <v>5784</v>
      </c>
      <c r="H2189" s="27" t="s">
        <v>96</v>
      </c>
      <c r="I2189">
        <v>1</v>
      </c>
    </row>
    <row r="2190" spans="1:9">
      <c r="A2190" t="s">
        <v>2605</v>
      </c>
      <c r="B2190" s="27" t="s">
        <v>3227</v>
      </c>
      <c r="C2190" s="27" t="s">
        <v>5773</v>
      </c>
      <c r="D2190">
        <f>VLOOKUP(tblTargetMedicos[[#This Row],[codigo_id]],[1]DIM_REPRESENTANTE_MEDICO!$C:$F,4,0)</f>
        <v>4</v>
      </c>
      <c r="E2190">
        <f>VLOOKUP(tblTargetMedicos[[#This Row],[codigo_id]],[1]DIM_REPRESENTANTE_MEDICO!$C:$F,3,0)</f>
        <v>9</v>
      </c>
      <c r="F2190" s="27" t="s">
        <v>5796</v>
      </c>
      <c r="G2190" s="27" t="s">
        <v>5783</v>
      </c>
      <c r="H2190" s="27" t="s">
        <v>96</v>
      </c>
      <c r="I2190">
        <v>1</v>
      </c>
    </row>
    <row r="2191" spans="1:9">
      <c r="A2191" t="s">
        <v>2606</v>
      </c>
      <c r="B2191" s="27" t="s">
        <v>3227</v>
      </c>
      <c r="C2191" s="27" t="s">
        <v>5773</v>
      </c>
      <c r="D2191">
        <f>VLOOKUP(tblTargetMedicos[[#This Row],[codigo_id]],[1]DIM_REPRESENTANTE_MEDICO!$C:$F,4,0)</f>
        <v>4</v>
      </c>
      <c r="E2191">
        <f>VLOOKUP(tblTargetMedicos[[#This Row],[codigo_id]],[1]DIM_REPRESENTANTE_MEDICO!$C:$F,3,0)</f>
        <v>9</v>
      </c>
      <c r="F2191" s="27" t="s">
        <v>5796</v>
      </c>
      <c r="G2191" s="27" t="s">
        <v>5781</v>
      </c>
      <c r="H2191" s="27" t="s">
        <v>97</v>
      </c>
      <c r="I2191">
        <v>1</v>
      </c>
    </row>
    <row r="2192" spans="1:9">
      <c r="A2192" t="s">
        <v>2607</v>
      </c>
      <c r="B2192" s="27" t="s">
        <v>3227</v>
      </c>
      <c r="C2192" s="27" t="s">
        <v>5773</v>
      </c>
      <c r="D2192">
        <f>VLOOKUP(tblTargetMedicos[[#This Row],[codigo_id]],[1]DIM_REPRESENTANTE_MEDICO!$C:$F,4,0)</f>
        <v>4</v>
      </c>
      <c r="E2192">
        <f>VLOOKUP(tblTargetMedicos[[#This Row],[codigo_id]],[1]DIM_REPRESENTANTE_MEDICO!$C:$F,3,0)</f>
        <v>9</v>
      </c>
      <c r="F2192" s="27" t="s">
        <v>5796</v>
      </c>
      <c r="G2192" s="27" t="s">
        <v>5779</v>
      </c>
      <c r="H2192" s="27" t="s">
        <v>95</v>
      </c>
      <c r="I2192">
        <v>1</v>
      </c>
    </row>
    <row r="2193" spans="1:9">
      <c r="A2193" t="s">
        <v>2608</v>
      </c>
      <c r="B2193" s="27" t="s">
        <v>3227</v>
      </c>
      <c r="C2193" s="27" t="s">
        <v>5773</v>
      </c>
      <c r="D2193">
        <f>VLOOKUP(tblTargetMedicos[[#This Row],[codigo_id]],[1]DIM_REPRESENTANTE_MEDICO!$C:$F,4,0)</f>
        <v>4</v>
      </c>
      <c r="E2193">
        <f>VLOOKUP(tblTargetMedicos[[#This Row],[codigo_id]],[1]DIM_REPRESENTANTE_MEDICO!$C:$F,3,0)</f>
        <v>9</v>
      </c>
      <c r="F2193" s="27" t="s">
        <v>5796</v>
      </c>
      <c r="G2193" s="27" t="s">
        <v>5788</v>
      </c>
      <c r="H2193" s="27" t="s">
        <v>96</v>
      </c>
      <c r="I2193">
        <v>1</v>
      </c>
    </row>
    <row r="2194" spans="1:9">
      <c r="A2194" t="s">
        <v>2609</v>
      </c>
      <c r="B2194" s="27" t="s">
        <v>3227</v>
      </c>
      <c r="C2194" s="27" t="s">
        <v>5773</v>
      </c>
      <c r="D2194">
        <f>VLOOKUP(tblTargetMedicos[[#This Row],[codigo_id]],[1]DIM_REPRESENTANTE_MEDICO!$C:$F,4,0)</f>
        <v>4</v>
      </c>
      <c r="E2194">
        <f>VLOOKUP(tblTargetMedicos[[#This Row],[codigo_id]],[1]DIM_REPRESENTANTE_MEDICO!$C:$F,3,0)</f>
        <v>9</v>
      </c>
      <c r="F2194" s="27" t="s">
        <v>5796</v>
      </c>
      <c r="G2194" s="27" t="s">
        <v>5784</v>
      </c>
      <c r="H2194" s="27" t="s">
        <v>96</v>
      </c>
      <c r="I2194">
        <v>1</v>
      </c>
    </row>
    <row r="2195" spans="1:9">
      <c r="A2195" t="s">
        <v>2610</v>
      </c>
      <c r="B2195" s="27" t="s">
        <v>3227</v>
      </c>
      <c r="C2195" s="27" t="s">
        <v>5773</v>
      </c>
      <c r="D2195">
        <f>VLOOKUP(tblTargetMedicos[[#This Row],[codigo_id]],[1]DIM_REPRESENTANTE_MEDICO!$C:$F,4,0)</f>
        <v>4</v>
      </c>
      <c r="E2195">
        <f>VLOOKUP(tblTargetMedicos[[#This Row],[codigo_id]],[1]DIM_REPRESENTANTE_MEDICO!$C:$F,3,0)</f>
        <v>9</v>
      </c>
      <c r="F2195" s="27" t="s">
        <v>5796</v>
      </c>
      <c r="G2195" s="27" t="s">
        <v>5785</v>
      </c>
      <c r="H2195" s="27" t="s">
        <v>95</v>
      </c>
      <c r="I2195">
        <v>1</v>
      </c>
    </row>
    <row r="2196" spans="1:9">
      <c r="A2196" t="s">
        <v>2611</v>
      </c>
      <c r="B2196" s="27" t="s">
        <v>3227</v>
      </c>
      <c r="C2196" s="27" t="s">
        <v>5773</v>
      </c>
      <c r="D2196">
        <f>VLOOKUP(tblTargetMedicos[[#This Row],[codigo_id]],[1]DIM_REPRESENTANTE_MEDICO!$C:$F,4,0)</f>
        <v>4</v>
      </c>
      <c r="E2196">
        <f>VLOOKUP(tblTargetMedicos[[#This Row],[codigo_id]],[1]DIM_REPRESENTANTE_MEDICO!$C:$F,3,0)</f>
        <v>9</v>
      </c>
      <c r="F2196" s="27" t="s">
        <v>5796</v>
      </c>
      <c r="G2196" s="27" t="s">
        <v>5783</v>
      </c>
      <c r="H2196" s="27" t="s">
        <v>97</v>
      </c>
      <c r="I2196">
        <v>1</v>
      </c>
    </row>
    <row r="2197" spans="1:9">
      <c r="A2197" t="s">
        <v>2612</v>
      </c>
      <c r="B2197" s="27" t="s">
        <v>3227</v>
      </c>
      <c r="C2197" s="27" t="s">
        <v>5773</v>
      </c>
      <c r="D2197">
        <f>VLOOKUP(tblTargetMedicos[[#This Row],[codigo_id]],[1]DIM_REPRESENTANTE_MEDICO!$C:$F,4,0)</f>
        <v>4</v>
      </c>
      <c r="E2197">
        <f>VLOOKUP(tblTargetMedicos[[#This Row],[codigo_id]],[1]DIM_REPRESENTANTE_MEDICO!$C:$F,3,0)</f>
        <v>9</v>
      </c>
      <c r="F2197" s="27" t="s">
        <v>5796</v>
      </c>
      <c r="G2197" s="27" t="s">
        <v>5779</v>
      </c>
      <c r="H2197" s="27" t="s">
        <v>95</v>
      </c>
      <c r="I2197">
        <v>1</v>
      </c>
    </row>
    <row r="2198" spans="1:9">
      <c r="A2198" t="s">
        <v>2613</v>
      </c>
      <c r="B2198" s="27" t="s">
        <v>3227</v>
      </c>
      <c r="C2198" s="27" t="s">
        <v>5773</v>
      </c>
      <c r="D2198">
        <f>VLOOKUP(tblTargetMedicos[[#This Row],[codigo_id]],[1]DIM_REPRESENTANTE_MEDICO!$C:$F,4,0)</f>
        <v>4</v>
      </c>
      <c r="E2198">
        <f>VLOOKUP(tblTargetMedicos[[#This Row],[codigo_id]],[1]DIM_REPRESENTANTE_MEDICO!$C:$F,3,0)</f>
        <v>9</v>
      </c>
      <c r="F2198" s="27" t="s">
        <v>5796</v>
      </c>
      <c r="G2198" s="27" t="s">
        <v>5786</v>
      </c>
      <c r="H2198" s="27" t="s">
        <v>95</v>
      </c>
      <c r="I2198">
        <v>1</v>
      </c>
    </row>
    <row r="2199" spans="1:9">
      <c r="A2199" t="s">
        <v>2614</v>
      </c>
      <c r="B2199" s="27" t="s">
        <v>3227</v>
      </c>
      <c r="C2199" s="27" t="s">
        <v>5773</v>
      </c>
      <c r="D2199">
        <f>VLOOKUP(tblTargetMedicos[[#This Row],[codigo_id]],[1]DIM_REPRESENTANTE_MEDICO!$C:$F,4,0)</f>
        <v>4</v>
      </c>
      <c r="E2199">
        <f>VLOOKUP(tblTargetMedicos[[#This Row],[codigo_id]],[1]DIM_REPRESENTANTE_MEDICO!$C:$F,3,0)</f>
        <v>9</v>
      </c>
      <c r="F2199" s="27" t="s">
        <v>5796</v>
      </c>
      <c r="G2199" s="27" t="s">
        <v>5779</v>
      </c>
      <c r="H2199" s="27" t="s">
        <v>96</v>
      </c>
      <c r="I2199">
        <v>1</v>
      </c>
    </row>
    <row r="2200" spans="1:9">
      <c r="A2200" t="s">
        <v>2615</v>
      </c>
      <c r="B2200" s="27" t="s">
        <v>3227</v>
      </c>
      <c r="C2200" s="27" t="s">
        <v>5773</v>
      </c>
      <c r="D2200">
        <f>VLOOKUP(tblTargetMedicos[[#This Row],[codigo_id]],[1]DIM_REPRESENTANTE_MEDICO!$C:$F,4,0)</f>
        <v>4</v>
      </c>
      <c r="E2200">
        <f>VLOOKUP(tblTargetMedicos[[#This Row],[codigo_id]],[1]DIM_REPRESENTANTE_MEDICO!$C:$F,3,0)</f>
        <v>9</v>
      </c>
      <c r="F2200" s="27" t="s">
        <v>5796</v>
      </c>
      <c r="G2200" s="27" t="s">
        <v>5785</v>
      </c>
      <c r="H2200" s="27" t="s">
        <v>96</v>
      </c>
      <c r="I2200">
        <v>1</v>
      </c>
    </row>
    <row r="2201" spans="1:9">
      <c r="A2201" t="s">
        <v>2616</v>
      </c>
      <c r="B2201" s="27" t="s">
        <v>3227</v>
      </c>
      <c r="C2201" s="27" t="s">
        <v>5773</v>
      </c>
      <c r="D2201">
        <f>VLOOKUP(tblTargetMedicos[[#This Row],[codigo_id]],[1]DIM_REPRESENTANTE_MEDICO!$C:$F,4,0)</f>
        <v>4</v>
      </c>
      <c r="E2201">
        <f>VLOOKUP(tblTargetMedicos[[#This Row],[codigo_id]],[1]DIM_REPRESENTANTE_MEDICO!$C:$F,3,0)</f>
        <v>9</v>
      </c>
      <c r="F2201" s="27" t="s">
        <v>5796</v>
      </c>
      <c r="G2201" s="27" t="s">
        <v>5784</v>
      </c>
      <c r="H2201" s="27" t="s">
        <v>96</v>
      </c>
      <c r="I2201">
        <v>1</v>
      </c>
    </row>
    <row r="2202" spans="1:9">
      <c r="A2202" t="s">
        <v>2617</v>
      </c>
      <c r="B2202" s="27" t="s">
        <v>3227</v>
      </c>
      <c r="C2202" s="27" t="s">
        <v>5773</v>
      </c>
      <c r="D2202">
        <f>VLOOKUP(tblTargetMedicos[[#This Row],[codigo_id]],[1]DIM_REPRESENTANTE_MEDICO!$C:$F,4,0)</f>
        <v>4</v>
      </c>
      <c r="E2202">
        <f>VLOOKUP(tblTargetMedicos[[#This Row],[codigo_id]],[1]DIM_REPRESENTANTE_MEDICO!$C:$F,3,0)</f>
        <v>9</v>
      </c>
      <c r="F2202" s="27" t="s">
        <v>5796</v>
      </c>
      <c r="G2202" s="27" t="s">
        <v>5785</v>
      </c>
      <c r="H2202" s="27" t="s">
        <v>95</v>
      </c>
      <c r="I2202">
        <v>1</v>
      </c>
    </row>
    <row r="2203" spans="1:9">
      <c r="A2203" t="s">
        <v>2618</v>
      </c>
      <c r="B2203" s="27" t="s">
        <v>3227</v>
      </c>
      <c r="C2203" s="27" t="s">
        <v>5773</v>
      </c>
      <c r="D2203">
        <f>VLOOKUP(tblTargetMedicos[[#This Row],[codigo_id]],[1]DIM_REPRESENTANTE_MEDICO!$C:$F,4,0)</f>
        <v>4</v>
      </c>
      <c r="E2203">
        <f>VLOOKUP(tblTargetMedicos[[#This Row],[codigo_id]],[1]DIM_REPRESENTANTE_MEDICO!$C:$F,3,0)</f>
        <v>9</v>
      </c>
      <c r="F2203" s="27" t="s">
        <v>5796</v>
      </c>
      <c r="G2203" s="27" t="s">
        <v>5785</v>
      </c>
      <c r="H2203" s="27" t="s">
        <v>96</v>
      </c>
      <c r="I2203">
        <v>1</v>
      </c>
    </row>
    <row r="2204" spans="1:9">
      <c r="A2204" t="s">
        <v>2619</v>
      </c>
      <c r="B2204" s="27" t="s">
        <v>3227</v>
      </c>
      <c r="C2204" s="27" t="s">
        <v>5773</v>
      </c>
      <c r="D2204">
        <f>VLOOKUP(tblTargetMedicos[[#This Row],[codigo_id]],[1]DIM_REPRESENTANTE_MEDICO!$C:$F,4,0)</f>
        <v>4</v>
      </c>
      <c r="E2204">
        <f>VLOOKUP(tblTargetMedicos[[#This Row],[codigo_id]],[1]DIM_REPRESENTANTE_MEDICO!$C:$F,3,0)</f>
        <v>9</v>
      </c>
      <c r="F2204" s="27" t="s">
        <v>5796</v>
      </c>
      <c r="G2204" s="27" t="s">
        <v>5784</v>
      </c>
      <c r="H2204" s="27" t="s">
        <v>96</v>
      </c>
      <c r="I2204">
        <v>1</v>
      </c>
    </row>
    <row r="2205" spans="1:9">
      <c r="A2205" t="s">
        <v>2620</v>
      </c>
      <c r="B2205" s="27" t="s">
        <v>3227</v>
      </c>
      <c r="C2205" s="27" t="s">
        <v>5773</v>
      </c>
      <c r="D2205">
        <f>VLOOKUP(tblTargetMedicos[[#This Row],[codigo_id]],[1]DIM_REPRESENTANTE_MEDICO!$C:$F,4,0)</f>
        <v>4</v>
      </c>
      <c r="E2205">
        <f>VLOOKUP(tblTargetMedicos[[#This Row],[codigo_id]],[1]DIM_REPRESENTANTE_MEDICO!$C:$F,3,0)</f>
        <v>9</v>
      </c>
      <c r="F2205" s="27" t="s">
        <v>5796</v>
      </c>
      <c r="G2205" s="27" t="s">
        <v>5784</v>
      </c>
      <c r="H2205" s="27" t="s">
        <v>96</v>
      </c>
      <c r="I2205">
        <v>1</v>
      </c>
    </row>
    <row r="2206" spans="1:9">
      <c r="A2206" t="s">
        <v>2621</v>
      </c>
      <c r="B2206" s="27" t="s">
        <v>3229</v>
      </c>
      <c r="C2206" s="27" t="s">
        <v>5775</v>
      </c>
      <c r="D2206">
        <f>VLOOKUP(tblTargetMedicos[[#This Row],[codigo_id]],[1]DIM_REPRESENTANTE_MEDICO!$C:$F,4,0)</f>
        <v>8</v>
      </c>
      <c r="E2206">
        <f>VLOOKUP(tblTargetMedicos[[#This Row],[codigo_id]],[1]DIM_REPRESENTANTE_MEDICO!$C:$F,3,0)</f>
        <v>2</v>
      </c>
      <c r="F2206" s="27" t="s">
        <v>5796</v>
      </c>
      <c r="G2206" s="27" t="s">
        <v>5784</v>
      </c>
      <c r="H2206" s="27" t="s">
        <v>96</v>
      </c>
      <c r="I2206">
        <v>1</v>
      </c>
    </row>
    <row r="2207" spans="1:9">
      <c r="A2207" t="s">
        <v>2622</v>
      </c>
      <c r="B2207" s="27" t="s">
        <v>3229</v>
      </c>
      <c r="C2207" s="27" t="s">
        <v>5775</v>
      </c>
      <c r="D2207">
        <f>VLOOKUP(tblTargetMedicos[[#This Row],[codigo_id]],[1]DIM_REPRESENTANTE_MEDICO!$C:$F,4,0)</f>
        <v>8</v>
      </c>
      <c r="E2207">
        <f>VLOOKUP(tblTargetMedicos[[#This Row],[codigo_id]],[1]DIM_REPRESENTANTE_MEDICO!$C:$F,3,0)</f>
        <v>2</v>
      </c>
      <c r="F2207" s="27" t="s">
        <v>5796</v>
      </c>
      <c r="G2207" s="27" t="s">
        <v>5784</v>
      </c>
      <c r="H2207" s="27" t="s">
        <v>97</v>
      </c>
      <c r="I2207">
        <v>1</v>
      </c>
    </row>
    <row r="2208" spans="1:9">
      <c r="A2208" t="s">
        <v>2623</v>
      </c>
      <c r="B2208" s="27" t="s">
        <v>3229</v>
      </c>
      <c r="C2208" s="27" t="s">
        <v>5775</v>
      </c>
      <c r="D2208">
        <f>VLOOKUP(tblTargetMedicos[[#This Row],[codigo_id]],[1]DIM_REPRESENTANTE_MEDICO!$C:$F,4,0)</f>
        <v>8</v>
      </c>
      <c r="E2208">
        <f>VLOOKUP(tblTargetMedicos[[#This Row],[codigo_id]],[1]DIM_REPRESENTANTE_MEDICO!$C:$F,3,0)</f>
        <v>2</v>
      </c>
      <c r="F2208" s="27" t="s">
        <v>5796</v>
      </c>
      <c r="G2208" s="27" t="s">
        <v>5784</v>
      </c>
      <c r="H2208" s="27" t="s">
        <v>97</v>
      </c>
      <c r="I2208">
        <v>1</v>
      </c>
    </row>
    <row r="2209" spans="1:9">
      <c r="A2209" t="s">
        <v>2624</v>
      </c>
      <c r="B2209" s="27" t="s">
        <v>3229</v>
      </c>
      <c r="C2209" s="27" t="s">
        <v>5775</v>
      </c>
      <c r="D2209">
        <f>VLOOKUP(tblTargetMedicos[[#This Row],[codigo_id]],[1]DIM_REPRESENTANTE_MEDICO!$C:$F,4,0)</f>
        <v>8</v>
      </c>
      <c r="E2209">
        <f>VLOOKUP(tblTargetMedicos[[#This Row],[codigo_id]],[1]DIM_REPRESENTANTE_MEDICO!$C:$F,3,0)</f>
        <v>2</v>
      </c>
      <c r="F2209" s="27" t="s">
        <v>5796</v>
      </c>
      <c r="G2209" s="27" t="s">
        <v>5784</v>
      </c>
      <c r="H2209" s="27" t="s">
        <v>97</v>
      </c>
      <c r="I2209">
        <v>1</v>
      </c>
    </row>
    <row r="2210" spans="1:9">
      <c r="A2210" t="s">
        <v>2625</v>
      </c>
      <c r="B2210" s="27" t="s">
        <v>3229</v>
      </c>
      <c r="C2210" s="27" t="s">
        <v>5775</v>
      </c>
      <c r="D2210">
        <f>VLOOKUP(tblTargetMedicos[[#This Row],[codigo_id]],[1]DIM_REPRESENTANTE_MEDICO!$C:$F,4,0)</f>
        <v>8</v>
      </c>
      <c r="E2210">
        <f>VLOOKUP(tblTargetMedicos[[#This Row],[codigo_id]],[1]DIM_REPRESENTANTE_MEDICO!$C:$F,3,0)</f>
        <v>2</v>
      </c>
      <c r="F2210" s="27" t="s">
        <v>5796</v>
      </c>
      <c r="G2210" s="27" t="s">
        <v>5784</v>
      </c>
      <c r="H2210" s="27" t="s">
        <v>97</v>
      </c>
      <c r="I2210">
        <v>1</v>
      </c>
    </row>
    <row r="2211" spans="1:9">
      <c r="A2211" t="s">
        <v>2626</v>
      </c>
      <c r="B2211" s="27" t="s">
        <v>3229</v>
      </c>
      <c r="C2211" s="27" t="s">
        <v>5775</v>
      </c>
      <c r="D2211">
        <f>VLOOKUP(tblTargetMedicos[[#This Row],[codigo_id]],[1]DIM_REPRESENTANTE_MEDICO!$C:$F,4,0)</f>
        <v>8</v>
      </c>
      <c r="E2211">
        <f>VLOOKUP(tblTargetMedicos[[#This Row],[codigo_id]],[1]DIM_REPRESENTANTE_MEDICO!$C:$F,3,0)</f>
        <v>2</v>
      </c>
      <c r="F2211" s="27" t="s">
        <v>5796</v>
      </c>
      <c r="G2211" s="27" t="s">
        <v>5784</v>
      </c>
      <c r="H2211" s="27" t="s">
        <v>97</v>
      </c>
      <c r="I2211">
        <v>1</v>
      </c>
    </row>
    <row r="2212" spans="1:9">
      <c r="A2212" t="s">
        <v>2627</v>
      </c>
      <c r="B2212" s="27" t="s">
        <v>3229</v>
      </c>
      <c r="C2212" s="27" t="s">
        <v>5775</v>
      </c>
      <c r="D2212">
        <f>VLOOKUP(tblTargetMedicos[[#This Row],[codigo_id]],[1]DIM_REPRESENTANTE_MEDICO!$C:$F,4,0)</f>
        <v>8</v>
      </c>
      <c r="E2212">
        <f>VLOOKUP(tblTargetMedicos[[#This Row],[codigo_id]],[1]DIM_REPRESENTANTE_MEDICO!$C:$F,3,0)</f>
        <v>2</v>
      </c>
      <c r="F2212" s="27" t="s">
        <v>5796</v>
      </c>
      <c r="G2212" s="27" t="s">
        <v>5784</v>
      </c>
      <c r="H2212" s="27" t="s">
        <v>96</v>
      </c>
      <c r="I2212">
        <v>1</v>
      </c>
    </row>
    <row r="2213" spans="1:9">
      <c r="A2213" t="s">
        <v>2628</v>
      </c>
      <c r="B2213" s="27" t="s">
        <v>3229</v>
      </c>
      <c r="C2213" s="27" t="s">
        <v>5775</v>
      </c>
      <c r="D2213">
        <f>VLOOKUP(tblTargetMedicos[[#This Row],[codigo_id]],[1]DIM_REPRESENTANTE_MEDICO!$C:$F,4,0)</f>
        <v>8</v>
      </c>
      <c r="E2213">
        <f>VLOOKUP(tblTargetMedicos[[#This Row],[codigo_id]],[1]DIM_REPRESENTANTE_MEDICO!$C:$F,3,0)</f>
        <v>2</v>
      </c>
      <c r="F2213" s="27" t="s">
        <v>5796</v>
      </c>
      <c r="G2213" s="27" t="s">
        <v>5784</v>
      </c>
      <c r="H2213" s="27" t="s">
        <v>97</v>
      </c>
      <c r="I2213">
        <v>1</v>
      </c>
    </row>
    <row r="2214" spans="1:9">
      <c r="A2214" t="s">
        <v>2629</v>
      </c>
      <c r="B2214" s="27" t="s">
        <v>3229</v>
      </c>
      <c r="C2214" s="27" t="s">
        <v>5775</v>
      </c>
      <c r="D2214">
        <f>VLOOKUP(tblTargetMedicos[[#This Row],[codigo_id]],[1]DIM_REPRESENTANTE_MEDICO!$C:$F,4,0)</f>
        <v>8</v>
      </c>
      <c r="E2214">
        <f>VLOOKUP(tblTargetMedicos[[#This Row],[codigo_id]],[1]DIM_REPRESENTANTE_MEDICO!$C:$F,3,0)</f>
        <v>2</v>
      </c>
      <c r="F2214" s="27" t="s">
        <v>5796</v>
      </c>
      <c r="G2214" s="27" t="s">
        <v>5784</v>
      </c>
      <c r="H2214" s="27" t="s">
        <v>97</v>
      </c>
      <c r="I2214">
        <v>1</v>
      </c>
    </row>
    <row r="2215" spans="1:9">
      <c r="A2215" t="s">
        <v>2630</v>
      </c>
      <c r="B2215" s="27" t="s">
        <v>3229</v>
      </c>
      <c r="C2215" s="27" t="s">
        <v>5775</v>
      </c>
      <c r="D2215">
        <f>VLOOKUP(tblTargetMedicos[[#This Row],[codigo_id]],[1]DIM_REPRESENTANTE_MEDICO!$C:$F,4,0)</f>
        <v>8</v>
      </c>
      <c r="E2215">
        <f>VLOOKUP(tblTargetMedicos[[#This Row],[codigo_id]],[1]DIM_REPRESENTANTE_MEDICO!$C:$F,3,0)</f>
        <v>2</v>
      </c>
      <c r="F2215" s="27" t="s">
        <v>5796</v>
      </c>
      <c r="G2215" s="27" t="s">
        <v>5784</v>
      </c>
      <c r="H2215" s="27" t="s">
        <v>97</v>
      </c>
      <c r="I2215">
        <v>1</v>
      </c>
    </row>
    <row r="2216" spans="1:9">
      <c r="A2216" t="s">
        <v>2631</v>
      </c>
      <c r="B2216" s="27" t="s">
        <v>3229</v>
      </c>
      <c r="C2216" s="27" t="s">
        <v>5775</v>
      </c>
      <c r="D2216">
        <f>VLOOKUP(tblTargetMedicos[[#This Row],[codigo_id]],[1]DIM_REPRESENTANTE_MEDICO!$C:$F,4,0)</f>
        <v>8</v>
      </c>
      <c r="E2216">
        <f>VLOOKUP(tblTargetMedicos[[#This Row],[codigo_id]],[1]DIM_REPRESENTANTE_MEDICO!$C:$F,3,0)</f>
        <v>2</v>
      </c>
      <c r="F2216" s="27" t="s">
        <v>5796</v>
      </c>
      <c r="G2216" s="27" t="s">
        <v>5784</v>
      </c>
      <c r="H2216" s="27" t="s">
        <v>97</v>
      </c>
      <c r="I2216">
        <v>1</v>
      </c>
    </row>
    <row r="2217" spans="1:9">
      <c r="A2217" t="s">
        <v>2632</v>
      </c>
      <c r="B2217" s="27" t="s">
        <v>3229</v>
      </c>
      <c r="C2217" s="27" t="s">
        <v>5775</v>
      </c>
      <c r="D2217">
        <f>VLOOKUP(tblTargetMedicos[[#This Row],[codigo_id]],[1]DIM_REPRESENTANTE_MEDICO!$C:$F,4,0)</f>
        <v>8</v>
      </c>
      <c r="E2217">
        <f>VLOOKUP(tblTargetMedicos[[#This Row],[codigo_id]],[1]DIM_REPRESENTANTE_MEDICO!$C:$F,3,0)</f>
        <v>2</v>
      </c>
      <c r="F2217" s="27" t="s">
        <v>5796</v>
      </c>
      <c r="G2217" s="27" t="s">
        <v>5781</v>
      </c>
      <c r="H2217" s="27" t="s">
        <v>97</v>
      </c>
      <c r="I2217">
        <v>1</v>
      </c>
    </row>
    <row r="2218" spans="1:9">
      <c r="A2218" t="s">
        <v>2633</v>
      </c>
      <c r="B2218" s="27" t="s">
        <v>3229</v>
      </c>
      <c r="C2218" s="27" t="s">
        <v>5775</v>
      </c>
      <c r="D2218">
        <f>VLOOKUP(tblTargetMedicos[[#This Row],[codigo_id]],[1]DIM_REPRESENTANTE_MEDICO!$C:$F,4,0)</f>
        <v>8</v>
      </c>
      <c r="E2218">
        <f>VLOOKUP(tblTargetMedicos[[#This Row],[codigo_id]],[1]DIM_REPRESENTANTE_MEDICO!$C:$F,3,0)</f>
        <v>2</v>
      </c>
      <c r="F2218" s="27" t="s">
        <v>5796</v>
      </c>
      <c r="G2218" s="27" t="s">
        <v>5785</v>
      </c>
      <c r="H2218" s="27" t="s">
        <v>5793</v>
      </c>
      <c r="I2218">
        <v>1</v>
      </c>
    </row>
    <row r="2219" spans="1:9">
      <c r="A2219" t="s">
        <v>2634</v>
      </c>
      <c r="B2219" s="27" t="s">
        <v>3229</v>
      </c>
      <c r="C2219" s="27" t="s">
        <v>5775</v>
      </c>
      <c r="D2219">
        <f>VLOOKUP(tblTargetMedicos[[#This Row],[codigo_id]],[1]DIM_REPRESENTANTE_MEDICO!$C:$F,4,0)</f>
        <v>8</v>
      </c>
      <c r="E2219">
        <f>VLOOKUP(tblTargetMedicos[[#This Row],[codigo_id]],[1]DIM_REPRESENTANTE_MEDICO!$C:$F,3,0)</f>
        <v>2</v>
      </c>
      <c r="F2219" s="27" t="s">
        <v>5796</v>
      </c>
      <c r="G2219" s="27" t="s">
        <v>5781</v>
      </c>
      <c r="H2219" s="27" t="s">
        <v>97</v>
      </c>
      <c r="I2219">
        <v>1</v>
      </c>
    </row>
    <row r="2220" spans="1:9">
      <c r="A2220" t="s">
        <v>2635</v>
      </c>
      <c r="B2220" s="27" t="s">
        <v>3229</v>
      </c>
      <c r="C2220" s="27" t="s">
        <v>5775</v>
      </c>
      <c r="D2220">
        <f>VLOOKUP(tblTargetMedicos[[#This Row],[codigo_id]],[1]DIM_REPRESENTANTE_MEDICO!$C:$F,4,0)</f>
        <v>8</v>
      </c>
      <c r="E2220">
        <f>VLOOKUP(tblTargetMedicos[[#This Row],[codigo_id]],[1]DIM_REPRESENTANTE_MEDICO!$C:$F,3,0)</f>
        <v>2</v>
      </c>
      <c r="F2220" s="27" t="s">
        <v>5796</v>
      </c>
      <c r="G2220" s="27" t="s">
        <v>5784</v>
      </c>
      <c r="H2220" s="27" t="s">
        <v>5793</v>
      </c>
      <c r="I2220">
        <v>1</v>
      </c>
    </row>
    <row r="2221" spans="1:9">
      <c r="A2221" t="s">
        <v>2636</v>
      </c>
      <c r="B2221" s="27" t="s">
        <v>3229</v>
      </c>
      <c r="C2221" s="27" t="s">
        <v>5775</v>
      </c>
      <c r="D2221">
        <f>VLOOKUP(tblTargetMedicos[[#This Row],[codigo_id]],[1]DIM_REPRESENTANTE_MEDICO!$C:$F,4,0)</f>
        <v>8</v>
      </c>
      <c r="E2221">
        <f>VLOOKUP(tblTargetMedicos[[#This Row],[codigo_id]],[1]DIM_REPRESENTANTE_MEDICO!$C:$F,3,0)</f>
        <v>2</v>
      </c>
      <c r="F2221" s="27" t="s">
        <v>5796</v>
      </c>
      <c r="G2221" s="27" t="s">
        <v>5784</v>
      </c>
      <c r="H2221" s="27" t="s">
        <v>5793</v>
      </c>
      <c r="I2221">
        <v>1</v>
      </c>
    </row>
    <row r="2222" spans="1:9">
      <c r="A2222" t="s">
        <v>2637</v>
      </c>
      <c r="B2222" s="27" t="s">
        <v>3229</v>
      </c>
      <c r="C2222" s="27" t="s">
        <v>5775</v>
      </c>
      <c r="D2222">
        <f>VLOOKUP(tblTargetMedicos[[#This Row],[codigo_id]],[1]DIM_REPRESENTANTE_MEDICO!$C:$F,4,0)</f>
        <v>8</v>
      </c>
      <c r="E2222">
        <f>VLOOKUP(tblTargetMedicos[[#This Row],[codigo_id]],[1]DIM_REPRESENTANTE_MEDICO!$C:$F,3,0)</f>
        <v>2</v>
      </c>
      <c r="F2222" s="27" t="s">
        <v>5796</v>
      </c>
      <c r="G2222" s="27" t="s">
        <v>5780</v>
      </c>
      <c r="H2222" s="27" t="s">
        <v>5793</v>
      </c>
      <c r="I2222">
        <v>1</v>
      </c>
    </row>
    <row r="2223" spans="1:9">
      <c r="A2223" t="s">
        <v>2638</v>
      </c>
      <c r="B2223" s="27" t="s">
        <v>3229</v>
      </c>
      <c r="C2223" s="27" t="s">
        <v>5775</v>
      </c>
      <c r="D2223">
        <f>VLOOKUP(tblTargetMedicos[[#This Row],[codigo_id]],[1]DIM_REPRESENTANTE_MEDICO!$C:$F,4,0)</f>
        <v>8</v>
      </c>
      <c r="E2223">
        <f>VLOOKUP(tblTargetMedicos[[#This Row],[codigo_id]],[1]DIM_REPRESENTANTE_MEDICO!$C:$F,3,0)</f>
        <v>2</v>
      </c>
      <c r="F2223" s="27" t="s">
        <v>5796</v>
      </c>
      <c r="G2223" s="27" t="s">
        <v>5787</v>
      </c>
      <c r="H2223" s="27" t="s">
        <v>5793</v>
      </c>
      <c r="I2223">
        <v>1</v>
      </c>
    </row>
    <row r="2224" spans="1:9">
      <c r="A2224" t="s">
        <v>2639</v>
      </c>
      <c r="B2224" s="27" t="s">
        <v>3229</v>
      </c>
      <c r="C2224" s="27" t="s">
        <v>5775</v>
      </c>
      <c r="D2224">
        <f>VLOOKUP(tblTargetMedicos[[#This Row],[codigo_id]],[1]DIM_REPRESENTANTE_MEDICO!$C:$F,4,0)</f>
        <v>8</v>
      </c>
      <c r="E2224">
        <f>VLOOKUP(tblTargetMedicos[[#This Row],[codigo_id]],[1]DIM_REPRESENTANTE_MEDICO!$C:$F,3,0)</f>
        <v>2</v>
      </c>
      <c r="F2224" s="27" t="s">
        <v>5796</v>
      </c>
      <c r="G2224" s="27" t="s">
        <v>5785</v>
      </c>
      <c r="H2224" s="27" t="s">
        <v>95</v>
      </c>
      <c r="I2224">
        <v>1</v>
      </c>
    </row>
    <row r="2225" spans="1:9">
      <c r="A2225" t="s">
        <v>2640</v>
      </c>
      <c r="B2225" s="27" t="s">
        <v>3229</v>
      </c>
      <c r="C2225" s="27" t="s">
        <v>5775</v>
      </c>
      <c r="D2225">
        <f>VLOOKUP(tblTargetMedicos[[#This Row],[codigo_id]],[1]DIM_REPRESENTANTE_MEDICO!$C:$F,4,0)</f>
        <v>8</v>
      </c>
      <c r="E2225">
        <f>VLOOKUP(tblTargetMedicos[[#This Row],[codigo_id]],[1]DIM_REPRESENTANTE_MEDICO!$C:$F,3,0)</f>
        <v>2</v>
      </c>
      <c r="F2225" s="27" t="s">
        <v>5796</v>
      </c>
      <c r="G2225" s="27" t="s">
        <v>5786</v>
      </c>
      <c r="H2225" s="27" t="s">
        <v>96</v>
      </c>
      <c r="I2225">
        <v>1</v>
      </c>
    </row>
    <row r="2226" spans="1:9">
      <c r="A2226" t="s">
        <v>2641</v>
      </c>
      <c r="B2226" s="27" t="s">
        <v>3229</v>
      </c>
      <c r="C2226" s="27" t="s">
        <v>5775</v>
      </c>
      <c r="D2226">
        <f>VLOOKUP(tblTargetMedicos[[#This Row],[codigo_id]],[1]DIM_REPRESENTANTE_MEDICO!$C:$F,4,0)</f>
        <v>8</v>
      </c>
      <c r="E2226">
        <f>VLOOKUP(tblTargetMedicos[[#This Row],[codigo_id]],[1]DIM_REPRESENTANTE_MEDICO!$C:$F,3,0)</f>
        <v>2</v>
      </c>
      <c r="F2226" s="27" t="s">
        <v>5796</v>
      </c>
      <c r="G2226" s="27" t="s">
        <v>5783</v>
      </c>
      <c r="H2226" s="27" t="s">
        <v>96</v>
      </c>
      <c r="I2226">
        <v>1</v>
      </c>
    </row>
    <row r="2227" spans="1:9">
      <c r="A2227" t="s">
        <v>2642</v>
      </c>
      <c r="B2227" s="27" t="s">
        <v>3229</v>
      </c>
      <c r="C2227" s="27" t="s">
        <v>5775</v>
      </c>
      <c r="D2227">
        <f>VLOOKUP(tblTargetMedicos[[#This Row],[codigo_id]],[1]DIM_REPRESENTANTE_MEDICO!$C:$F,4,0)</f>
        <v>8</v>
      </c>
      <c r="E2227">
        <f>VLOOKUP(tblTargetMedicos[[#This Row],[codigo_id]],[1]DIM_REPRESENTANTE_MEDICO!$C:$F,3,0)</f>
        <v>2</v>
      </c>
      <c r="F2227" s="27" t="s">
        <v>5796</v>
      </c>
      <c r="G2227" s="27" t="s">
        <v>5784</v>
      </c>
      <c r="H2227" s="27" t="s">
        <v>96</v>
      </c>
      <c r="I2227">
        <v>1</v>
      </c>
    </row>
    <row r="2228" spans="1:9">
      <c r="A2228" t="s">
        <v>2643</v>
      </c>
      <c r="B2228" s="27" t="s">
        <v>3229</v>
      </c>
      <c r="C2228" s="27" t="s">
        <v>5775</v>
      </c>
      <c r="D2228">
        <f>VLOOKUP(tblTargetMedicos[[#This Row],[codigo_id]],[1]DIM_REPRESENTANTE_MEDICO!$C:$F,4,0)</f>
        <v>8</v>
      </c>
      <c r="E2228">
        <f>VLOOKUP(tblTargetMedicos[[#This Row],[codigo_id]],[1]DIM_REPRESENTANTE_MEDICO!$C:$F,3,0)</f>
        <v>2</v>
      </c>
      <c r="F2228" s="27" t="s">
        <v>5796</v>
      </c>
      <c r="G2228" s="27" t="s">
        <v>5785</v>
      </c>
      <c r="H2228" s="27" t="s">
        <v>95</v>
      </c>
      <c r="I2228">
        <v>1</v>
      </c>
    </row>
    <row r="2229" spans="1:9">
      <c r="A2229" t="s">
        <v>2644</v>
      </c>
      <c r="B2229" s="27" t="s">
        <v>3229</v>
      </c>
      <c r="C2229" s="27" t="s">
        <v>5775</v>
      </c>
      <c r="D2229">
        <f>VLOOKUP(tblTargetMedicos[[#This Row],[codigo_id]],[1]DIM_REPRESENTANTE_MEDICO!$C:$F,4,0)</f>
        <v>8</v>
      </c>
      <c r="E2229">
        <f>VLOOKUP(tblTargetMedicos[[#This Row],[codigo_id]],[1]DIM_REPRESENTANTE_MEDICO!$C:$F,3,0)</f>
        <v>2</v>
      </c>
      <c r="F2229" s="27" t="s">
        <v>5796</v>
      </c>
      <c r="G2229" s="27" t="s">
        <v>5783</v>
      </c>
      <c r="H2229" s="27" t="s">
        <v>96</v>
      </c>
      <c r="I2229">
        <v>1</v>
      </c>
    </row>
    <row r="2230" spans="1:9">
      <c r="A2230" t="s">
        <v>2645</v>
      </c>
      <c r="B2230" s="27" t="s">
        <v>3229</v>
      </c>
      <c r="C2230" s="27" t="s">
        <v>5775</v>
      </c>
      <c r="D2230">
        <f>VLOOKUP(tblTargetMedicos[[#This Row],[codigo_id]],[1]DIM_REPRESENTANTE_MEDICO!$C:$F,4,0)</f>
        <v>8</v>
      </c>
      <c r="E2230">
        <f>VLOOKUP(tblTargetMedicos[[#This Row],[codigo_id]],[1]DIM_REPRESENTANTE_MEDICO!$C:$F,3,0)</f>
        <v>2</v>
      </c>
      <c r="F2230" s="27" t="s">
        <v>5796</v>
      </c>
      <c r="G2230" s="27" t="s">
        <v>5786</v>
      </c>
      <c r="H2230" s="27" t="s">
        <v>96</v>
      </c>
      <c r="I2230">
        <v>1</v>
      </c>
    </row>
    <row r="2231" spans="1:9">
      <c r="A2231" t="s">
        <v>2646</v>
      </c>
      <c r="B2231" s="27" t="s">
        <v>3229</v>
      </c>
      <c r="C2231" s="27" t="s">
        <v>5775</v>
      </c>
      <c r="D2231">
        <f>VLOOKUP(tblTargetMedicos[[#This Row],[codigo_id]],[1]DIM_REPRESENTANTE_MEDICO!$C:$F,4,0)</f>
        <v>8</v>
      </c>
      <c r="E2231">
        <f>VLOOKUP(tblTargetMedicos[[#This Row],[codigo_id]],[1]DIM_REPRESENTANTE_MEDICO!$C:$F,3,0)</f>
        <v>2</v>
      </c>
      <c r="F2231" s="27" t="s">
        <v>5796</v>
      </c>
      <c r="G2231" s="27" t="s">
        <v>5782</v>
      </c>
      <c r="H2231" s="27" t="s">
        <v>96</v>
      </c>
      <c r="I2231">
        <v>1</v>
      </c>
    </row>
    <row r="2232" spans="1:9">
      <c r="A2232" t="s">
        <v>2647</v>
      </c>
      <c r="B2232" s="27" t="s">
        <v>3229</v>
      </c>
      <c r="C2232" s="27" t="s">
        <v>5775</v>
      </c>
      <c r="D2232">
        <f>VLOOKUP(tblTargetMedicos[[#This Row],[codigo_id]],[1]DIM_REPRESENTANTE_MEDICO!$C:$F,4,0)</f>
        <v>8</v>
      </c>
      <c r="E2232">
        <f>VLOOKUP(tblTargetMedicos[[#This Row],[codigo_id]],[1]DIM_REPRESENTANTE_MEDICO!$C:$F,3,0)</f>
        <v>2</v>
      </c>
      <c r="F2232" s="27" t="s">
        <v>5796</v>
      </c>
      <c r="G2232" s="27" t="s">
        <v>5786</v>
      </c>
      <c r="H2232" s="27" t="s">
        <v>97</v>
      </c>
      <c r="I2232">
        <v>1</v>
      </c>
    </row>
    <row r="2233" spans="1:9">
      <c r="A2233" t="s">
        <v>2648</v>
      </c>
      <c r="B2233" s="27" t="s">
        <v>3229</v>
      </c>
      <c r="C2233" s="27" t="s">
        <v>5775</v>
      </c>
      <c r="D2233">
        <f>VLOOKUP(tblTargetMedicos[[#This Row],[codigo_id]],[1]DIM_REPRESENTANTE_MEDICO!$C:$F,4,0)</f>
        <v>8</v>
      </c>
      <c r="E2233">
        <f>VLOOKUP(tblTargetMedicos[[#This Row],[codigo_id]],[1]DIM_REPRESENTANTE_MEDICO!$C:$F,3,0)</f>
        <v>2</v>
      </c>
      <c r="F2233" s="27" t="s">
        <v>5796</v>
      </c>
      <c r="G2233" s="27" t="s">
        <v>5781</v>
      </c>
      <c r="H2233" s="27" t="s">
        <v>97</v>
      </c>
      <c r="I2233">
        <v>1</v>
      </c>
    </row>
    <row r="2234" spans="1:9">
      <c r="A2234" t="s">
        <v>2649</v>
      </c>
      <c r="B2234" s="27" t="s">
        <v>3229</v>
      </c>
      <c r="C2234" s="27" t="s">
        <v>5775</v>
      </c>
      <c r="D2234">
        <f>VLOOKUP(tblTargetMedicos[[#This Row],[codigo_id]],[1]DIM_REPRESENTANTE_MEDICO!$C:$F,4,0)</f>
        <v>8</v>
      </c>
      <c r="E2234">
        <f>VLOOKUP(tblTargetMedicos[[#This Row],[codigo_id]],[1]DIM_REPRESENTANTE_MEDICO!$C:$F,3,0)</f>
        <v>2</v>
      </c>
      <c r="F2234" s="27" t="s">
        <v>5796</v>
      </c>
      <c r="G2234" s="27" t="s">
        <v>5781</v>
      </c>
      <c r="H2234" s="27" t="s">
        <v>97</v>
      </c>
      <c r="I2234">
        <v>1</v>
      </c>
    </row>
    <row r="2235" spans="1:9">
      <c r="A2235" t="s">
        <v>2650</v>
      </c>
      <c r="B2235" s="27" t="s">
        <v>3229</v>
      </c>
      <c r="C2235" s="27" t="s">
        <v>5775</v>
      </c>
      <c r="D2235">
        <f>VLOOKUP(tblTargetMedicos[[#This Row],[codigo_id]],[1]DIM_REPRESENTANTE_MEDICO!$C:$F,4,0)</f>
        <v>8</v>
      </c>
      <c r="E2235">
        <f>VLOOKUP(tblTargetMedicos[[#This Row],[codigo_id]],[1]DIM_REPRESENTANTE_MEDICO!$C:$F,3,0)</f>
        <v>2</v>
      </c>
      <c r="F2235" s="27" t="s">
        <v>5796</v>
      </c>
      <c r="G2235" s="27" t="s">
        <v>5782</v>
      </c>
      <c r="H2235" s="27" t="s">
        <v>97</v>
      </c>
      <c r="I2235">
        <v>1</v>
      </c>
    </row>
    <row r="2236" spans="1:9">
      <c r="A2236" t="s">
        <v>2651</v>
      </c>
      <c r="B2236" s="27" t="s">
        <v>3229</v>
      </c>
      <c r="C2236" s="27" t="s">
        <v>5775</v>
      </c>
      <c r="D2236">
        <f>VLOOKUP(tblTargetMedicos[[#This Row],[codigo_id]],[1]DIM_REPRESENTANTE_MEDICO!$C:$F,4,0)</f>
        <v>8</v>
      </c>
      <c r="E2236">
        <f>VLOOKUP(tblTargetMedicos[[#This Row],[codigo_id]],[1]DIM_REPRESENTANTE_MEDICO!$C:$F,3,0)</f>
        <v>2</v>
      </c>
      <c r="F2236" s="27" t="s">
        <v>5796</v>
      </c>
      <c r="G2236" s="27" t="s">
        <v>5782</v>
      </c>
      <c r="H2236" s="27" t="s">
        <v>96</v>
      </c>
      <c r="I2236">
        <v>1</v>
      </c>
    </row>
    <row r="2237" spans="1:9">
      <c r="A2237" t="s">
        <v>2652</v>
      </c>
      <c r="B2237" s="27" t="s">
        <v>3229</v>
      </c>
      <c r="C2237" s="27" t="s">
        <v>5775</v>
      </c>
      <c r="D2237">
        <f>VLOOKUP(tblTargetMedicos[[#This Row],[codigo_id]],[1]DIM_REPRESENTANTE_MEDICO!$C:$F,4,0)</f>
        <v>8</v>
      </c>
      <c r="E2237">
        <f>VLOOKUP(tblTargetMedicos[[#This Row],[codigo_id]],[1]DIM_REPRESENTANTE_MEDICO!$C:$F,3,0)</f>
        <v>2</v>
      </c>
      <c r="F2237" s="27" t="s">
        <v>5796</v>
      </c>
      <c r="G2237" s="27" t="s">
        <v>5779</v>
      </c>
      <c r="H2237" s="27" t="s">
        <v>96</v>
      </c>
      <c r="I2237">
        <v>1</v>
      </c>
    </row>
    <row r="2238" spans="1:9">
      <c r="A2238" t="s">
        <v>2653</v>
      </c>
      <c r="B2238" s="27" t="s">
        <v>3229</v>
      </c>
      <c r="C2238" s="27" t="s">
        <v>5775</v>
      </c>
      <c r="D2238">
        <f>VLOOKUP(tblTargetMedicos[[#This Row],[codigo_id]],[1]DIM_REPRESENTANTE_MEDICO!$C:$F,4,0)</f>
        <v>8</v>
      </c>
      <c r="E2238">
        <f>VLOOKUP(tblTargetMedicos[[#This Row],[codigo_id]],[1]DIM_REPRESENTANTE_MEDICO!$C:$F,3,0)</f>
        <v>2</v>
      </c>
      <c r="F2238" s="27" t="s">
        <v>5796</v>
      </c>
      <c r="G2238" s="27" t="s">
        <v>5786</v>
      </c>
      <c r="H2238" s="27" t="s">
        <v>97</v>
      </c>
      <c r="I2238">
        <v>1</v>
      </c>
    </row>
    <row r="2239" spans="1:9">
      <c r="A2239" t="s">
        <v>2654</v>
      </c>
      <c r="B2239" s="27" t="s">
        <v>3229</v>
      </c>
      <c r="C2239" s="27" t="s">
        <v>5775</v>
      </c>
      <c r="D2239">
        <f>VLOOKUP(tblTargetMedicos[[#This Row],[codigo_id]],[1]DIM_REPRESENTANTE_MEDICO!$C:$F,4,0)</f>
        <v>8</v>
      </c>
      <c r="E2239">
        <f>VLOOKUP(tblTargetMedicos[[#This Row],[codigo_id]],[1]DIM_REPRESENTANTE_MEDICO!$C:$F,3,0)</f>
        <v>2</v>
      </c>
      <c r="F2239" s="27" t="s">
        <v>5796</v>
      </c>
      <c r="G2239" s="27" t="s">
        <v>5782</v>
      </c>
      <c r="H2239" s="27" t="s">
        <v>97</v>
      </c>
      <c r="I2239">
        <v>1</v>
      </c>
    </row>
    <row r="2240" spans="1:9">
      <c r="A2240" t="s">
        <v>2655</v>
      </c>
      <c r="B2240" s="27" t="s">
        <v>3229</v>
      </c>
      <c r="C2240" s="27" t="s">
        <v>5775</v>
      </c>
      <c r="D2240">
        <f>VLOOKUP(tblTargetMedicos[[#This Row],[codigo_id]],[1]DIM_REPRESENTANTE_MEDICO!$C:$F,4,0)</f>
        <v>8</v>
      </c>
      <c r="E2240">
        <f>VLOOKUP(tblTargetMedicos[[#This Row],[codigo_id]],[1]DIM_REPRESENTANTE_MEDICO!$C:$F,3,0)</f>
        <v>2</v>
      </c>
      <c r="F2240" s="27" t="s">
        <v>5796</v>
      </c>
      <c r="G2240" s="27" t="s">
        <v>5788</v>
      </c>
      <c r="H2240" s="27" t="s">
        <v>97</v>
      </c>
      <c r="I2240">
        <v>1</v>
      </c>
    </row>
    <row r="2241" spans="1:9">
      <c r="A2241" t="s">
        <v>2656</v>
      </c>
      <c r="B2241" s="27" t="s">
        <v>3229</v>
      </c>
      <c r="C2241" s="27" t="s">
        <v>5775</v>
      </c>
      <c r="D2241">
        <f>VLOOKUP(tblTargetMedicos[[#This Row],[codigo_id]],[1]DIM_REPRESENTANTE_MEDICO!$C:$F,4,0)</f>
        <v>8</v>
      </c>
      <c r="E2241">
        <f>VLOOKUP(tblTargetMedicos[[#This Row],[codigo_id]],[1]DIM_REPRESENTANTE_MEDICO!$C:$F,3,0)</f>
        <v>2</v>
      </c>
      <c r="F2241" s="27" t="s">
        <v>5796</v>
      </c>
      <c r="G2241" s="27" t="s">
        <v>5782</v>
      </c>
      <c r="H2241" s="27" t="s">
        <v>97</v>
      </c>
      <c r="I2241">
        <v>1</v>
      </c>
    </row>
    <row r="2242" spans="1:9">
      <c r="A2242" t="s">
        <v>2657</v>
      </c>
      <c r="B2242" s="27" t="s">
        <v>3229</v>
      </c>
      <c r="C2242" s="27" t="s">
        <v>5775</v>
      </c>
      <c r="D2242">
        <f>VLOOKUP(tblTargetMedicos[[#This Row],[codigo_id]],[1]DIM_REPRESENTANTE_MEDICO!$C:$F,4,0)</f>
        <v>8</v>
      </c>
      <c r="E2242">
        <f>VLOOKUP(tblTargetMedicos[[#This Row],[codigo_id]],[1]DIM_REPRESENTANTE_MEDICO!$C:$F,3,0)</f>
        <v>2</v>
      </c>
      <c r="F2242" s="27" t="s">
        <v>5796</v>
      </c>
      <c r="G2242" s="27" t="s">
        <v>5783</v>
      </c>
      <c r="H2242" s="27" t="s">
        <v>97</v>
      </c>
      <c r="I2242">
        <v>1</v>
      </c>
    </row>
    <row r="2243" spans="1:9">
      <c r="A2243" t="s">
        <v>2658</v>
      </c>
      <c r="B2243" s="27" t="s">
        <v>3229</v>
      </c>
      <c r="C2243" s="27" t="s">
        <v>5775</v>
      </c>
      <c r="D2243">
        <f>VLOOKUP(tblTargetMedicos[[#This Row],[codigo_id]],[1]DIM_REPRESENTANTE_MEDICO!$C:$F,4,0)</f>
        <v>8</v>
      </c>
      <c r="E2243">
        <f>VLOOKUP(tblTargetMedicos[[#This Row],[codigo_id]],[1]DIM_REPRESENTANTE_MEDICO!$C:$F,3,0)</f>
        <v>2</v>
      </c>
      <c r="F2243" s="27" t="s">
        <v>5796</v>
      </c>
      <c r="G2243" s="27" t="s">
        <v>5782</v>
      </c>
      <c r="H2243" s="27" t="s">
        <v>97</v>
      </c>
      <c r="I2243">
        <v>1</v>
      </c>
    </row>
    <row r="2244" spans="1:9">
      <c r="A2244" t="s">
        <v>2659</v>
      </c>
      <c r="B2244" s="27" t="s">
        <v>3229</v>
      </c>
      <c r="C2244" s="27" t="s">
        <v>5775</v>
      </c>
      <c r="D2244">
        <f>VLOOKUP(tblTargetMedicos[[#This Row],[codigo_id]],[1]DIM_REPRESENTANTE_MEDICO!$C:$F,4,0)</f>
        <v>8</v>
      </c>
      <c r="E2244">
        <f>VLOOKUP(tblTargetMedicos[[#This Row],[codigo_id]],[1]DIM_REPRESENTANTE_MEDICO!$C:$F,3,0)</f>
        <v>2</v>
      </c>
      <c r="F2244" s="27" t="s">
        <v>5796</v>
      </c>
      <c r="G2244" s="27" t="s">
        <v>5786</v>
      </c>
      <c r="H2244" s="27" t="s">
        <v>97</v>
      </c>
      <c r="I2244">
        <v>1</v>
      </c>
    </row>
    <row r="2245" spans="1:9">
      <c r="A2245" t="s">
        <v>2660</v>
      </c>
      <c r="B2245" s="27" t="s">
        <v>3229</v>
      </c>
      <c r="C2245" s="27" t="s">
        <v>5775</v>
      </c>
      <c r="D2245">
        <f>VLOOKUP(tblTargetMedicos[[#This Row],[codigo_id]],[1]DIM_REPRESENTANTE_MEDICO!$C:$F,4,0)</f>
        <v>8</v>
      </c>
      <c r="E2245">
        <f>VLOOKUP(tblTargetMedicos[[#This Row],[codigo_id]],[1]DIM_REPRESENTANTE_MEDICO!$C:$F,3,0)</f>
        <v>2</v>
      </c>
      <c r="F2245" s="27" t="s">
        <v>5796</v>
      </c>
      <c r="G2245" s="27" t="s">
        <v>5784</v>
      </c>
      <c r="H2245" s="27" t="s">
        <v>95</v>
      </c>
      <c r="I2245">
        <v>1</v>
      </c>
    </row>
    <row r="2246" spans="1:9">
      <c r="A2246" t="s">
        <v>2661</v>
      </c>
      <c r="B2246" s="27" t="s">
        <v>3229</v>
      </c>
      <c r="C2246" s="27" t="s">
        <v>5775</v>
      </c>
      <c r="D2246">
        <f>VLOOKUP(tblTargetMedicos[[#This Row],[codigo_id]],[1]DIM_REPRESENTANTE_MEDICO!$C:$F,4,0)</f>
        <v>8</v>
      </c>
      <c r="E2246">
        <f>VLOOKUP(tblTargetMedicos[[#This Row],[codigo_id]],[1]DIM_REPRESENTANTE_MEDICO!$C:$F,3,0)</f>
        <v>2</v>
      </c>
      <c r="F2246" s="27" t="s">
        <v>5796</v>
      </c>
      <c r="G2246" s="27" t="s">
        <v>5784</v>
      </c>
      <c r="H2246" s="27" t="s">
        <v>96</v>
      </c>
      <c r="I2246">
        <v>1</v>
      </c>
    </row>
    <row r="2247" spans="1:9">
      <c r="A2247" t="s">
        <v>2662</v>
      </c>
      <c r="B2247" s="27" t="s">
        <v>3229</v>
      </c>
      <c r="C2247" s="27" t="s">
        <v>5775</v>
      </c>
      <c r="D2247">
        <f>VLOOKUP(tblTargetMedicos[[#This Row],[codigo_id]],[1]DIM_REPRESENTANTE_MEDICO!$C:$F,4,0)</f>
        <v>8</v>
      </c>
      <c r="E2247">
        <f>VLOOKUP(tblTargetMedicos[[#This Row],[codigo_id]],[1]DIM_REPRESENTANTE_MEDICO!$C:$F,3,0)</f>
        <v>2</v>
      </c>
      <c r="F2247" s="27" t="s">
        <v>5796</v>
      </c>
      <c r="G2247" s="27" t="s">
        <v>5779</v>
      </c>
      <c r="H2247" s="27" t="s">
        <v>96</v>
      </c>
      <c r="I2247">
        <v>1</v>
      </c>
    </row>
    <row r="2248" spans="1:9">
      <c r="A2248" t="s">
        <v>2663</v>
      </c>
      <c r="B2248" s="27" t="s">
        <v>3229</v>
      </c>
      <c r="C2248" s="27" t="s">
        <v>5775</v>
      </c>
      <c r="D2248">
        <f>VLOOKUP(tblTargetMedicos[[#This Row],[codigo_id]],[1]DIM_REPRESENTANTE_MEDICO!$C:$F,4,0)</f>
        <v>8</v>
      </c>
      <c r="E2248">
        <f>VLOOKUP(tblTargetMedicos[[#This Row],[codigo_id]],[1]DIM_REPRESENTANTE_MEDICO!$C:$F,3,0)</f>
        <v>2</v>
      </c>
      <c r="F2248" s="27" t="s">
        <v>5796</v>
      </c>
      <c r="G2248" s="27" t="s">
        <v>5785</v>
      </c>
      <c r="H2248" s="27" t="s">
        <v>96</v>
      </c>
      <c r="I2248">
        <v>1</v>
      </c>
    </row>
    <row r="2249" spans="1:9">
      <c r="A2249" t="s">
        <v>2664</v>
      </c>
      <c r="B2249" s="27" t="s">
        <v>3229</v>
      </c>
      <c r="C2249" s="27" t="s">
        <v>5775</v>
      </c>
      <c r="D2249">
        <f>VLOOKUP(tblTargetMedicos[[#This Row],[codigo_id]],[1]DIM_REPRESENTANTE_MEDICO!$C:$F,4,0)</f>
        <v>8</v>
      </c>
      <c r="E2249">
        <f>VLOOKUP(tblTargetMedicos[[#This Row],[codigo_id]],[1]DIM_REPRESENTANTE_MEDICO!$C:$F,3,0)</f>
        <v>2</v>
      </c>
      <c r="F2249" s="27" t="s">
        <v>5796</v>
      </c>
      <c r="G2249" s="27" t="s">
        <v>5784</v>
      </c>
      <c r="H2249" s="27" t="s">
        <v>95</v>
      </c>
      <c r="I2249">
        <v>1</v>
      </c>
    </row>
    <row r="2250" spans="1:9">
      <c r="A2250" t="s">
        <v>2665</v>
      </c>
      <c r="B2250" s="27" t="s">
        <v>3229</v>
      </c>
      <c r="C2250" s="27" t="s">
        <v>5775</v>
      </c>
      <c r="D2250">
        <f>VLOOKUP(tblTargetMedicos[[#This Row],[codigo_id]],[1]DIM_REPRESENTANTE_MEDICO!$C:$F,4,0)</f>
        <v>8</v>
      </c>
      <c r="E2250">
        <f>VLOOKUP(tblTargetMedicos[[#This Row],[codigo_id]],[1]DIM_REPRESENTANTE_MEDICO!$C:$F,3,0)</f>
        <v>2</v>
      </c>
      <c r="F2250" s="27" t="s">
        <v>5796</v>
      </c>
      <c r="G2250" s="27" t="s">
        <v>5779</v>
      </c>
      <c r="H2250" s="27" t="s">
        <v>97</v>
      </c>
      <c r="I2250">
        <v>1</v>
      </c>
    </row>
    <row r="2251" spans="1:9">
      <c r="A2251" t="s">
        <v>2666</v>
      </c>
      <c r="B2251" s="27" t="s">
        <v>3229</v>
      </c>
      <c r="C2251" s="27" t="s">
        <v>5775</v>
      </c>
      <c r="D2251">
        <f>VLOOKUP(tblTargetMedicos[[#This Row],[codigo_id]],[1]DIM_REPRESENTANTE_MEDICO!$C:$F,4,0)</f>
        <v>8</v>
      </c>
      <c r="E2251">
        <f>VLOOKUP(tblTargetMedicos[[#This Row],[codigo_id]],[1]DIM_REPRESENTANTE_MEDICO!$C:$F,3,0)</f>
        <v>2</v>
      </c>
      <c r="F2251" s="27" t="s">
        <v>5796</v>
      </c>
      <c r="G2251" s="27" t="s">
        <v>5779</v>
      </c>
      <c r="H2251" s="27" t="s">
        <v>97</v>
      </c>
      <c r="I2251">
        <v>1</v>
      </c>
    </row>
    <row r="2252" spans="1:9">
      <c r="A2252" t="s">
        <v>2667</v>
      </c>
      <c r="B2252" s="27" t="s">
        <v>3229</v>
      </c>
      <c r="C2252" s="27" t="s">
        <v>5775</v>
      </c>
      <c r="D2252">
        <f>VLOOKUP(tblTargetMedicos[[#This Row],[codigo_id]],[1]DIM_REPRESENTANTE_MEDICO!$C:$F,4,0)</f>
        <v>8</v>
      </c>
      <c r="E2252">
        <f>VLOOKUP(tblTargetMedicos[[#This Row],[codigo_id]],[1]DIM_REPRESENTANTE_MEDICO!$C:$F,3,0)</f>
        <v>2</v>
      </c>
      <c r="F2252" s="27" t="s">
        <v>5796</v>
      </c>
      <c r="G2252" s="27" t="s">
        <v>5783</v>
      </c>
      <c r="H2252" s="27" t="s">
        <v>97</v>
      </c>
      <c r="I2252">
        <v>1</v>
      </c>
    </row>
    <row r="2253" spans="1:9">
      <c r="A2253" t="s">
        <v>2668</v>
      </c>
      <c r="B2253" s="27" t="s">
        <v>3229</v>
      </c>
      <c r="C2253" s="27" t="s">
        <v>5775</v>
      </c>
      <c r="D2253">
        <f>VLOOKUP(tblTargetMedicos[[#This Row],[codigo_id]],[1]DIM_REPRESENTANTE_MEDICO!$C:$F,4,0)</f>
        <v>8</v>
      </c>
      <c r="E2253">
        <f>VLOOKUP(tblTargetMedicos[[#This Row],[codigo_id]],[1]DIM_REPRESENTANTE_MEDICO!$C:$F,3,0)</f>
        <v>2</v>
      </c>
      <c r="F2253" s="27" t="s">
        <v>5796</v>
      </c>
      <c r="G2253" s="27" t="s">
        <v>5783</v>
      </c>
      <c r="H2253" s="27" t="s">
        <v>97</v>
      </c>
      <c r="I2253">
        <v>1</v>
      </c>
    </row>
    <row r="2254" spans="1:9">
      <c r="A2254" t="s">
        <v>2669</v>
      </c>
      <c r="B2254" s="27" t="s">
        <v>3229</v>
      </c>
      <c r="C2254" s="27" t="s">
        <v>5775</v>
      </c>
      <c r="D2254">
        <f>VLOOKUP(tblTargetMedicos[[#This Row],[codigo_id]],[1]DIM_REPRESENTANTE_MEDICO!$C:$F,4,0)</f>
        <v>8</v>
      </c>
      <c r="E2254">
        <f>VLOOKUP(tblTargetMedicos[[#This Row],[codigo_id]],[1]DIM_REPRESENTANTE_MEDICO!$C:$F,3,0)</f>
        <v>2</v>
      </c>
      <c r="F2254" s="27" t="s">
        <v>5796</v>
      </c>
      <c r="G2254" s="27" t="s">
        <v>5783</v>
      </c>
      <c r="H2254" s="27" t="s">
        <v>97</v>
      </c>
      <c r="I2254">
        <v>1</v>
      </c>
    </row>
    <row r="2255" spans="1:9">
      <c r="A2255" t="s">
        <v>2670</v>
      </c>
      <c r="B2255" s="27" t="s">
        <v>3229</v>
      </c>
      <c r="C2255" s="27" t="s">
        <v>5775</v>
      </c>
      <c r="D2255">
        <f>VLOOKUP(tblTargetMedicos[[#This Row],[codigo_id]],[1]DIM_REPRESENTANTE_MEDICO!$C:$F,4,0)</f>
        <v>8</v>
      </c>
      <c r="E2255">
        <f>VLOOKUP(tblTargetMedicos[[#This Row],[codigo_id]],[1]DIM_REPRESENTANTE_MEDICO!$C:$F,3,0)</f>
        <v>2</v>
      </c>
      <c r="F2255" s="27" t="s">
        <v>5796</v>
      </c>
      <c r="G2255" s="27" t="s">
        <v>5786</v>
      </c>
      <c r="H2255" s="27" t="s">
        <v>96</v>
      </c>
      <c r="I2255">
        <v>1</v>
      </c>
    </row>
    <row r="2256" spans="1:9">
      <c r="A2256" t="s">
        <v>2671</v>
      </c>
      <c r="B2256" s="27" t="s">
        <v>3229</v>
      </c>
      <c r="C2256" s="27" t="s">
        <v>5775</v>
      </c>
      <c r="D2256">
        <f>VLOOKUP(tblTargetMedicos[[#This Row],[codigo_id]],[1]DIM_REPRESENTANTE_MEDICO!$C:$F,4,0)</f>
        <v>8</v>
      </c>
      <c r="E2256">
        <f>VLOOKUP(tblTargetMedicos[[#This Row],[codigo_id]],[1]DIM_REPRESENTANTE_MEDICO!$C:$F,3,0)</f>
        <v>2</v>
      </c>
      <c r="F2256" s="27" t="s">
        <v>5796</v>
      </c>
      <c r="G2256" s="27" t="s">
        <v>5785</v>
      </c>
      <c r="H2256" s="27" t="s">
        <v>96</v>
      </c>
      <c r="I2256">
        <v>1</v>
      </c>
    </row>
    <row r="2257" spans="1:9">
      <c r="A2257" t="s">
        <v>2672</v>
      </c>
      <c r="B2257" s="27" t="s">
        <v>3229</v>
      </c>
      <c r="C2257" s="27" t="s">
        <v>5775</v>
      </c>
      <c r="D2257">
        <f>VLOOKUP(tblTargetMedicos[[#This Row],[codigo_id]],[1]DIM_REPRESENTANTE_MEDICO!$C:$F,4,0)</f>
        <v>8</v>
      </c>
      <c r="E2257">
        <f>VLOOKUP(tblTargetMedicos[[#This Row],[codigo_id]],[1]DIM_REPRESENTANTE_MEDICO!$C:$F,3,0)</f>
        <v>2</v>
      </c>
      <c r="F2257" s="27" t="s">
        <v>5796</v>
      </c>
      <c r="G2257" s="27" t="s">
        <v>5783</v>
      </c>
      <c r="H2257" s="27" t="s">
        <v>97</v>
      </c>
      <c r="I2257">
        <v>1</v>
      </c>
    </row>
    <row r="2258" spans="1:9">
      <c r="A2258" t="s">
        <v>2673</v>
      </c>
      <c r="B2258" s="27" t="s">
        <v>3229</v>
      </c>
      <c r="C2258" s="27" t="s">
        <v>5775</v>
      </c>
      <c r="D2258">
        <f>VLOOKUP(tblTargetMedicos[[#This Row],[codigo_id]],[1]DIM_REPRESENTANTE_MEDICO!$C:$F,4,0)</f>
        <v>8</v>
      </c>
      <c r="E2258">
        <f>VLOOKUP(tblTargetMedicos[[#This Row],[codigo_id]],[1]DIM_REPRESENTANTE_MEDICO!$C:$F,3,0)</f>
        <v>2</v>
      </c>
      <c r="F2258" s="27" t="s">
        <v>5796</v>
      </c>
      <c r="G2258" s="27" t="s">
        <v>5785</v>
      </c>
      <c r="H2258" s="27" t="s">
        <v>96</v>
      </c>
      <c r="I2258">
        <v>1</v>
      </c>
    </row>
    <row r="2259" spans="1:9">
      <c r="A2259" t="s">
        <v>2674</v>
      </c>
      <c r="B2259" s="27" t="s">
        <v>3229</v>
      </c>
      <c r="C2259" s="27" t="s">
        <v>5775</v>
      </c>
      <c r="D2259">
        <f>VLOOKUP(tblTargetMedicos[[#This Row],[codigo_id]],[1]DIM_REPRESENTANTE_MEDICO!$C:$F,4,0)</f>
        <v>8</v>
      </c>
      <c r="E2259">
        <f>VLOOKUP(tblTargetMedicos[[#This Row],[codigo_id]],[1]DIM_REPRESENTANTE_MEDICO!$C:$F,3,0)</f>
        <v>2</v>
      </c>
      <c r="F2259" s="27" t="s">
        <v>5796</v>
      </c>
      <c r="G2259" s="27" t="s">
        <v>5782</v>
      </c>
      <c r="H2259" s="27" t="s">
        <v>96</v>
      </c>
      <c r="I2259">
        <v>1</v>
      </c>
    </row>
    <row r="2260" spans="1:9">
      <c r="A2260" t="s">
        <v>2675</v>
      </c>
      <c r="B2260" s="27" t="s">
        <v>3229</v>
      </c>
      <c r="C2260" s="27" t="s">
        <v>5775</v>
      </c>
      <c r="D2260">
        <f>VLOOKUP(tblTargetMedicos[[#This Row],[codigo_id]],[1]DIM_REPRESENTANTE_MEDICO!$C:$F,4,0)</f>
        <v>8</v>
      </c>
      <c r="E2260">
        <f>VLOOKUP(tblTargetMedicos[[#This Row],[codigo_id]],[1]DIM_REPRESENTANTE_MEDICO!$C:$F,3,0)</f>
        <v>2</v>
      </c>
      <c r="F2260" s="27" t="s">
        <v>5796</v>
      </c>
      <c r="G2260" s="27" t="s">
        <v>5779</v>
      </c>
      <c r="H2260" s="27" t="s">
        <v>96</v>
      </c>
      <c r="I2260">
        <v>1</v>
      </c>
    </row>
    <row r="2261" spans="1:9">
      <c r="A2261" t="s">
        <v>2676</v>
      </c>
      <c r="B2261" s="27" t="s">
        <v>3229</v>
      </c>
      <c r="C2261" s="27" t="s">
        <v>5775</v>
      </c>
      <c r="D2261">
        <f>VLOOKUP(tblTargetMedicos[[#This Row],[codigo_id]],[1]DIM_REPRESENTANTE_MEDICO!$C:$F,4,0)</f>
        <v>8</v>
      </c>
      <c r="E2261">
        <f>VLOOKUP(tblTargetMedicos[[#This Row],[codigo_id]],[1]DIM_REPRESENTANTE_MEDICO!$C:$F,3,0)</f>
        <v>2</v>
      </c>
      <c r="F2261" s="27" t="s">
        <v>5796</v>
      </c>
      <c r="G2261" s="27" t="s">
        <v>5784</v>
      </c>
      <c r="H2261" s="27" t="s">
        <v>96</v>
      </c>
      <c r="I2261">
        <v>1</v>
      </c>
    </row>
    <row r="2262" spans="1:9">
      <c r="A2262" t="s">
        <v>2677</v>
      </c>
      <c r="B2262" s="27" t="s">
        <v>3229</v>
      </c>
      <c r="C2262" s="27" t="s">
        <v>5775</v>
      </c>
      <c r="D2262">
        <f>VLOOKUP(tblTargetMedicos[[#This Row],[codigo_id]],[1]DIM_REPRESENTANTE_MEDICO!$C:$F,4,0)</f>
        <v>8</v>
      </c>
      <c r="E2262">
        <f>VLOOKUP(tblTargetMedicos[[#This Row],[codigo_id]],[1]DIM_REPRESENTANTE_MEDICO!$C:$F,3,0)</f>
        <v>2</v>
      </c>
      <c r="F2262" s="27" t="s">
        <v>5796</v>
      </c>
      <c r="G2262" s="27" t="s">
        <v>5782</v>
      </c>
      <c r="H2262" s="27" t="s">
        <v>97</v>
      </c>
      <c r="I2262">
        <v>1</v>
      </c>
    </row>
    <row r="2263" spans="1:9">
      <c r="A2263" t="s">
        <v>2678</v>
      </c>
      <c r="B2263" s="27" t="s">
        <v>3229</v>
      </c>
      <c r="C2263" s="27" t="s">
        <v>5775</v>
      </c>
      <c r="D2263">
        <f>VLOOKUP(tblTargetMedicos[[#This Row],[codigo_id]],[1]DIM_REPRESENTANTE_MEDICO!$C:$F,4,0)</f>
        <v>8</v>
      </c>
      <c r="E2263">
        <f>VLOOKUP(tblTargetMedicos[[#This Row],[codigo_id]],[1]DIM_REPRESENTANTE_MEDICO!$C:$F,3,0)</f>
        <v>2</v>
      </c>
      <c r="F2263" s="27" t="s">
        <v>5796</v>
      </c>
      <c r="G2263" s="27" t="s">
        <v>5784</v>
      </c>
      <c r="H2263" s="27" t="s">
        <v>96</v>
      </c>
      <c r="I2263">
        <v>1</v>
      </c>
    </row>
    <row r="2264" spans="1:9">
      <c r="A2264" t="s">
        <v>2679</v>
      </c>
      <c r="B2264" s="27" t="s">
        <v>3229</v>
      </c>
      <c r="C2264" s="27" t="s">
        <v>5775</v>
      </c>
      <c r="D2264">
        <f>VLOOKUP(tblTargetMedicos[[#This Row],[codigo_id]],[1]DIM_REPRESENTANTE_MEDICO!$C:$F,4,0)</f>
        <v>8</v>
      </c>
      <c r="E2264">
        <f>VLOOKUP(tblTargetMedicos[[#This Row],[codigo_id]],[1]DIM_REPRESENTANTE_MEDICO!$C:$F,3,0)</f>
        <v>2</v>
      </c>
      <c r="F2264" s="27" t="s">
        <v>5796</v>
      </c>
      <c r="G2264" s="27" t="s">
        <v>5785</v>
      </c>
      <c r="H2264" s="27" t="s">
        <v>97</v>
      </c>
      <c r="I2264">
        <v>1</v>
      </c>
    </row>
    <row r="2265" spans="1:9">
      <c r="A2265" t="s">
        <v>2680</v>
      </c>
      <c r="B2265" s="27" t="s">
        <v>3229</v>
      </c>
      <c r="C2265" s="27" t="s">
        <v>5775</v>
      </c>
      <c r="D2265">
        <f>VLOOKUP(tblTargetMedicos[[#This Row],[codigo_id]],[1]DIM_REPRESENTANTE_MEDICO!$C:$F,4,0)</f>
        <v>8</v>
      </c>
      <c r="E2265">
        <f>VLOOKUP(tblTargetMedicos[[#This Row],[codigo_id]],[1]DIM_REPRESENTANTE_MEDICO!$C:$F,3,0)</f>
        <v>2</v>
      </c>
      <c r="F2265" s="27" t="s">
        <v>5796</v>
      </c>
      <c r="G2265" s="27" t="s">
        <v>5787</v>
      </c>
      <c r="H2265" s="27" t="s">
        <v>5793</v>
      </c>
      <c r="I2265">
        <v>1</v>
      </c>
    </row>
    <row r="2266" spans="1:9">
      <c r="A2266" t="s">
        <v>2681</v>
      </c>
      <c r="B2266" s="27" t="s">
        <v>3229</v>
      </c>
      <c r="C2266" s="27" t="s">
        <v>5775</v>
      </c>
      <c r="D2266">
        <f>VLOOKUP(tblTargetMedicos[[#This Row],[codigo_id]],[1]DIM_REPRESENTANTE_MEDICO!$C:$F,4,0)</f>
        <v>8</v>
      </c>
      <c r="E2266">
        <f>VLOOKUP(tblTargetMedicos[[#This Row],[codigo_id]],[1]DIM_REPRESENTANTE_MEDICO!$C:$F,3,0)</f>
        <v>2</v>
      </c>
      <c r="F2266" s="27" t="s">
        <v>5796</v>
      </c>
      <c r="G2266" s="27" t="s">
        <v>5786</v>
      </c>
      <c r="H2266" s="27" t="s">
        <v>96</v>
      </c>
      <c r="I2266">
        <v>1</v>
      </c>
    </row>
    <row r="2267" spans="1:9">
      <c r="A2267" t="s">
        <v>2682</v>
      </c>
      <c r="B2267" s="27" t="s">
        <v>3229</v>
      </c>
      <c r="C2267" s="27" t="s">
        <v>5775</v>
      </c>
      <c r="D2267">
        <f>VLOOKUP(tblTargetMedicos[[#This Row],[codigo_id]],[1]DIM_REPRESENTANTE_MEDICO!$C:$F,4,0)</f>
        <v>8</v>
      </c>
      <c r="E2267">
        <f>VLOOKUP(tblTargetMedicos[[#This Row],[codigo_id]],[1]DIM_REPRESENTANTE_MEDICO!$C:$F,3,0)</f>
        <v>2</v>
      </c>
      <c r="F2267" s="27" t="s">
        <v>5796</v>
      </c>
      <c r="G2267" s="27" t="s">
        <v>5783</v>
      </c>
      <c r="H2267" s="27" t="s">
        <v>96</v>
      </c>
      <c r="I2267">
        <v>1</v>
      </c>
    </row>
    <row r="2268" spans="1:9">
      <c r="A2268" t="s">
        <v>2683</v>
      </c>
      <c r="B2268" s="27" t="s">
        <v>3229</v>
      </c>
      <c r="C2268" s="27" t="s">
        <v>5775</v>
      </c>
      <c r="D2268">
        <f>VLOOKUP(tblTargetMedicos[[#This Row],[codigo_id]],[1]DIM_REPRESENTANTE_MEDICO!$C:$F,4,0)</f>
        <v>8</v>
      </c>
      <c r="E2268">
        <f>VLOOKUP(tblTargetMedicos[[#This Row],[codigo_id]],[1]DIM_REPRESENTANTE_MEDICO!$C:$F,3,0)</f>
        <v>2</v>
      </c>
      <c r="F2268" s="27" t="s">
        <v>5796</v>
      </c>
      <c r="G2268" s="27" t="s">
        <v>5779</v>
      </c>
      <c r="H2268" s="27" t="s">
        <v>96</v>
      </c>
      <c r="I2268">
        <v>1</v>
      </c>
    </row>
    <row r="2269" spans="1:9">
      <c r="A2269" t="s">
        <v>2684</v>
      </c>
      <c r="B2269" s="27" t="s">
        <v>3229</v>
      </c>
      <c r="C2269" s="27" t="s">
        <v>5775</v>
      </c>
      <c r="D2269">
        <f>VLOOKUP(tblTargetMedicos[[#This Row],[codigo_id]],[1]DIM_REPRESENTANTE_MEDICO!$C:$F,4,0)</f>
        <v>8</v>
      </c>
      <c r="E2269">
        <f>VLOOKUP(tblTargetMedicos[[#This Row],[codigo_id]],[1]DIM_REPRESENTANTE_MEDICO!$C:$F,3,0)</f>
        <v>2</v>
      </c>
      <c r="F2269" s="27" t="s">
        <v>5796</v>
      </c>
      <c r="G2269" s="27" t="s">
        <v>5785</v>
      </c>
      <c r="H2269" s="27" t="s">
        <v>96</v>
      </c>
      <c r="I2269">
        <v>1</v>
      </c>
    </row>
    <row r="2270" spans="1:9">
      <c r="A2270" t="s">
        <v>2685</v>
      </c>
      <c r="B2270" s="27" t="s">
        <v>3229</v>
      </c>
      <c r="C2270" s="27" t="s">
        <v>5775</v>
      </c>
      <c r="D2270">
        <f>VLOOKUP(tblTargetMedicos[[#This Row],[codigo_id]],[1]DIM_REPRESENTANTE_MEDICO!$C:$F,4,0)</f>
        <v>8</v>
      </c>
      <c r="E2270">
        <f>VLOOKUP(tblTargetMedicos[[#This Row],[codigo_id]],[1]DIM_REPRESENTANTE_MEDICO!$C:$F,3,0)</f>
        <v>2</v>
      </c>
      <c r="F2270" s="27" t="s">
        <v>5796</v>
      </c>
      <c r="G2270" s="27" t="s">
        <v>5784</v>
      </c>
      <c r="H2270" s="27" t="s">
        <v>97</v>
      </c>
      <c r="I2270">
        <v>1</v>
      </c>
    </row>
    <row r="2271" spans="1:9">
      <c r="A2271" t="s">
        <v>2686</v>
      </c>
      <c r="B2271" s="27" t="s">
        <v>3229</v>
      </c>
      <c r="C2271" s="27" t="s">
        <v>5775</v>
      </c>
      <c r="D2271">
        <f>VLOOKUP(tblTargetMedicos[[#This Row],[codigo_id]],[1]DIM_REPRESENTANTE_MEDICO!$C:$F,4,0)</f>
        <v>8</v>
      </c>
      <c r="E2271">
        <f>VLOOKUP(tblTargetMedicos[[#This Row],[codigo_id]],[1]DIM_REPRESENTANTE_MEDICO!$C:$F,3,0)</f>
        <v>2</v>
      </c>
      <c r="F2271" s="27" t="s">
        <v>5796</v>
      </c>
      <c r="G2271" s="27" t="s">
        <v>5783</v>
      </c>
      <c r="H2271" s="27" t="s">
        <v>96</v>
      </c>
      <c r="I2271">
        <v>1</v>
      </c>
    </row>
    <row r="2272" spans="1:9">
      <c r="A2272" t="s">
        <v>2687</v>
      </c>
      <c r="B2272" s="27" t="s">
        <v>3229</v>
      </c>
      <c r="C2272" s="27" t="s">
        <v>5775</v>
      </c>
      <c r="D2272">
        <f>VLOOKUP(tblTargetMedicos[[#This Row],[codigo_id]],[1]DIM_REPRESENTANTE_MEDICO!$C:$F,4,0)</f>
        <v>8</v>
      </c>
      <c r="E2272">
        <f>VLOOKUP(tblTargetMedicos[[#This Row],[codigo_id]],[1]DIM_REPRESENTANTE_MEDICO!$C:$F,3,0)</f>
        <v>2</v>
      </c>
      <c r="F2272" s="27" t="s">
        <v>5796</v>
      </c>
      <c r="G2272" s="27" t="s">
        <v>5790</v>
      </c>
      <c r="H2272" s="27" t="s">
        <v>97</v>
      </c>
      <c r="I2272">
        <v>1</v>
      </c>
    </row>
    <row r="2273" spans="1:9">
      <c r="A2273" t="s">
        <v>2688</v>
      </c>
      <c r="B2273" s="27" t="s">
        <v>3229</v>
      </c>
      <c r="C2273" s="27" t="s">
        <v>5775</v>
      </c>
      <c r="D2273">
        <f>VLOOKUP(tblTargetMedicos[[#This Row],[codigo_id]],[1]DIM_REPRESENTANTE_MEDICO!$C:$F,4,0)</f>
        <v>8</v>
      </c>
      <c r="E2273">
        <f>VLOOKUP(tblTargetMedicos[[#This Row],[codigo_id]],[1]DIM_REPRESENTANTE_MEDICO!$C:$F,3,0)</f>
        <v>2</v>
      </c>
      <c r="F2273" s="27" t="s">
        <v>5796</v>
      </c>
      <c r="G2273" s="27" t="s">
        <v>5782</v>
      </c>
      <c r="H2273" s="27" t="s">
        <v>96</v>
      </c>
      <c r="I2273">
        <v>1</v>
      </c>
    </row>
    <row r="2274" spans="1:9">
      <c r="A2274" t="s">
        <v>2689</v>
      </c>
      <c r="B2274" s="27" t="s">
        <v>3229</v>
      </c>
      <c r="C2274" s="27" t="s">
        <v>5775</v>
      </c>
      <c r="D2274">
        <f>VLOOKUP(tblTargetMedicos[[#This Row],[codigo_id]],[1]DIM_REPRESENTANTE_MEDICO!$C:$F,4,0)</f>
        <v>8</v>
      </c>
      <c r="E2274">
        <f>VLOOKUP(tblTargetMedicos[[#This Row],[codigo_id]],[1]DIM_REPRESENTANTE_MEDICO!$C:$F,3,0)</f>
        <v>2</v>
      </c>
      <c r="F2274" s="27" t="s">
        <v>5796</v>
      </c>
      <c r="G2274" s="27" t="s">
        <v>5784</v>
      </c>
      <c r="H2274" s="27" t="s">
        <v>96</v>
      </c>
      <c r="I2274">
        <v>1</v>
      </c>
    </row>
    <row r="2275" spans="1:9">
      <c r="A2275" t="s">
        <v>2690</v>
      </c>
      <c r="B2275" s="27" t="s">
        <v>3229</v>
      </c>
      <c r="C2275" s="27" t="s">
        <v>5775</v>
      </c>
      <c r="D2275">
        <f>VLOOKUP(tblTargetMedicos[[#This Row],[codigo_id]],[1]DIM_REPRESENTANTE_MEDICO!$C:$F,4,0)</f>
        <v>8</v>
      </c>
      <c r="E2275">
        <f>VLOOKUP(tblTargetMedicos[[#This Row],[codigo_id]],[1]DIM_REPRESENTANTE_MEDICO!$C:$F,3,0)</f>
        <v>2</v>
      </c>
      <c r="F2275" s="27" t="s">
        <v>5796</v>
      </c>
      <c r="G2275" s="27" t="s">
        <v>5788</v>
      </c>
      <c r="H2275" s="27" t="s">
        <v>96</v>
      </c>
      <c r="I2275">
        <v>1</v>
      </c>
    </row>
    <row r="2276" spans="1:9">
      <c r="A2276" t="s">
        <v>2691</v>
      </c>
      <c r="B2276" s="27" t="s">
        <v>3229</v>
      </c>
      <c r="C2276" s="27" t="s">
        <v>5775</v>
      </c>
      <c r="D2276">
        <f>VLOOKUP(tblTargetMedicos[[#This Row],[codigo_id]],[1]DIM_REPRESENTANTE_MEDICO!$C:$F,4,0)</f>
        <v>8</v>
      </c>
      <c r="E2276">
        <f>VLOOKUP(tblTargetMedicos[[#This Row],[codigo_id]],[1]DIM_REPRESENTANTE_MEDICO!$C:$F,3,0)</f>
        <v>2</v>
      </c>
      <c r="F2276" s="27" t="s">
        <v>5796</v>
      </c>
      <c r="G2276" s="27" t="s">
        <v>5785</v>
      </c>
      <c r="H2276" s="27" t="s">
        <v>96</v>
      </c>
      <c r="I2276">
        <v>1</v>
      </c>
    </row>
    <row r="2277" spans="1:9">
      <c r="A2277" t="s">
        <v>2692</v>
      </c>
      <c r="B2277" s="27" t="s">
        <v>3229</v>
      </c>
      <c r="C2277" s="27" t="s">
        <v>5775</v>
      </c>
      <c r="D2277">
        <f>VLOOKUP(tblTargetMedicos[[#This Row],[codigo_id]],[1]DIM_REPRESENTANTE_MEDICO!$C:$F,4,0)</f>
        <v>8</v>
      </c>
      <c r="E2277">
        <f>VLOOKUP(tblTargetMedicos[[#This Row],[codigo_id]],[1]DIM_REPRESENTANTE_MEDICO!$C:$F,3,0)</f>
        <v>2</v>
      </c>
      <c r="F2277" s="27" t="s">
        <v>5796</v>
      </c>
      <c r="G2277" s="27" t="s">
        <v>5784</v>
      </c>
      <c r="H2277" s="27" t="s">
        <v>96</v>
      </c>
      <c r="I2277">
        <v>1</v>
      </c>
    </row>
    <row r="2278" spans="1:9">
      <c r="A2278" t="s">
        <v>2693</v>
      </c>
      <c r="B2278" s="27" t="s">
        <v>3229</v>
      </c>
      <c r="C2278" s="27" t="s">
        <v>5775</v>
      </c>
      <c r="D2278">
        <f>VLOOKUP(tblTargetMedicos[[#This Row],[codigo_id]],[1]DIM_REPRESENTANTE_MEDICO!$C:$F,4,0)</f>
        <v>8</v>
      </c>
      <c r="E2278">
        <f>VLOOKUP(tblTargetMedicos[[#This Row],[codigo_id]],[1]DIM_REPRESENTANTE_MEDICO!$C:$F,3,0)</f>
        <v>2</v>
      </c>
      <c r="F2278" s="27" t="s">
        <v>5796</v>
      </c>
      <c r="G2278" s="27" t="s">
        <v>5786</v>
      </c>
      <c r="H2278" s="27" t="s">
        <v>96</v>
      </c>
      <c r="I2278">
        <v>1</v>
      </c>
    </row>
    <row r="2279" spans="1:9">
      <c r="A2279" t="s">
        <v>2694</v>
      </c>
      <c r="B2279" s="27" t="s">
        <v>3229</v>
      </c>
      <c r="C2279" s="27" t="s">
        <v>5775</v>
      </c>
      <c r="D2279">
        <f>VLOOKUP(tblTargetMedicos[[#This Row],[codigo_id]],[1]DIM_REPRESENTANTE_MEDICO!$C:$F,4,0)</f>
        <v>8</v>
      </c>
      <c r="E2279">
        <f>VLOOKUP(tblTargetMedicos[[#This Row],[codigo_id]],[1]DIM_REPRESENTANTE_MEDICO!$C:$F,3,0)</f>
        <v>2</v>
      </c>
      <c r="F2279" s="27" t="s">
        <v>5796</v>
      </c>
      <c r="G2279" s="27" t="s">
        <v>5784</v>
      </c>
      <c r="H2279" s="27" t="s">
        <v>97</v>
      </c>
      <c r="I2279">
        <v>1</v>
      </c>
    </row>
    <row r="2280" spans="1:9">
      <c r="A2280" t="s">
        <v>2695</v>
      </c>
      <c r="B2280" s="27" t="s">
        <v>3229</v>
      </c>
      <c r="C2280" s="27" t="s">
        <v>5775</v>
      </c>
      <c r="D2280">
        <f>VLOOKUP(tblTargetMedicos[[#This Row],[codigo_id]],[1]DIM_REPRESENTANTE_MEDICO!$C:$F,4,0)</f>
        <v>8</v>
      </c>
      <c r="E2280">
        <f>VLOOKUP(tblTargetMedicos[[#This Row],[codigo_id]],[1]DIM_REPRESENTANTE_MEDICO!$C:$F,3,0)</f>
        <v>2</v>
      </c>
      <c r="F2280" s="27" t="s">
        <v>5796</v>
      </c>
      <c r="G2280" s="27" t="s">
        <v>5786</v>
      </c>
      <c r="H2280" s="27" t="s">
        <v>97</v>
      </c>
      <c r="I2280">
        <v>1</v>
      </c>
    </row>
    <row r="2281" spans="1:9">
      <c r="A2281" t="s">
        <v>2696</v>
      </c>
      <c r="B2281" s="27" t="s">
        <v>3229</v>
      </c>
      <c r="C2281" s="27" t="s">
        <v>5775</v>
      </c>
      <c r="D2281">
        <f>VLOOKUP(tblTargetMedicos[[#This Row],[codigo_id]],[1]DIM_REPRESENTANTE_MEDICO!$C:$F,4,0)</f>
        <v>8</v>
      </c>
      <c r="E2281">
        <f>VLOOKUP(tblTargetMedicos[[#This Row],[codigo_id]],[1]DIM_REPRESENTANTE_MEDICO!$C:$F,3,0)</f>
        <v>2</v>
      </c>
      <c r="F2281" s="27" t="s">
        <v>5796</v>
      </c>
      <c r="G2281" s="27" t="s">
        <v>5782</v>
      </c>
      <c r="H2281" s="27" t="s">
        <v>97</v>
      </c>
      <c r="I2281">
        <v>1</v>
      </c>
    </row>
    <row r="2282" spans="1:9">
      <c r="A2282" t="s">
        <v>2697</v>
      </c>
      <c r="B2282" s="27" t="s">
        <v>3229</v>
      </c>
      <c r="C2282" s="27" t="s">
        <v>5775</v>
      </c>
      <c r="D2282">
        <f>VLOOKUP(tblTargetMedicos[[#This Row],[codigo_id]],[1]DIM_REPRESENTANTE_MEDICO!$C:$F,4,0)</f>
        <v>8</v>
      </c>
      <c r="E2282">
        <f>VLOOKUP(tblTargetMedicos[[#This Row],[codigo_id]],[1]DIM_REPRESENTANTE_MEDICO!$C:$F,3,0)</f>
        <v>2</v>
      </c>
      <c r="F2282" s="27" t="s">
        <v>5796</v>
      </c>
      <c r="G2282" s="27" t="s">
        <v>5781</v>
      </c>
      <c r="H2282" s="27" t="s">
        <v>96</v>
      </c>
      <c r="I2282">
        <v>1</v>
      </c>
    </row>
    <row r="2283" spans="1:9">
      <c r="A2283" t="s">
        <v>2698</v>
      </c>
      <c r="B2283" s="27" t="s">
        <v>3229</v>
      </c>
      <c r="C2283" s="27" t="s">
        <v>5775</v>
      </c>
      <c r="D2283">
        <f>VLOOKUP(tblTargetMedicos[[#This Row],[codigo_id]],[1]DIM_REPRESENTANTE_MEDICO!$C:$F,4,0)</f>
        <v>8</v>
      </c>
      <c r="E2283">
        <f>VLOOKUP(tblTargetMedicos[[#This Row],[codigo_id]],[1]DIM_REPRESENTANTE_MEDICO!$C:$F,3,0)</f>
        <v>2</v>
      </c>
      <c r="F2283" s="27" t="s">
        <v>5796</v>
      </c>
      <c r="G2283" s="27" t="s">
        <v>5786</v>
      </c>
      <c r="H2283" s="27" t="s">
        <v>97</v>
      </c>
      <c r="I2283">
        <v>1</v>
      </c>
    </row>
    <row r="2284" spans="1:9">
      <c r="A2284" t="s">
        <v>2699</v>
      </c>
      <c r="B2284" s="27" t="s">
        <v>3229</v>
      </c>
      <c r="C2284" s="27" t="s">
        <v>5775</v>
      </c>
      <c r="D2284">
        <f>VLOOKUP(tblTargetMedicos[[#This Row],[codigo_id]],[1]DIM_REPRESENTANTE_MEDICO!$C:$F,4,0)</f>
        <v>8</v>
      </c>
      <c r="E2284">
        <f>VLOOKUP(tblTargetMedicos[[#This Row],[codigo_id]],[1]DIM_REPRESENTANTE_MEDICO!$C:$F,3,0)</f>
        <v>2</v>
      </c>
      <c r="F2284" s="27" t="s">
        <v>5796</v>
      </c>
      <c r="G2284" s="27" t="s">
        <v>5782</v>
      </c>
      <c r="H2284" s="27" t="s">
        <v>97</v>
      </c>
      <c r="I2284">
        <v>1</v>
      </c>
    </row>
    <row r="2285" spans="1:9">
      <c r="A2285" t="s">
        <v>2700</v>
      </c>
      <c r="B2285" s="27" t="s">
        <v>3229</v>
      </c>
      <c r="C2285" s="27" t="s">
        <v>5775</v>
      </c>
      <c r="D2285">
        <f>VLOOKUP(tblTargetMedicos[[#This Row],[codigo_id]],[1]DIM_REPRESENTANTE_MEDICO!$C:$F,4,0)</f>
        <v>8</v>
      </c>
      <c r="E2285">
        <f>VLOOKUP(tblTargetMedicos[[#This Row],[codigo_id]],[1]DIM_REPRESENTANTE_MEDICO!$C:$F,3,0)</f>
        <v>2</v>
      </c>
      <c r="F2285" s="27" t="s">
        <v>5796</v>
      </c>
      <c r="G2285" s="27" t="s">
        <v>5781</v>
      </c>
      <c r="H2285" s="27" t="s">
        <v>5793</v>
      </c>
      <c r="I2285">
        <v>1</v>
      </c>
    </row>
    <row r="2286" spans="1:9">
      <c r="A2286" t="s">
        <v>2701</v>
      </c>
      <c r="B2286" s="27" t="s">
        <v>3229</v>
      </c>
      <c r="C2286" s="27" t="s">
        <v>5775</v>
      </c>
      <c r="D2286">
        <f>VLOOKUP(tblTargetMedicos[[#This Row],[codigo_id]],[1]DIM_REPRESENTANTE_MEDICO!$C:$F,4,0)</f>
        <v>8</v>
      </c>
      <c r="E2286">
        <f>VLOOKUP(tblTargetMedicos[[#This Row],[codigo_id]],[1]DIM_REPRESENTANTE_MEDICO!$C:$F,3,0)</f>
        <v>2</v>
      </c>
      <c r="F2286" s="27" t="s">
        <v>5796</v>
      </c>
      <c r="G2286" s="27" t="s">
        <v>5783</v>
      </c>
      <c r="H2286" s="27" t="s">
        <v>96</v>
      </c>
      <c r="I2286">
        <v>1</v>
      </c>
    </row>
    <row r="2287" spans="1:9">
      <c r="A2287" t="s">
        <v>2702</v>
      </c>
      <c r="B2287" s="27" t="s">
        <v>3229</v>
      </c>
      <c r="C2287" s="27" t="s">
        <v>5775</v>
      </c>
      <c r="D2287">
        <f>VLOOKUP(tblTargetMedicos[[#This Row],[codigo_id]],[1]DIM_REPRESENTANTE_MEDICO!$C:$F,4,0)</f>
        <v>8</v>
      </c>
      <c r="E2287">
        <f>VLOOKUP(tblTargetMedicos[[#This Row],[codigo_id]],[1]DIM_REPRESENTANTE_MEDICO!$C:$F,3,0)</f>
        <v>2</v>
      </c>
      <c r="F2287" s="27" t="s">
        <v>5796</v>
      </c>
      <c r="G2287" s="27" t="s">
        <v>5782</v>
      </c>
      <c r="H2287" s="27" t="s">
        <v>97</v>
      </c>
      <c r="I2287">
        <v>1</v>
      </c>
    </row>
    <row r="2288" spans="1:9">
      <c r="A2288" t="s">
        <v>2703</v>
      </c>
      <c r="B2288" s="27" t="s">
        <v>3229</v>
      </c>
      <c r="C2288" s="27" t="s">
        <v>5775</v>
      </c>
      <c r="D2288">
        <f>VLOOKUP(tblTargetMedicos[[#This Row],[codigo_id]],[1]DIM_REPRESENTANTE_MEDICO!$C:$F,4,0)</f>
        <v>8</v>
      </c>
      <c r="E2288">
        <f>VLOOKUP(tblTargetMedicos[[#This Row],[codigo_id]],[1]DIM_REPRESENTANTE_MEDICO!$C:$F,3,0)</f>
        <v>2</v>
      </c>
      <c r="F2288" s="27" t="s">
        <v>5796</v>
      </c>
      <c r="G2288" s="27" t="s">
        <v>5782</v>
      </c>
      <c r="H2288" s="27" t="s">
        <v>97</v>
      </c>
      <c r="I2288">
        <v>1</v>
      </c>
    </row>
    <row r="2289" spans="1:9">
      <c r="A2289" t="s">
        <v>2704</v>
      </c>
      <c r="B2289" s="27" t="s">
        <v>3229</v>
      </c>
      <c r="C2289" s="27" t="s">
        <v>5775</v>
      </c>
      <c r="D2289">
        <f>VLOOKUP(tblTargetMedicos[[#This Row],[codigo_id]],[1]DIM_REPRESENTANTE_MEDICO!$C:$F,4,0)</f>
        <v>8</v>
      </c>
      <c r="E2289">
        <f>VLOOKUP(tblTargetMedicos[[#This Row],[codigo_id]],[1]DIM_REPRESENTANTE_MEDICO!$C:$F,3,0)</f>
        <v>2</v>
      </c>
      <c r="F2289" s="27" t="s">
        <v>5796</v>
      </c>
      <c r="G2289" s="27" t="s">
        <v>5785</v>
      </c>
      <c r="H2289" s="27" t="s">
        <v>96</v>
      </c>
      <c r="I2289">
        <v>1</v>
      </c>
    </row>
    <row r="2290" spans="1:9">
      <c r="A2290" t="s">
        <v>2705</v>
      </c>
      <c r="B2290" s="27" t="s">
        <v>3229</v>
      </c>
      <c r="C2290" s="27" t="s">
        <v>5775</v>
      </c>
      <c r="D2290">
        <f>VLOOKUP(tblTargetMedicos[[#This Row],[codigo_id]],[1]DIM_REPRESENTANTE_MEDICO!$C:$F,4,0)</f>
        <v>8</v>
      </c>
      <c r="E2290">
        <f>VLOOKUP(tblTargetMedicos[[#This Row],[codigo_id]],[1]DIM_REPRESENTANTE_MEDICO!$C:$F,3,0)</f>
        <v>2</v>
      </c>
      <c r="F2290" s="27" t="s">
        <v>5796</v>
      </c>
      <c r="G2290" s="27" t="s">
        <v>5783</v>
      </c>
      <c r="H2290" s="27" t="s">
        <v>96</v>
      </c>
      <c r="I2290">
        <v>1</v>
      </c>
    </row>
    <row r="2291" spans="1:9">
      <c r="A2291" t="s">
        <v>2706</v>
      </c>
      <c r="B2291" s="27" t="s">
        <v>3229</v>
      </c>
      <c r="C2291" s="27" t="s">
        <v>5775</v>
      </c>
      <c r="D2291">
        <f>VLOOKUP(tblTargetMedicos[[#This Row],[codigo_id]],[1]DIM_REPRESENTANTE_MEDICO!$C:$F,4,0)</f>
        <v>8</v>
      </c>
      <c r="E2291">
        <f>VLOOKUP(tblTargetMedicos[[#This Row],[codigo_id]],[1]DIM_REPRESENTANTE_MEDICO!$C:$F,3,0)</f>
        <v>2</v>
      </c>
      <c r="F2291" s="27" t="s">
        <v>5796</v>
      </c>
      <c r="G2291" s="27" t="s">
        <v>5783</v>
      </c>
      <c r="H2291" s="27" t="s">
        <v>96</v>
      </c>
      <c r="I2291">
        <v>1</v>
      </c>
    </row>
    <row r="2292" spans="1:9">
      <c r="A2292" t="s">
        <v>2707</v>
      </c>
      <c r="B2292" s="27" t="s">
        <v>3229</v>
      </c>
      <c r="C2292" s="27" t="s">
        <v>5775</v>
      </c>
      <c r="D2292">
        <f>VLOOKUP(tblTargetMedicos[[#This Row],[codigo_id]],[1]DIM_REPRESENTANTE_MEDICO!$C:$F,4,0)</f>
        <v>8</v>
      </c>
      <c r="E2292">
        <f>VLOOKUP(tblTargetMedicos[[#This Row],[codigo_id]],[1]DIM_REPRESENTANTE_MEDICO!$C:$F,3,0)</f>
        <v>2</v>
      </c>
      <c r="F2292" s="27" t="s">
        <v>5796</v>
      </c>
      <c r="G2292" s="27" t="s">
        <v>5782</v>
      </c>
      <c r="H2292" s="27" t="s">
        <v>96</v>
      </c>
      <c r="I2292">
        <v>1</v>
      </c>
    </row>
    <row r="2293" spans="1:9">
      <c r="A2293" t="s">
        <v>2708</v>
      </c>
      <c r="B2293" s="27" t="s">
        <v>3229</v>
      </c>
      <c r="C2293" s="27" t="s">
        <v>5775</v>
      </c>
      <c r="D2293">
        <f>VLOOKUP(tblTargetMedicos[[#This Row],[codigo_id]],[1]DIM_REPRESENTANTE_MEDICO!$C:$F,4,0)</f>
        <v>8</v>
      </c>
      <c r="E2293">
        <f>VLOOKUP(tblTargetMedicos[[#This Row],[codigo_id]],[1]DIM_REPRESENTANTE_MEDICO!$C:$F,3,0)</f>
        <v>2</v>
      </c>
      <c r="F2293" s="27" t="s">
        <v>5796</v>
      </c>
      <c r="G2293" s="27" t="s">
        <v>5783</v>
      </c>
      <c r="H2293" s="27" t="s">
        <v>96</v>
      </c>
      <c r="I2293">
        <v>1</v>
      </c>
    </row>
    <row r="2294" spans="1:9">
      <c r="A2294" t="s">
        <v>2709</v>
      </c>
      <c r="B2294" s="27" t="s">
        <v>3229</v>
      </c>
      <c r="C2294" s="27" t="s">
        <v>5775</v>
      </c>
      <c r="D2294">
        <f>VLOOKUP(tblTargetMedicos[[#This Row],[codigo_id]],[1]DIM_REPRESENTANTE_MEDICO!$C:$F,4,0)</f>
        <v>8</v>
      </c>
      <c r="E2294">
        <f>VLOOKUP(tblTargetMedicos[[#This Row],[codigo_id]],[1]DIM_REPRESENTANTE_MEDICO!$C:$F,3,0)</f>
        <v>2</v>
      </c>
      <c r="F2294" s="27" t="s">
        <v>5796</v>
      </c>
      <c r="G2294" s="27" t="s">
        <v>5779</v>
      </c>
      <c r="H2294" s="27" t="s">
        <v>96</v>
      </c>
      <c r="I2294">
        <v>1</v>
      </c>
    </row>
    <row r="2295" spans="1:9">
      <c r="A2295" t="s">
        <v>2710</v>
      </c>
      <c r="B2295" s="27" t="s">
        <v>3229</v>
      </c>
      <c r="C2295" s="27" t="s">
        <v>5775</v>
      </c>
      <c r="D2295">
        <f>VLOOKUP(tblTargetMedicos[[#This Row],[codigo_id]],[1]DIM_REPRESENTANTE_MEDICO!$C:$F,4,0)</f>
        <v>8</v>
      </c>
      <c r="E2295">
        <f>VLOOKUP(tblTargetMedicos[[#This Row],[codigo_id]],[1]DIM_REPRESENTANTE_MEDICO!$C:$F,3,0)</f>
        <v>2</v>
      </c>
      <c r="F2295" s="27" t="s">
        <v>5796</v>
      </c>
      <c r="G2295" s="27" t="s">
        <v>5784</v>
      </c>
      <c r="H2295" s="27" t="s">
        <v>96</v>
      </c>
      <c r="I2295">
        <v>1</v>
      </c>
    </row>
    <row r="2296" spans="1:9">
      <c r="A2296" t="s">
        <v>2711</v>
      </c>
      <c r="B2296" s="27" t="s">
        <v>3229</v>
      </c>
      <c r="C2296" s="27" t="s">
        <v>5775</v>
      </c>
      <c r="D2296">
        <f>VLOOKUP(tblTargetMedicos[[#This Row],[codigo_id]],[1]DIM_REPRESENTANTE_MEDICO!$C:$F,4,0)</f>
        <v>8</v>
      </c>
      <c r="E2296">
        <f>VLOOKUP(tblTargetMedicos[[#This Row],[codigo_id]],[1]DIM_REPRESENTANTE_MEDICO!$C:$F,3,0)</f>
        <v>2</v>
      </c>
      <c r="F2296" s="27" t="s">
        <v>5796</v>
      </c>
      <c r="G2296" s="27" t="s">
        <v>5785</v>
      </c>
      <c r="H2296" s="27" t="s">
        <v>96</v>
      </c>
      <c r="I2296">
        <v>1</v>
      </c>
    </row>
    <row r="2297" spans="1:9">
      <c r="A2297" t="s">
        <v>2712</v>
      </c>
      <c r="B2297" s="27" t="s">
        <v>3229</v>
      </c>
      <c r="C2297" s="27" t="s">
        <v>5775</v>
      </c>
      <c r="D2297">
        <f>VLOOKUP(tblTargetMedicos[[#This Row],[codigo_id]],[1]DIM_REPRESENTANTE_MEDICO!$C:$F,4,0)</f>
        <v>8</v>
      </c>
      <c r="E2297">
        <f>VLOOKUP(tblTargetMedicos[[#This Row],[codigo_id]],[1]DIM_REPRESENTANTE_MEDICO!$C:$F,3,0)</f>
        <v>2</v>
      </c>
      <c r="F2297" s="27" t="s">
        <v>5796</v>
      </c>
      <c r="G2297" s="27" t="s">
        <v>5779</v>
      </c>
      <c r="H2297" s="27" t="s">
        <v>96</v>
      </c>
      <c r="I2297">
        <v>1</v>
      </c>
    </row>
    <row r="2298" spans="1:9">
      <c r="A2298" t="s">
        <v>2713</v>
      </c>
      <c r="B2298" s="27" t="s">
        <v>3229</v>
      </c>
      <c r="C2298" s="27" t="s">
        <v>5775</v>
      </c>
      <c r="D2298">
        <f>VLOOKUP(tblTargetMedicos[[#This Row],[codigo_id]],[1]DIM_REPRESENTANTE_MEDICO!$C:$F,4,0)</f>
        <v>8</v>
      </c>
      <c r="E2298">
        <f>VLOOKUP(tblTargetMedicos[[#This Row],[codigo_id]],[1]DIM_REPRESENTANTE_MEDICO!$C:$F,3,0)</f>
        <v>2</v>
      </c>
      <c r="F2298" s="27" t="s">
        <v>5796</v>
      </c>
      <c r="G2298" s="27" t="s">
        <v>5784</v>
      </c>
      <c r="H2298" s="27" t="s">
        <v>97</v>
      </c>
      <c r="I2298">
        <v>1</v>
      </c>
    </row>
    <row r="2299" spans="1:9">
      <c r="A2299" t="s">
        <v>2714</v>
      </c>
      <c r="B2299" s="27" t="s">
        <v>3229</v>
      </c>
      <c r="C2299" s="27" t="s">
        <v>5775</v>
      </c>
      <c r="D2299">
        <f>VLOOKUP(tblTargetMedicos[[#This Row],[codigo_id]],[1]DIM_REPRESENTANTE_MEDICO!$C:$F,4,0)</f>
        <v>8</v>
      </c>
      <c r="E2299">
        <f>VLOOKUP(tblTargetMedicos[[#This Row],[codigo_id]],[1]DIM_REPRESENTANTE_MEDICO!$C:$F,3,0)</f>
        <v>2</v>
      </c>
      <c r="F2299" s="27" t="s">
        <v>5796</v>
      </c>
      <c r="G2299" s="27" t="s">
        <v>5784</v>
      </c>
      <c r="H2299" s="27" t="s">
        <v>96</v>
      </c>
      <c r="I2299">
        <v>1</v>
      </c>
    </row>
    <row r="2300" spans="1:9">
      <c r="A2300" t="s">
        <v>2715</v>
      </c>
      <c r="B2300" s="27" t="s">
        <v>3229</v>
      </c>
      <c r="C2300" s="27" t="s">
        <v>5775</v>
      </c>
      <c r="D2300">
        <f>VLOOKUP(tblTargetMedicos[[#This Row],[codigo_id]],[1]DIM_REPRESENTANTE_MEDICO!$C:$F,4,0)</f>
        <v>8</v>
      </c>
      <c r="E2300">
        <f>VLOOKUP(tblTargetMedicos[[#This Row],[codigo_id]],[1]DIM_REPRESENTANTE_MEDICO!$C:$F,3,0)</f>
        <v>2</v>
      </c>
      <c r="F2300" s="27" t="s">
        <v>5796</v>
      </c>
      <c r="G2300" s="27" t="s">
        <v>5779</v>
      </c>
      <c r="H2300" s="27" t="s">
        <v>97</v>
      </c>
      <c r="I2300">
        <v>1</v>
      </c>
    </row>
    <row r="2301" spans="1:9">
      <c r="A2301" t="s">
        <v>2716</v>
      </c>
      <c r="B2301" s="27" t="s">
        <v>3229</v>
      </c>
      <c r="C2301" s="27" t="s">
        <v>5775</v>
      </c>
      <c r="D2301">
        <f>VLOOKUP(tblTargetMedicos[[#This Row],[codigo_id]],[1]DIM_REPRESENTANTE_MEDICO!$C:$F,4,0)</f>
        <v>8</v>
      </c>
      <c r="E2301">
        <f>VLOOKUP(tblTargetMedicos[[#This Row],[codigo_id]],[1]DIM_REPRESENTANTE_MEDICO!$C:$F,3,0)</f>
        <v>2</v>
      </c>
      <c r="F2301" s="27" t="s">
        <v>5796</v>
      </c>
      <c r="G2301" s="27" t="s">
        <v>5784</v>
      </c>
      <c r="H2301" s="27" t="s">
        <v>97</v>
      </c>
      <c r="I2301">
        <v>1</v>
      </c>
    </row>
    <row r="2302" spans="1:9">
      <c r="A2302" t="s">
        <v>2717</v>
      </c>
      <c r="B2302" s="27" t="s">
        <v>3229</v>
      </c>
      <c r="C2302" s="27" t="s">
        <v>5775</v>
      </c>
      <c r="D2302">
        <f>VLOOKUP(tblTargetMedicos[[#This Row],[codigo_id]],[1]DIM_REPRESENTANTE_MEDICO!$C:$F,4,0)</f>
        <v>8</v>
      </c>
      <c r="E2302">
        <f>VLOOKUP(tblTargetMedicos[[#This Row],[codigo_id]],[1]DIM_REPRESENTANTE_MEDICO!$C:$F,3,0)</f>
        <v>2</v>
      </c>
      <c r="F2302" s="27" t="s">
        <v>5796</v>
      </c>
      <c r="G2302" s="27" t="s">
        <v>5783</v>
      </c>
      <c r="H2302" s="27" t="s">
        <v>97</v>
      </c>
      <c r="I2302">
        <v>1</v>
      </c>
    </row>
    <row r="2303" spans="1:9">
      <c r="A2303" t="s">
        <v>2718</v>
      </c>
      <c r="B2303" s="27" t="s">
        <v>3229</v>
      </c>
      <c r="C2303" s="27" t="s">
        <v>5775</v>
      </c>
      <c r="D2303">
        <f>VLOOKUP(tblTargetMedicos[[#This Row],[codigo_id]],[1]DIM_REPRESENTANTE_MEDICO!$C:$F,4,0)</f>
        <v>8</v>
      </c>
      <c r="E2303">
        <f>VLOOKUP(tblTargetMedicos[[#This Row],[codigo_id]],[1]DIM_REPRESENTANTE_MEDICO!$C:$F,3,0)</f>
        <v>2</v>
      </c>
      <c r="F2303" s="27" t="s">
        <v>5796</v>
      </c>
      <c r="G2303" s="27" t="s">
        <v>5783</v>
      </c>
      <c r="H2303" s="27" t="s">
        <v>96</v>
      </c>
      <c r="I2303">
        <v>1</v>
      </c>
    </row>
    <row r="2304" spans="1:9">
      <c r="A2304" t="s">
        <v>2719</v>
      </c>
      <c r="B2304" s="27" t="s">
        <v>3229</v>
      </c>
      <c r="C2304" s="27" t="s">
        <v>5775</v>
      </c>
      <c r="D2304">
        <f>VLOOKUP(tblTargetMedicos[[#This Row],[codigo_id]],[1]DIM_REPRESENTANTE_MEDICO!$C:$F,4,0)</f>
        <v>8</v>
      </c>
      <c r="E2304">
        <f>VLOOKUP(tblTargetMedicos[[#This Row],[codigo_id]],[1]DIM_REPRESENTANTE_MEDICO!$C:$F,3,0)</f>
        <v>2</v>
      </c>
      <c r="F2304" s="27" t="s">
        <v>5796</v>
      </c>
      <c r="G2304" s="27" t="s">
        <v>5782</v>
      </c>
      <c r="H2304" s="27" t="s">
        <v>96</v>
      </c>
      <c r="I2304">
        <v>1</v>
      </c>
    </row>
    <row r="2305" spans="1:9">
      <c r="A2305" t="s">
        <v>2720</v>
      </c>
      <c r="B2305" s="27" t="s">
        <v>3229</v>
      </c>
      <c r="C2305" s="27" t="s">
        <v>5775</v>
      </c>
      <c r="D2305">
        <f>VLOOKUP(tblTargetMedicos[[#This Row],[codigo_id]],[1]DIM_REPRESENTANTE_MEDICO!$C:$F,4,0)</f>
        <v>8</v>
      </c>
      <c r="E2305">
        <f>VLOOKUP(tblTargetMedicos[[#This Row],[codigo_id]],[1]DIM_REPRESENTANTE_MEDICO!$C:$F,3,0)</f>
        <v>2</v>
      </c>
      <c r="F2305" s="27" t="s">
        <v>5796</v>
      </c>
      <c r="G2305" s="27" t="s">
        <v>5779</v>
      </c>
      <c r="H2305" s="27" t="s">
        <v>96</v>
      </c>
      <c r="I2305">
        <v>1</v>
      </c>
    </row>
    <row r="2306" spans="1:9">
      <c r="A2306" t="s">
        <v>2721</v>
      </c>
      <c r="B2306" s="27" t="s">
        <v>3229</v>
      </c>
      <c r="C2306" s="27" t="s">
        <v>5775</v>
      </c>
      <c r="D2306">
        <f>VLOOKUP(tblTargetMedicos[[#This Row],[codigo_id]],[1]DIM_REPRESENTANTE_MEDICO!$C:$F,4,0)</f>
        <v>8</v>
      </c>
      <c r="E2306">
        <f>VLOOKUP(tblTargetMedicos[[#This Row],[codigo_id]],[1]DIM_REPRESENTANTE_MEDICO!$C:$F,3,0)</f>
        <v>2</v>
      </c>
      <c r="F2306" s="27" t="s">
        <v>5796</v>
      </c>
      <c r="G2306" s="27" t="s">
        <v>5786</v>
      </c>
      <c r="H2306" s="27" t="s">
        <v>96</v>
      </c>
      <c r="I2306">
        <v>1</v>
      </c>
    </row>
    <row r="2307" spans="1:9">
      <c r="A2307" t="s">
        <v>2722</v>
      </c>
      <c r="B2307" s="27" t="s">
        <v>3229</v>
      </c>
      <c r="C2307" s="27" t="s">
        <v>5775</v>
      </c>
      <c r="D2307">
        <f>VLOOKUP(tblTargetMedicos[[#This Row],[codigo_id]],[1]DIM_REPRESENTANTE_MEDICO!$C:$F,4,0)</f>
        <v>8</v>
      </c>
      <c r="E2307">
        <f>VLOOKUP(tblTargetMedicos[[#This Row],[codigo_id]],[1]DIM_REPRESENTANTE_MEDICO!$C:$F,3,0)</f>
        <v>2</v>
      </c>
      <c r="F2307" s="27" t="s">
        <v>5796</v>
      </c>
      <c r="G2307" s="27" t="s">
        <v>5787</v>
      </c>
      <c r="H2307" s="27" t="s">
        <v>96</v>
      </c>
      <c r="I2307">
        <v>1</v>
      </c>
    </row>
    <row r="2308" spans="1:9">
      <c r="A2308" t="s">
        <v>2723</v>
      </c>
      <c r="B2308" s="27" t="s">
        <v>3229</v>
      </c>
      <c r="C2308" s="27" t="s">
        <v>5775</v>
      </c>
      <c r="D2308">
        <f>VLOOKUP(tblTargetMedicos[[#This Row],[codigo_id]],[1]DIM_REPRESENTANTE_MEDICO!$C:$F,4,0)</f>
        <v>8</v>
      </c>
      <c r="E2308">
        <f>VLOOKUP(tblTargetMedicos[[#This Row],[codigo_id]],[1]DIM_REPRESENTANTE_MEDICO!$C:$F,3,0)</f>
        <v>2</v>
      </c>
      <c r="F2308" s="27" t="s">
        <v>5796</v>
      </c>
      <c r="G2308" s="27" t="s">
        <v>5782</v>
      </c>
      <c r="H2308" s="27" t="s">
        <v>96</v>
      </c>
      <c r="I2308">
        <v>1</v>
      </c>
    </row>
    <row r="2309" spans="1:9">
      <c r="A2309" t="s">
        <v>2724</v>
      </c>
      <c r="B2309" s="27" t="s">
        <v>3229</v>
      </c>
      <c r="C2309" s="27" t="s">
        <v>5775</v>
      </c>
      <c r="D2309">
        <f>VLOOKUP(tblTargetMedicos[[#This Row],[codigo_id]],[1]DIM_REPRESENTANTE_MEDICO!$C:$F,4,0)</f>
        <v>8</v>
      </c>
      <c r="E2309">
        <f>VLOOKUP(tblTargetMedicos[[#This Row],[codigo_id]],[1]DIM_REPRESENTANTE_MEDICO!$C:$F,3,0)</f>
        <v>2</v>
      </c>
      <c r="F2309" s="27" t="s">
        <v>5796</v>
      </c>
      <c r="G2309" s="27" t="s">
        <v>5786</v>
      </c>
      <c r="H2309" s="27" t="s">
        <v>96</v>
      </c>
      <c r="I2309">
        <v>1</v>
      </c>
    </row>
    <row r="2310" spans="1:9">
      <c r="A2310" t="s">
        <v>2725</v>
      </c>
      <c r="B2310" s="27" t="s">
        <v>3229</v>
      </c>
      <c r="C2310" s="27" t="s">
        <v>5775</v>
      </c>
      <c r="D2310">
        <f>VLOOKUP(tblTargetMedicos[[#This Row],[codigo_id]],[1]DIM_REPRESENTANTE_MEDICO!$C:$F,4,0)</f>
        <v>8</v>
      </c>
      <c r="E2310">
        <f>VLOOKUP(tblTargetMedicos[[#This Row],[codigo_id]],[1]DIM_REPRESENTANTE_MEDICO!$C:$F,3,0)</f>
        <v>2</v>
      </c>
      <c r="F2310" s="27" t="s">
        <v>5796</v>
      </c>
      <c r="G2310" s="27" t="s">
        <v>5785</v>
      </c>
      <c r="H2310" s="27" t="s">
        <v>96</v>
      </c>
      <c r="I2310">
        <v>1</v>
      </c>
    </row>
    <row r="2311" spans="1:9">
      <c r="A2311" t="s">
        <v>2726</v>
      </c>
      <c r="B2311" s="27" t="s">
        <v>3229</v>
      </c>
      <c r="C2311" s="27" t="s">
        <v>5775</v>
      </c>
      <c r="D2311">
        <f>VLOOKUP(tblTargetMedicos[[#This Row],[codigo_id]],[1]DIM_REPRESENTANTE_MEDICO!$C:$F,4,0)</f>
        <v>8</v>
      </c>
      <c r="E2311">
        <f>VLOOKUP(tblTargetMedicos[[#This Row],[codigo_id]],[1]DIM_REPRESENTANTE_MEDICO!$C:$F,3,0)</f>
        <v>2</v>
      </c>
      <c r="F2311" s="27" t="s">
        <v>5796</v>
      </c>
      <c r="G2311" s="27" t="s">
        <v>5782</v>
      </c>
      <c r="H2311" s="27" t="s">
        <v>97</v>
      </c>
      <c r="I2311">
        <v>1</v>
      </c>
    </row>
    <row r="2312" spans="1:9">
      <c r="A2312" t="s">
        <v>2727</v>
      </c>
      <c r="B2312" s="27" t="s">
        <v>3229</v>
      </c>
      <c r="C2312" s="27" t="s">
        <v>5775</v>
      </c>
      <c r="D2312">
        <f>VLOOKUP(tblTargetMedicos[[#This Row],[codigo_id]],[1]DIM_REPRESENTANTE_MEDICO!$C:$F,4,0)</f>
        <v>8</v>
      </c>
      <c r="E2312">
        <f>VLOOKUP(tblTargetMedicos[[#This Row],[codigo_id]],[1]DIM_REPRESENTANTE_MEDICO!$C:$F,3,0)</f>
        <v>2</v>
      </c>
      <c r="F2312" s="27" t="s">
        <v>5796</v>
      </c>
      <c r="G2312" s="27" t="s">
        <v>5784</v>
      </c>
      <c r="H2312" s="27" t="s">
        <v>97</v>
      </c>
      <c r="I2312">
        <v>1</v>
      </c>
    </row>
    <row r="2313" spans="1:9">
      <c r="A2313" t="s">
        <v>2728</v>
      </c>
      <c r="B2313" s="27" t="s">
        <v>3229</v>
      </c>
      <c r="C2313" s="27" t="s">
        <v>5775</v>
      </c>
      <c r="D2313">
        <f>VLOOKUP(tblTargetMedicos[[#This Row],[codigo_id]],[1]DIM_REPRESENTANTE_MEDICO!$C:$F,4,0)</f>
        <v>8</v>
      </c>
      <c r="E2313">
        <f>VLOOKUP(tblTargetMedicos[[#This Row],[codigo_id]],[1]DIM_REPRESENTANTE_MEDICO!$C:$F,3,0)</f>
        <v>2</v>
      </c>
      <c r="F2313" s="27" t="s">
        <v>5796</v>
      </c>
      <c r="G2313" s="27" t="s">
        <v>5785</v>
      </c>
      <c r="H2313" s="27" t="s">
        <v>97</v>
      </c>
      <c r="I2313">
        <v>1</v>
      </c>
    </row>
    <row r="2314" spans="1:9">
      <c r="A2314" t="s">
        <v>2729</v>
      </c>
      <c r="B2314" s="27" t="s">
        <v>3229</v>
      </c>
      <c r="C2314" s="27" t="s">
        <v>5775</v>
      </c>
      <c r="D2314">
        <f>VLOOKUP(tblTargetMedicos[[#This Row],[codigo_id]],[1]DIM_REPRESENTANTE_MEDICO!$C:$F,4,0)</f>
        <v>8</v>
      </c>
      <c r="E2314">
        <f>VLOOKUP(tblTargetMedicos[[#This Row],[codigo_id]],[1]DIM_REPRESENTANTE_MEDICO!$C:$F,3,0)</f>
        <v>2</v>
      </c>
      <c r="F2314" s="27" t="s">
        <v>5796</v>
      </c>
      <c r="G2314" s="27" t="s">
        <v>5784</v>
      </c>
      <c r="H2314" s="27" t="s">
        <v>97</v>
      </c>
      <c r="I2314">
        <v>1</v>
      </c>
    </row>
    <row r="2315" spans="1:9">
      <c r="A2315" t="s">
        <v>2730</v>
      </c>
      <c r="B2315" s="27" t="s">
        <v>3229</v>
      </c>
      <c r="C2315" s="27" t="s">
        <v>5775</v>
      </c>
      <c r="D2315">
        <f>VLOOKUP(tblTargetMedicos[[#This Row],[codigo_id]],[1]DIM_REPRESENTANTE_MEDICO!$C:$F,4,0)</f>
        <v>8</v>
      </c>
      <c r="E2315">
        <f>VLOOKUP(tblTargetMedicos[[#This Row],[codigo_id]],[1]DIM_REPRESENTANTE_MEDICO!$C:$F,3,0)</f>
        <v>2</v>
      </c>
      <c r="F2315" s="27" t="s">
        <v>5796</v>
      </c>
      <c r="G2315" s="27" t="s">
        <v>5782</v>
      </c>
      <c r="H2315" s="27" t="s">
        <v>97</v>
      </c>
      <c r="I2315">
        <v>1</v>
      </c>
    </row>
    <row r="2316" spans="1:9">
      <c r="A2316" t="s">
        <v>2731</v>
      </c>
      <c r="B2316" s="27" t="s">
        <v>3229</v>
      </c>
      <c r="C2316" s="27" t="s">
        <v>5775</v>
      </c>
      <c r="D2316">
        <f>VLOOKUP(tblTargetMedicos[[#This Row],[codigo_id]],[1]DIM_REPRESENTANTE_MEDICO!$C:$F,4,0)</f>
        <v>8</v>
      </c>
      <c r="E2316">
        <f>VLOOKUP(tblTargetMedicos[[#This Row],[codigo_id]],[1]DIM_REPRESENTANTE_MEDICO!$C:$F,3,0)</f>
        <v>2</v>
      </c>
      <c r="F2316" s="27" t="s">
        <v>5796</v>
      </c>
      <c r="G2316" s="27" t="s">
        <v>5780</v>
      </c>
      <c r="H2316" s="27" t="s">
        <v>97</v>
      </c>
      <c r="I2316">
        <v>1</v>
      </c>
    </row>
    <row r="2317" spans="1:9">
      <c r="A2317" t="s">
        <v>2732</v>
      </c>
      <c r="B2317" s="27" t="s">
        <v>3229</v>
      </c>
      <c r="C2317" s="27" t="s">
        <v>5775</v>
      </c>
      <c r="D2317">
        <f>VLOOKUP(tblTargetMedicos[[#This Row],[codigo_id]],[1]DIM_REPRESENTANTE_MEDICO!$C:$F,4,0)</f>
        <v>8</v>
      </c>
      <c r="E2317">
        <f>VLOOKUP(tblTargetMedicos[[#This Row],[codigo_id]],[1]DIM_REPRESENTANTE_MEDICO!$C:$F,3,0)</f>
        <v>2</v>
      </c>
      <c r="F2317" s="27" t="s">
        <v>5796</v>
      </c>
      <c r="G2317" s="27" t="s">
        <v>5784</v>
      </c>
      <c r="H2317" s="27" t="s">
        <v>97</v>
      </c>
      <c r="I2317">
        <v>1</v>
      </c>
    </row>
    <row r="2318" spans="1:9">
      <c r="A2318" t="s">
        <v>2733</v>
      </c>
      <c r="B2318" s="27" t="s">
        <v>3229</v>
      </c>
      <c r="C2318" s="27" t="s">
        <v>5775</v>
      </c>
      <c r="D2318">
        <f>VLOOKUP(tblTargetMedicos[[#This Row],[codigo_id]],[1]DIM_REPRESENTANTE_MEDICO!$C:$F,4,0)</f>
        <v>8</v>
      </c>
      <c r="E2318">
        <f>VLOOKUP(tblTargetMedicos[[#This Row],[codigo_id]],[1]DIM_REPRESENTANTE_MEDICO!$C:$F,3,0)</f>
        <v>2</v>
      </c>
      <c r="F2318" s="27" t="s">
        <v>5796</v>
      </c>
      <c r="G2318" s="27" t="s">
        <v>5784</v>
      </c>
      <c r="H2318" s="27" t="s">
        <v>97</v>
      </c>
      <c r="I2318">
        <v>1</v>
      </c>
    </row>
    <row r="2319" spans="1:9">
      <c r="A2319" t="s">
        <v>2734</v>
      </c>
      <c r="B2319" s="27" t="s">
        <v>3229</v>
      </c>
      <c r="C2319" s="27" t="s">
        <v>5775</v>
      </c>
      <c r="D2319">
        <f>VLOOKUP(tblTargetMedicos[[#This Row],[codigo_id]],[1]DIM_REPRESENTANTE_MEDICO!$C:$F,4,0)</f>
        <v>8</v>
      </c>
      <c r="E2319">
        <f>VLOOKUP(tblTargetMedicos[[#This Row],[codigo_id]],[1]DIM_REPRESENTANTE_MEDICO!$C:$F,3,0)</f>
        <v>2</v>
      </c>
      <c r="F2319" s="27" t="s">
        <v>5796</v>
      </c>
      <c r="G2319" s="27" t="s">
        <v>5784</v>
      </c>
      <c r="H2319" s="27" t="s">
        <v>96</v>
      </c>
      <c r="I2319">
        <v>1</v>
      </c>
    </row>
    <row r="2320" spans="1:9">
      <c r="A2320" t="s">
        <v>2735</v>
      </c>
      <c r="B2320" s="27" t="s">
        <v>3229</v>
      </c>
      <c r="C2320" s="27" t="s">
        <v>5775</v>
      </c>
      <c r="D2320">
        <f>VLOOKUP(tblTargetMedicos[[#This Row],[codigo_id]],[1]DIM_REPRESENTANTE_MEDICO!$C:$F,4,0)</f>
        <v>8</v>
      </c>
      <c r="E2320">
        <f>VLOOKUP(tblTargetMedicos[[#This Row],[codigo_id]],[1]DIM_REPRESENTANTE_MEDICO!$C:$F,3,0)</f>
        <v>2</v>
      </c>
      <c r="F2320" s="27" t="s">
        <v>5796</v>
      </c>
      <c r="G2320" s="27" t="s">
        <v>5783</v>
      </c>
      <c r="H2320" s="27" t="s">
        <v>96</v>
      </c>
      <c r="I2320">
        <v>1</v>
      </c>
    </row>
    <row r="2321" spans="1:9">
      <c r="A2321" t="s">
        <v>2736</v>
      </c>
      <c r="B2321" s="27" t="s">
        <v>3229</v>
      </c>
      <c r="C2321" s="27" t="s">
        <v>5775</v>
      </c>
      <c r="D2321">
        <f>VLOOKUP(tblTargetMedicos[[#This Row],[codigo_id]],[1]DIM_REPRESENTANTE_MEDICO!$C:$F,4,0)</f>
        <v>8</v>
      </c>
      <c r="E2321">
        <f>VLOOKUP(tblTargetMedicos[[#This Row],[codigo_id]],[1]DIM_REPRESENTANTE_MEDICO!$C:$F,3,0)</f>
        <v>2</v>
      </c>
      <c r="F2321" s="27" t="s">
        <v>5796</v>
      </c>
      <c r="G2321" s="27" t="s">
        <v>5784</v>
      </c>
      <c r="H2321" s="27" t="s">
        <v>96</v>
      </c>
      <c r="I2321">
        <v>1</v>
      </c>
    </row>
    <row r="2322" spans="1:9">
      <c r="A2322" t="s">
        <v>2737</v>
      </c>
      <c r="B2322" s="27" t="s">
        <v>3229</v>
      </c>
      <c r="C2322" s="27" t="s">
        <v>5775</v>
      </c>
      <c r="D2322">
        <f>VLOOKUP(tblTargetMedicos[[#This Row],[codigo_id]],[1]DIM_REPRESENTANTE_MEDICO!$C:$F,4,0)</f>
        <v>8</v>
      </c>
      <c r="E2322">
        <f>VLOOKUP(tblTargetMedicos[[#This Row],[codigo_id]],[1]DIM_REPRESENTANTE_MEDICO!$C:$F,3,0)</f>
        <v>2</v>
      </c>
      <c r="F2322" s="27" t="s">
        <v>5796</v>
      </c>
      <c r="G2322" s="27" t="s">
        <v>5779</v>
      </c>
      <c r="H2322" s="27" t="s">
        <v>96</v>
      </c>
      <c r="I2322">
        <v>1</v>
      </c>
    </row>
    <row r="2323" spans="1:9">
      <c r="A2323" t="s">
        <v>2738</v>
      </c>
      <c r="B2323" s="27" t="s">
        <v>3229</v>
      </c>
      <c r="C2323" s="27" t="s">
        <v>5775</v>
      </c>
      <c r="D2323">
        <f>VLOOKUP(tblTargetMedicos[[#This Row],[codigo_id]],[1]DIM_REPRESENTANTE_MEDICO!$C:$F,4,0)</f>
        <v>8</v>
      </c>
      <c r="E2323">
        <f>VLOOKUP(tblTargetMedicos[[#This Row],[codigo_id]],[1]DIM_REPRESENTANTE_MEDICO!$C:$F,3,0)</f>
        <v>2</v>
      </c>
      <c r="F2323" s="27" t="s">
        <v>5796</v>
      </c>
      <c r="G2323" s="27" t="s">
        <v>5784</v>
      </c>
      <c r="H2323" s="27" t="s">
        <v>97</v>
      </c>
      <c r="I2323">
        <v>1</v>
      </c>
    </row>
    <row r="2324" spans="1:9">
      <c r="A2324" t="s">
        <v>2739</v>
      </c>
      <c r="B2324" s="27" t="s">
        <v>3229</v>
      </c>
      <c r="C2324" s="27" t="s">
        <v>5775</v>
      </c>
      <c r="D2324">
        <f>VLOOKUP(tblTargetMedicos[[#This Row],[codigo_id]],[1]DIM_REPRESENTANTE_MEDICO!$C:$F,4,0)</f>
        <v>8</v>
      </c>
      <c r="E2324">
        <f>VLOOKUP(tblTargetMedicos[[#This Row],[codigo_id]],[1]DIM_REPRESENTANTE_MEDICO!$C:$F,3,0)</f>
        <v>2</v>
      </c>
      <c r="F2324" s="27" t="s">
        <v>5796</v>
      </c>
      <c r="G2324" s="27" t="s">
        <v>5785</v>
      </c>
      <c r="H2324" s="27" t="s">
        <v>96</v>
      </c>
      <c r="I2324">
        <v>1</v>
      </c>
    </row>
    <row r="2325" spans="1:9">
      <c r="A2325" t="s">
        <v>2740</v>
      </c>
      <c r="B2325" s="27" t="s">
        <v>3229</v>
      </c>
      <c r="C2325" s="27" t="s">
        <v>5775</v>
      </c>
      <c r="D2325">
        <f>VLOOKUP(tblTargetMedicos[[#This Row],[codigo_id]],[1]DIM_REPRESENTANTE_MEDICO!$C:$F,4,0)</f>
        <v>8</v>
      </c>
      <c r="E2325">
        <f>VLOOKUP(tblTargetMedicos[[#This Row],[codigo_id]],[1]DIM_REPRESENTANTE_MEDICO!$C:$F,3,0)</f>
        <v>2</v>
      </c>
      <c r="F2325" s="27" t="s">
        <v>5796</v>
      </c>
      <c r="G2325" s="27" t="s">
        <v>5786</v>
      </c>
      <c r="H2325" s="27" t="s">
        <v>97</v>
      </c>
      <c r="I2325">
        <v>1</v>
      </c>
    </row>
    <row r="2326" spans="1:9">
      <c r="A2326" t="s">
        <v>2741</v>
      </c>
      <c r="B2326" s="27" t="s">
        <v>3229</v>
      </c>
      <c r="C2326" s="27" t="s">
        <v>5775</v>
      </c>
      <c r="D2326">
        <f>VLOOKUP(tblTargetMedicos[[#This Row],[codigo_id]],[1]DIM_REPRESENTANTE_MEDICO!$C:$F,4,0)</f>
        <v>8</v>
      </c>
      <c r="E2326">
        <f>VLOOKUP(tblTargetMedicos[[#This Row],[codigo_id]],[1]DIM_REPRESENTANTE_MEDICO!$C:$F,3,0)</f>
        <v>2</v>
      </c>
      <c r="F2326" s="27" t="s">
        <v>5796</v>
      </c>
      <c r="G2326" s="27" t="s">
        <v>5784</v>
      </c>
      <c r="H2326" s="27" t="s">
        <v>96</v>
      </c>
      <c r="I2326">
        <v>1</v>
      </c>
    </row>
    <row r="2327" spans="1:9">
      <c r="A2327" t="s">
        <v>2742</v>
      </c>
      <c r="B2327" s="27" t="s">
        <v>3229</v>
      </c>
      <c r="C2327" s="27" t="s">
        <v>5775</v>
      </c>
      <c r="D2327">
        <f>VLOOKUP(tblTargetMedicos[[#This Row],[codigo_id]],[1]DIM_REPRESENTANTE_MEDICO!$C:$F,4,0)</f>
        <v>8</v>
      </c>
      <c r="E2327">
        <f>VLOOKUP(tblTargetMedicos[[#This Row],[codigo_id]],[1]DIM_REPRESENTANTE_MEDICO!$C:$F,3,0)</f>
        <v>2</v>
      </c>
      <c r="F2327" s="27" t="s">
        <v>5796</v>
      </c>
      <c r="G2327" s="27" t="s">
        <v>5785</v>
      </c>
      <c r="H2327" s="27" t="s">
        <v>96</v>
      </c>
      <c r="I2327">
        <v>1</v>
      </c>
    </row>
    <row r="2328" spans="1:9">
      <c r="A2328" t="s">
        <v>2743</v>
      </c>
      <c r="B2328" s="27" t="s">
        <v>3229</v>
      </c>
      <c r="C2328" s="27" t="s">
        <v>5775</v>
      </c>
      <c r="D2328">
        <f>VLOOKUP(tblTargetMedicos[[#This Row],[codigo_id]],[1]DIM_REPRESENTANTE_MEDICO!$C:$F,4,0)</f>
        <v>8</v>
      </c>
      <c r="E2328">
        <f>VLOOKUP(tblTargetMedicos[[#This Row],[codigo_id]],[1]DIM_REPRESENTANTE_MEDICO!$C:$F,3,0)</f>
        <v>2</v>
      </c>
      <c r="F2328" s="27" t="s">
        <v>5796</v>
      </c>
      <c r="G2328" s="27" t="s">
        <v>5785</v>
      </c>
      <c r="H2328" s="27" t="s">
        <v>96</v>
      </c>
      <c r="I2328">
        <v>1</v>
      </c>
    </row>
    <row r="2329" spans="1:9">
      <c r="A2329" t="s">
        <v>2744</v>
      </c>
      <c r="B2329" s="27" t="s">
        <v>3229</v>
      </c>
      <c r="C2329" s="27" t="s">
        <v>5775</v>
      </c>
      <c r="D2329">
        <f>VLOOKUP(tblTargetMedicos[[#This Row],[codigo_id]],[1]DIM_REPRESENTANTE_MEDICO!$C:$F,4,0)</f>
        <v>8</v>
      </c>
      <c r="E2329">
        <f>VLOOKUP(tblTargetMedicos[[#This Row],[codigo_id]],[1]DIM_REPRESENTANTE_MEDICO!$C:$F,3,0)</f>
        <v>2</v>
      </c>
      <c r="F2329" s="27" t="s">
        <v>5796</v>
      </c>
      <c r="G2329" s="27" t="s">
        <v>5784</v>
      </c>
      <c r="H2329" s="27" t="s">
        <v>96</v>
      </c>
      <c r="I2329">
        <v>1</v>
      </c>
    </row>
    <row r="2330" spans="1:9">
      <c r="A2330" t="s">
        <v>2745</v>
      </c>
      <c r="B2330" s="27" t="s">
        <v>3229</v>
      </c>
      <c r="C2330" s="27" t="s">
        <v>5775</v>
      </c>
      <c r="D2330">
        <f>VLOOKUP(tblTargetMedicos[[#This Row],[codigo_id]],[1]DIM_REPRESENTANTE_MEDICO!$C:$F,4,0)</f>
        <v>8</v>
      </c>
      <c r="E2330">
        <f>VLOOKUP(tblTargetMedicos[[#This Row],[codigo_id]],[1]DIM_REPRESENTANTE_MEDICO!$C:$F,3,0)</f>
        <v>2</v>
      </c>
      <c r="F2330" s="27" t="s">
        <v>5796</v>
      </c>
      <c r="G2330" s="27" t="s">
        <v>5784</v>
      </c>
      <c r="H2330" s="27" t="s">
        <v>97</v>
      </c>
      <c r="I2330">
        <v>1</v>
      </c>
    </row>
    <row r="2331" spans="1:9">
      <c r="A2331" t="s">
        <v>2746</v>
      </c>
      <c r="B2331" s="27" t="s">
        <v>3229</v>
      </c>
      <c r="C2331" s="27" t="s">
        <v>5775</v>
      </c>
      <c r="D2331">
        <f>VLOOKUP(tblTargetMedicos[[#This Row],[codigo_id]],[1]DIM_REPRESENTANTE_MEDICO!$C:$F,4,0)</f>
        <v>8</v>
      </c>
      <c r="E2331">
        <f>VLOOKUP(tblTargetMedicos[[#This Row],[codigo_id]],[1]DIM_REPRESENTANTE_MEDICO!$C:$F,3,0)</f>
        <v>2</v>
      </c>
      <c r="F2331" s="27" t="s">
        <v>5796</v>
      </c>
      <c r="G2331" s="27" t="s">
        <v>5785</v>
      </c>
      <c r="H2331" s="27" t="s">
        <v>96</v>
      </c>
      <c r="I2331">
        <v>1</v>
      </c>
    </row>
    <row r="2332" spans="1:9">
      <c r="A2332" t="s">
        <v>2747</v>
      </c>
      <c r="B2332" s="27" t="s">
        <v>3229</v>
      </c>
      <c r="C2332" s="27" t="s">
        <v>5775</v>
      </c>
      <c r="D2332">
        <f>VLOOKUP(tblTargetMedicos[[#This Row],[codigo_id]],[1]DIM_REPRESENTANTE_MEDICO!$C:$F,4,0)</f>
        <v>8</v>
      </c>
      <c r="E2332">
        <f>VLOOKUP(tblTargetMedicos[[#This Row],[codigo_id]],[1]DIM_REPRESENTANTE_MEDICO!$C:$F,3,0)</f>
        <v>2</v>
      </c>
      <c r="F2332" s="27" t="s">
        <v>5796</v>
      </c>
      <c r="G2332" s="27" t="s">
        <v>5779</v>
      </c>
      <c r="H2332" s="27" t="s">
        <v>96</v>
      </c>
      <c r="I2332">
        <v>1</v>
      </c>
    </row>
    <row r="2333" spans="1:9">
      <c r="A2333" t="s">
        <v>2748</v>
      </c>
      <c r="B2333" s="27" t="s">
        <v>3229</v>
      </c>
      <c r="C2333" s="27" t="s">
        <v>5775</v>
      </c>
      <c r="D2333">
        <f>VLOOKUP(tblTargetMedicos[[#This Row],[codigo_id]],[1]DIM_REPRESENTANTE_MEDICO!$C:$F,4,0)</f>
        <v>8</v>
      </c>
      <c r="E2333">
        <f>VLOOKUP(tblTargetMedicos[[#This Row],[codigo_id]],[1]DIM_REPRESENTANTE_MEDICO!$C:$F,3,0)</f>
        <v>2</v>
      </c>
      <c r="F2333" s="27" t="s">
        <v>5796</v>
      </c>
      <c r="G2333" s="27" t="s">
        <v>5784</v>
      </c>
      <c r="H2333" s="27" t="s">
        <v>97</v>
      </c>
      <c r="I2333">
        <v>1</v>
      </c>
    </row>
    <row r="2334" spans="1:9">
      <c r="A2334" t="s">
        <v>2749</v>
      </c>
      <c r="B2334" s="27" t="s">
        <v>3229</v>
      </c>
      <c r="C2334" s="27" t="s">
        <v>5775</v>
      </c>
      <c r="D2334">
        <f>VLOOKUP(tblTargetMedicos[[#This Row],[codigo_id]],[1]DIM_REPRESENTANTE_MEDICO!$C:$F,4,0)</f>
        <v>8</v>
      </c>
      <c r="E2334">
        <f>VLOOKUP(tblTargetMedicos[[#This Row],[codigo_id]],[1]DIM_REPRESENTANTE_MEDICO!$C:$F,3,0)</f>
        <v>2</v>
      </c>
      <c r="F2334" s="27" t="s">
        <v>5796</v>
      </c>
      <c r="G2334" s="27" t="s">
        <v>5784</v>
      </c>
      <c r="H2334" s="27" t="s">
        <v>96</v>
      </c>
      <c r="I2334">
        <v>1</v>
      </c>
    </row>
    <row r="2335" spans="1:9">
      <c r="A2335" t="s">
        <v>2750</v>
      </c>
      <c r="B2335" s="27" t="s">
        <v>3229</v>
      </c>
      <c r="C2335" s="27" t="s">
        <v>5775</v>
      </c>
      <c r="D2335">
        <f>VLOOKUP(tblTargetMedicos[[#This Row],[codigo_id]],[1]DIM_REPRESENTANTE_MEDICO!$C:$F,4,0)</f>
        <v>8</v>
      </c>
      <c r="E2335">
        <f>VLOOKUP(tblTargetMedicos[[#This Row],[codigo_id]],[1]DIM_REPRESENTANTE_MEDICO!$C:$F,3,0)</f>
        <v>2</v>
      </c>
      <c r="F2335" s="27" t="s">
        <v>5796</v>
      </c>
      <c r="G2335" s="27" t="s">
        <v>5779</v>
      </c>
      <c r="H2335" s="27" t="s">
        <v>96</v>
      </c>
      <c r="I2335">
        <v>1</v>
      </c>
    </row>
    <row r="2336" spans="1:9">
      <c r="A2336" t="s">
        <v>2751</v>
      </c>
      <c r="B2336" s="27" t="s">
        <v>3229</v>
      </c>
      <c r="C2336" s="27" t="s">
        <v>5775</v>
      </c>
      <c r="D2336">
        <f>VLOOKUP(tblTargetMedicos[[#This Row],[codigo_id]],[1]DIM_REPRESENTANTE_MEDICO!$C:$F,4,0)</f>
        <v>8</v>
      </c>
      <c r="E2336">
        <f>VLOOKUP(tblTargetMedicos[[#This Row],[codigo_id]],[1]DIM_REPRESENTANTE_MEDICO!$C:$F,3,0)</f>
        <v>2</v>
      </c>
      <c r="F2336" s="27" t="s">
        <v>5796</v>
      </c>
      <c r="G2336" s="27" t="s">
        <v>5787</v>
      </c>
      <c r="H2336" s="27" t="s">
        <v>96</v>
      </c>
      <c r="I2336">
        <v>1</v>
      </c>
    </row>
    <row r="2337" spans="1:9">
      <c r="A2337" t="s">
        <v>2752</v>
      </c>
      <c r="B2337" s="27" t="s">
        <v>3229</v>
      </c>
      <c r="C2337" s="27" t="s">
        <v>5775</v>
      </c>
      <c r="D2337">
        <f>VLOOKUP(tblTargetMedicos[[#This Row],[codigo_id]],[1]DIM_REPRESENTANTE_MEDICO!$C:$F,4,0)</f>
        <v>8</v>
      </c>
      <c r="E2337">
        <f>VLOOKUP(tblTargetMedicos[[#This Row],[codigo_id]],[1]DIM_REPRESENTANTE_MEDICO!$C:$F,3,0)</f>
        <v>2</v>
      </c>
      <c r="F2337" s="27" t="s">
        <v>5796</v>
      </c>
      <c r="G2337" s="27" t="s">
        <v>5779</v>
      </c>
      <c r="H2337" s="27" t="s">
        <v>95</v>
      </c>
      <c r="I2337">
        <v>1</v>
      </c>
    </row>
    <row r="2338" spans="1:9">
      <c r="A2338" t="s">
        <v>2753</v>
      </c>
      <c r="B2338" s="27" t="s">
        <v>3229</v>
      </c>
      <c r="C2338" s="27" t="s">
        <v>5775</v>
      </c>
      <c r="D2338">
        <f>VLOOKUP(tblTargetMedicos[[#This Row],[codigo_id]],[1]DIM_REPRESENTANTE_MEDICO!$C:$F,4,0)</f>
        <v>8</v>
      </c>
      <c r="E2338">
        <f>VLOOKUP(tblTargetMedicos[[#This Row],[codigo_id]],[1]DIM_REPRESENTANTE_MEDICO!$C:$F,3,0)</f>
        <v>2</v>
      </c>
      <c r="F2338" s="27" t="s">
        <v>5796</v>
      </c>
      <c r="G2338" s="27" t="s">
        <v>5783</v>
      </c>
      <c r="H2338" s="27" t="s">
        <v>96</v>
      </c>
      <c r="I2338">
        <v>1</v>
      </c>
    </row>
    <row r="2339" spans="1:9">
      <c r="A2339" t="s">
        <v>2754</v>
      </c>
      <c r="B2339" s="27" t="s">
        <v>3229</v>
      </c>
      <c r="C2339" s="27" t="s">
        <v>5775</v>
      </c>
      <c r="D2339">
        <f>VLOOKUP(tblTargetMedicos[[#This Row],[codigo_id]],[1]DIM_REPRESENTANTE_MEDICO!$C:$F,4,0)</f>
        <v>8</v>
      </c>
      <c r="E2339">
        <f>VLOOKUP(tblTargetMedicos[[#This Row],[codigo_id]],[1]DIM_REPRESENTANTE_MEDICO!$C:$F,3,0)</f>
        <v>2</v>
      </c>
      <c r="F2339" s="27" t="s">
        <v>5796</v>
      </c>
      <c r="G2339" s="27" t="s">
        <v>5785</v>
      </c>
      <c r="H2339" s="27" t="s">
        <v>96</v>
      </c>
      <c r="I2339">
        <v>1</v>
      </c>
    </row>
    <row r="2340" spans="1:9">
      <c r="A2340" t="s">
        <v>2755</v>
      </c>
      <c r="B2340" s="27" t="s">
        <v>3229</v>
      </c>
      <c r="C2340" s="27" t="s">
        <v>5775</v>
      </c>
      <c r="D2340">
        <f>VLOOKUP(tblTargetMedicos[[#This Row],[codigo_id]],[1]DIM_REPRESENTANTE_MEDICO!$C:$F,4,0)</f>
        <v>8</v>
      </c>
      <c r="E2340">
        <f>VLOOKUP(tblTargetMedicos[[#This Row],[codigo_id]],[1]DIM_REPRESENTANTE_MEDICO!$C:$F,3,0)</f>
        <v>2</v>
      </c>
      <c r="F2340" s="27" t="s">
        <v>5796</v>
      </c>
      <c r="G2340" s="27" t="s">
        <v>5787</v>
      </c>
      <c r="H2340" s="27" t="s">
        <v>96</v>
      </c>
      <c r="I2340">
        <v>1</v>
      </c>
    </row>
    <row r="2341" spans="1:9">
      <c r="A2341" t="s">
        <v>2756</v>
      </c>
      <c r="B2341" s="27" t="s">
        <v>3229</v>
      </c>
      <c r="C2341" s="27" t="s">
        <v>5775</v>
      </c>
      <c r="D2341">
        <f>VLOOKUP(tblTargetMedicos[[#This Row],[codigo_id]],[1]DIM_REPRESENTANTE_MEDICO!$C:$F,4,0)</f>
        <v>8</v>
      </c>
      <c r="E2341">
        <f>VLOOKUP(tblTargetMedicos[[#This Row],[codigo_id]],[1]DIM_REPRESENTANTE_MEDICO!$C:$F,3,0)</f>
        <v>2</v>
      </c>
      <c r="F2341" s="27" t="s">
        <v>5796</v>
      </c>
      <c r="G2341" s="27" t="s">
        <v>5784</v>
      </c>
      <c r="H2341" s="27" t="s">
        <v>95</v>
      </c>
      <c r="I2341">
        <v>1</v>
      </c>
    </row>
    <row r="2342" spans="1:9">
      <c r="A2342" t="s">
        <v>2757</v>
      </c>
      <c r="B2342" s="27" t="s">
        <v>3229</v>
      </c>
      <c r="C2342" s="27" t="s">
        <v>5775</v>
      </c>
      <c r="D2342">
        <f>VLOOKUP(tblTargetMedicos[[#This Row],[codigo_id]],[1]DIM_REPRESENTANTE_MEDICO!$C:$F,4,0)</f>
        <v>8</v>
      </c>
      <c r="E2342">
        <f>VLOOKUP(tblTargetMedicos[[#This Row],[codigo_id]],[1]DIM_REPRESENTANTE_MEDICO!$C:$F,3,0)</f>
        <v>2</v>
      </c>
      <c r="F2342" s="27" t="s">
        <v>5796</v>
      </c>
      <c r="G2342" s="27" t="s">
        <v>5785</v>
      </c>
      <c r="H2342" s="27" t="s">
        <v>96</v>
      </c>
      <c r="I2342">
        <v>1</v>
      </c>
    </row>
    <row r="2343" spans="1:9">
      <c r="A2343" t="s">
        <v>2758</v>
      </c>
      <c r="B2343" s="27" t="s">
        <v>3229</v>
      </c>
      <c r="C2343" s="27" t="s">
        <v>5775</v>
      </c>
      <c r="D2343">
        <f>VLOOKUP(tblTargetMedicos[[#This Row],[codigo_id]],[1]DIM_REPRESENTANTE_MEDICO!$C:$F,4,0)</f>
        <v>8</v>
      </c>
      <c r="E2343">
        <f>VLOOKUP(tblTargetMedicos[[#This Row],[codigo_id]],[1]DIM_REPRESENTANTE_MEDICO!$C:$F,3,0)</f>
        <v>2</v>
      </c>
      <c r="F2343" s="27" t="s">
        <v>5796</v>
      </c>
      <c r="G2343" s="27" t="s">
        <v>5784</v>
      </c>
      <c r="H2343" s="27" t="s">
        <v>96</v>
      </c>
      <c r="I2343">
        <v>1</v>
      </c>
    </row>
    <row r="2344" spans="1:9">
      <c r="A2344" t="s">
        <v>2759</v>
      </c>
      <c r="B2344" s="27" t="s">
        <v>3229</v>
      </c>
      <c r="C2344" s="27" t="s">
        <v>5775</v>
      </c>
      <c r="D2344">
        <f>VLOOKUP(tblTargetMedicos[[#This Row],[codigo_id]],[1]DIM_REPRESENTANTE_MEDICO!$C:$F,4,0)</f>
        <v>8</v>
      </c>
      <c r="E2344">
        <f>VLOOKUP(tblTargetMedicos[[#This Row],[codigo_id]],[1]DIM_REPRESENTANTE_MEDICO!$C:$F,3,0)</f>
        <v>2</v>
      </c>
      <c r="F2344" s="27" t="s">
        <v>5796</v>
      </c>
      <c r="G2344" s="27" t="s">
        <v>5787</v>
      </c>
      <c r="H2344" s="27" t="s">
        <v>96</v>
      </c>
      <c r="I2344">
        <v>1</v>
      </c>
    </row>
    <row r="2345" spans="1:9">
      <c r="A2345" t="s">
        <v>2760</v>
      </c>
      <c r="B2345" s="27" t="s">
        <v>3229</v>
      </c>
      <c r="C2345" s="27" t="s">
        <v>5775</v>
      </c>
      <c r="D2345">
        <f>VLOOKUP(tblTargetMedicos[[#This Row],[codigo_id]],[1]DIM_REPRESENTANTE_MEDICO!$C:$F,4,0)</f>
        <v>8</v>
      </c>
      <c r="E2345">
        <f>VLOOKUP(tblTargetMedicos[[#This Row],[codigo_id]],[1]DIM_REPRESENTANTE_MEDICO!$C:$F,3,0)</f>
        <v>2</v>
      </c>
      <c r="F2345" s="27" t="s">
        <v>5796</v>
      </c>
      <c r="G2345" s="27" t="s">
        <v>5786</v>
      </c>
      <c r="H2345" s="27" t="s">
        <v>96</v>
      </c>
      <c r="I2345">
        <v>1</v>
      </c>
    </row>
    <row r="2346" spans="1:9">
      <c r="A2346" t="s">
        <v>2761</v>
      </c>
      <c r="B2346" s="27" t="s">
        <v>3229</v>
      </c>
      <c r="C2346" s="27" t="s">
        <v>5775</v>
      </c>
      <c r="D2346">
        <f>VLOOKUP(tblTargetMedicos[[#This Row],[codigo_id]],[1]DIM_REPRESENTANTE_MEDICO!$C:$F,4,0)</f>
        <v>8</v>
      </c>
      <c r="E2346">
        <f>VLOOKUP(tblTargetMedicos[[#This Row],[codigo_id]],[1]DIM_REPRESENTANTE_MEDICO!$C:$F,3,0)</f>
        <v>2</v>
      </c>
      <c r="F2346" s="27" t="s">
        <v>5796</v>
      </c>
      <c r="G2346" s="27" t="s">
        <v>5784</v>
      </c>
      <c r="H2346" s="27" t="s">
        <v>96</v>
      </c>
      <c r="I2346">
        <v>1</v>
      </c>
    </row>
    <row r="2347" spans="1:9">
      <c r="A2347" t="s">
        <v>2762</v>
      </c>
      <c r="B2347" s="27" t="s">
        <v>3229</v>
      </c>
      <c r="C2347" s="27" t="s">
        <v>5775</v>
      </c>
      <c r="D2347">
        <f>VLOOKUP(tblTargetMedicos[[#This Row],[codigo_id]],[1]DIM_REPRESENTANTE_MEDICO!$C:$F,4,0)</f>
        <v>8</v>
      </c>
      <c r="E2347">
        <f>VLOOKUP(tblTargetMedicos[[#This Row],[codigo_id]],[1]DIM_REPRESENTANTE_MEDICO!$C:$F,3,0)</f>
        <v>2</v>
      </c>
      <c r="F2347" s="27" t="s">
        <v>5796</v>
      </c>
      <c r="G2347" s="27" t="s">
        <v>5786</v>
      </c>
      <c r="H2347" s="27" t="s">
        <v>96</v>
      </c>
      <c r="I2347">
        <v>1</v>
      </c>
    </row>
    <row r="2348" spans="1:9">
      <c r="A2348" t="s">
        <v>2763</v>
      </c>
      <c r="B2348" s="27" t="s">
        <v>3229</v>
      </c>
      <c r="C2348" s="27" t="s">
        <v>5775</v>
      </c>
      <c r="D2348">
        <f>VLOOKUP(tblTargetMedicos[[#This Row],[codigo_id]],[1]DIM_REPRESENTANTE_MEDICO!$C:$F,4,0)</f>
        <v>8</v>
      </c>
      <c r="E2348">
        <f>VLOOKUP(tblTargetMedicos[[#This Row],[codigo_id]],[1]DIM_REPRESENTANTE_MEDICO!$C:$F,3,0)</f>
        <v>2</v>
      </c>
      <c r="F2348" s="27" t="s">
        <v>5796</v>
      </c>
      <c r="G2348" s="27" t="s">
        <v>5784</v>
      </c>
      <c r="H2348" s="27" t="s">
        <v>96</v>
      </c>
      <c r="I2348">
        <v>1</v>
      </c>
    </row>
    <row r="2349" spans="1:9">
      <c r="A2349" t="s">
        <v>2764</v>
      </c>
      <c r="B2349" s="27" t="s">
        <v>3229</v>
      </c>
      <c r="C2349" s="27" t="s">
        <v>5775</v>
      </c>
      <c r="D2349">
        <f>VLOOKUP(tblTargetMedicos[[#This Row],[codigo_id]],[1]DIM_REPRESENTANTE_MEDICO!$C:$F,4,0)</f>
        <v>8</v>
      </c>
      <c r="E2349">
        <f>VLOOKUP(tblTargetMedicos[[#This Row],[codigo_id]],[1]DIM_REPRESENTANTE_MEDICO!$C:$F,3,0)</f>
        <v>2</v>
      </c>
      <c r="F2349" s="27" t="s">
        <v>5796</v>
      </c>
      <c r="G2349" s="27" t="s">
        <v>5784</v>
      </c>
      <c r="H2349" s="27" t="s">
        <v>95</v>
      </c>
      <c r="I2349">
        <v>1</v>
      </c>
    </row>
    <row r="2350" spans="1:9">
      <c r="A2350" t="s">
        <v>2765</v>
      </c>
      <c r="B2350" s="27" t="s">
        <v>3229</v>
      </c>
      <c r="C2350" s="27" t="s">
        <v>5775</v>
      </c>
      <c r="D2350">
        <f>VLOOKUP(tblTargetMedicos[[#This Row],[codigo_id]],[1]DIM_REPRESENTANTE_MEDICO!$C:$F,4,0)</f>
        <v>8</v>
      </c>
      <c r="E2350">
        <f>VLOOKUP(tblTargetMedicos[[#This Row],[codigo_id]],[1]DIM_REPRESENTANTE_MEDICO!$C:$F,3,0)</f>
        <v>2</v>
      </c>
      <c r="F2350" s="27" t="s">
        <v>5796</v>
      </c>
      <c r="G2350" s="27" t="s">
        <v>5779</v>
      </c>
      <c r="H2350" s="27" t="s">
        <v>96</v>
      </c>
      <c r="I2350">
        <v>1</v>
      </c>
    </row>
    <row r="2351" spans="1:9">
      <c r="A2351" t="s">
        <v>2766</v>
      </c>
      <c r="B2351" s="27" t="s">
        <v>3229</v>
      </c>
      <c r="C2351" s="27" t="s">
        <v>5775</v>
      </c>
      <c r="D2351">
        <f>VLOOKUP(tblTargetMedicos[[#This Row],[codigo_id]],[1]DIM_REPRESENTANTE_MEDICO!$C:$F,4,0)</f>
        <v>8</v>
      </c>
      <c r="E2351">
        <f>VLOOKUP(tblTargetMedicos[[#This Row],[codigo_id]],[1]DIM_REPRESENTANTE_MEDICO!$C:$F,3,0)</f>
        <v>2</v>
      </c>
      <c r="F2351" s="27" t="s">
        <v>5796</v>
      </c>
      <c r="G2351" s="27" t="s">
        <v>5786</v>
      </c>
      <c r="H2351" s="27" t="s">
        <v>96</v>
      </c>
      <c r="I2351">
        <v>1</v>
      </c>
    </row>
    <row r="2352" spans="1:9">
      <c r="A2352" t="s">
        <v>2767</v>
      </c>
      <c r="B2352" s="27" t="s">
        <v>3229</v>
      </c>
      <c r="C2352" s="27" t="s">
        <v>5775</v>
      </c>
      <c r="D2352">
        <f>VLOOKUP(tblTargetMedicos[[#This Row],[codigo_id]],[1]DIM_REPRESENTANTE_MEDICO!$C:$F,4,0)</f>
        <v>8</v>
      </c>
      <c r="E2352">
        <f>VLOOKUP(tblTargetMedicos[[#This Row],[codigo_id]],[1]DIM_REPRESENTANTE_MEDICO!$C:$F,3,0)</f>
        <v>2</v>
      </c>
      <c r="F2352" s="27" t="s">
        <v>5796</v>
      </c>
      <c r="G2352" s="27" t="s">
        <v>5785</v>
      </c>
      <c r="H2352" s="27" t="s">
        <v>96</v>
      </c>
      <c r="I2352">
        <v>1</v>
      </c>
    </row>
    <row r="2353" spans="1:9">
      <c r="A2353" t="s">
        <v>2768</v>
      </c>
      <c r="B2353" s="27" t="s">
        <v>3229</v>
      </c>
      <c r="C2353" s="27" t="s">
        <v>5775</v>
      </c>
      <c r="D2353">
        <f>VLOOKUP(tblTargetMedicos[[#This Row],[codigo_id]],[1]DIM_REPRESENTANTE_MEDICO!$C:$F,4,0)</f>
        <v>8</v>
      </c>
      <c r="E2353">
        <f>VLOOKUP(tblTargetMedicos[[#This Row],[codigo_id]],[1]DIM_REPRESENTANTE_MEDICO!$C:$F,3,0)</f>
        <v>2</v>
      </c>
      <c r="F2353" s="27" t="s">
        <v>5796</v>
      </c>
      <c r="G2353" s="27" t="s">
        <v>5785</v>
      </c>
      <c r="H2353" s="27" t="s">
        <v>96</v>
      </c>
      <c r="I2353">
        <v>1</v>
      </c>
    </row>
    <row r="2354" spans="1:9">
      <c r="A2354" t="s">
        <v>2769</v>
      </c>
      <c r="B2354" s="27" t="s">
        <v>3229</v>
      </c>
      <c r="C2354" s="27" t="s">
        <v>5775</v>
      </c>
      <c r="D2354">
        <f>VLOOKUP(tblTargetMedicos[[#This Row],[codigo_id]],[1]DIM_REPRESENTANTE_MEDICO!$C:$F,4,0)</f>
        <v>8</v>
      </c>
      <c r="E2354">
        <f>VLOOKUP(tblTargetMedicos[[#This Row],[codigo_id]],[1]DIM_REPRESENTANTE_MEDICO!$C:$F,3,0)</f>
        <v>2</v>
      </c>
      <c r="F2354" s="27" t="s">
        <v>5796</v>
      </c>
      <c r="G2354" s="27" t="s">
        <v>5780</v>
      </c>
      <c r="H2354" s="27" t="s">
        <v>97</v>
      </c>
      <c r="I2354">
        <v>1</v>
      </c>
    </row>
    <row r="2355" spans="1:9">
      <c r="A2355" t="s">
        <v>2770</v>
      </c>
      <c r="B2355" s="27" t="s">
        <v>3229</v>
      </c>
      <c r="C2355" s="27" t="s">
        <v>5775</v>
      </c>
      <c r="D2355">
        <f>VLOOKUP(tblTargetMedicos[[#This Row],[codigo_id]],[1]DIM_REPRESENTANTE_MEDICO!$C:$F,4,0)</f>
        <v>8</v>
      </c>
      <c r="E2355">
        <f>VLOOKUP(tblTargetMedicos[[#This Row],[codigo_id]],[1]DIM_REPRESENTANTE_MEDICO!$C:$F,3,0)</f>
        <v>2</v>
      </c>
      <c r="F2355" s="27" t="s">
        <v>5796</v>
      </c>
      <c r="G2355" s="27" t="s">
        <v>5783</v>
      </c>
      <c r="H2355" s="27" t="s">
        <v>96</v>
      </c>
      <c r="I2355">
        <v>1</v>
      </c>
    </row>
    <row r="2356" spans="1:9">
      <c r="A2356" t="s">
        <v>2771</v>
      </c>
      <c r="B2356" s="27" t="s">
        <v>3229</v>
      </c>
      <c r="C2356" s="27" t="s">
        <v>5775</v>
      </c>
      <c r="D2356">
        <f>VLOOKUP(tblTargetMedicos[[#This Row],[codigo_id]],[1]DIM_REPRESENTANTE_MEDICO!$C:$F,4,0)</f>
        <v>8</v>
      </c>
      <c r="E2356">
        <f>VLOOKUP(tblTargetMedicos[[#This Row],[codigo_id]],[1]DIM_REPRESENTANTE_MEDICO!$C:$F,3,0)</f>
        <v>2</v>
      </c>
      <c r="F2356" s="27" t="s">
        <v>5796</v>
      </c>
      <c r="G2356" s="27" t="s">
        <v>5786</v>
      </c>
      <c r="H2356" s="27" t="s">
        <v>96</v>
      </c>
      <c r="I2356">
        <v>1</v>
      </c>
    </row>
    <row r="2357" spans="1:9">
      <c r="A2357" t="s">
        <v>2772</v>
      </c>
      <c r="B2357" s="27" t="s">
        <v>3229</v>
      </c>
      <c r="C2357" s="27" t="s">
        <v>5775</v>
      </c>
      <c r="D2357">
        <f>VLOOKUP(tblTargetMedicos[[#This Row],[codigo_id]],[1]DIM_REPRESENTANTE_MEDICO!$C:$F,4,0)</f>
        <v>8</v>
      </c>
      <c r="E2357">
        <f>VLOOKUP(tblTargetMedicos[[#This Row],[codigo_id]],[1]DIM_REPRESENTANTE_MEDICO!$C:$F,3,0)</f>
        <v>2</v>
      </c>
      <c r="F2357" s="27" t="s">
        <v>5796</v>
      </c>
      <c r="G2357" s="27" t="s">
        <v>5784</v>
      </c>
      <c r="H2357" s="27" t="s">
        <v>96</v>
      </c>
      <c r="I2357">
        <v>1</v>
      </c>
    </row>
    <row r="2358" spans="1:9">
      <c r="A2358" t="s">
        <v>2773</v>
      </c>
      <c r="B2358" s="27" t="s">
        <v>3229</v>
      </c>
      <c r="C2358" s="27" t="s">
        <v>5775</v>
      </c>
      <c r="D2358">
        <f>VLOOKUP(tblTargetMedicos[[#This Row],[codigo_id]],[1]DIM_REPRESENTANTE_MEDICO!$C:$F,4,0)</f>
        <v>8</v>
      </c>
      <c r="E2358">
        <f>VLOOKUP(tblTargetMedicos[[#This Row],[codigo_id]],[1]DIM_REPRESENTANTE_MEDICO!$C:$F,3,0)</f>
        <v>2</v>
      </c>
      <c r="F2358" s="27" t="s">
        <v>5796</v>
      </c>
      <c r="G2358" s="27" t="s">
        <v>5784</v>
      </c>
      <c r="H2358" s="27" t="s">
        <v>96</v>
      </c>
      <c r="I2358">
        <v>1</v>
      </c>
    </row>
    <row r="2359" spans="1:9">
      <c r="A2359" t="s">
        <v>2774</v>
      </c>
      <c r="B2359" s="27" t="s">
        <v>3229</v>
      </c>
      <c r="C2359" s="27" t="s">
        <v>5775</v>
      </c>
      <c r="D2359">
        <f>VLOOKUP(tblTargetMedicos[[#This Row],[codigo_id]],[1]DIM_REPRESENTANTE_MEDICO!$C:$F,4,0)</f>
        <v>8</v>
      </c>
      <c r="E2359">
        <f>VLOOKUP(tblTargetMedicos[[#This Row],[codigo_id]],[1]DIM_REPRESENTANTE_MEDICO!$C:$F,3,0)</f>
        <v>2</v>
      </c>
      <c r="F2359" s="27" t="s">
        <v>5796</v>
      </c>
      <c r="G2359" s="27" t="s">
        <v>5782</v>
      </c>
      <c r="H2359" s="27" t="s">
        <v>97</v>
      </c>
      <c r="I2359">
        <v>1</v>
      </c>
    </row>
    <row r="2360" spans="1:9">
      <c r="A2360" t="s">
        <v>2775</v>
      </c>
      <c r="B2360" s="27" t="s">
        <v>3229</v>
      </c>
      <c r="C2360" s="27" t="s">
        <v>5775</v>
      </c>
      <c r="D2360">
        <f>VLOOKUP(tblTargetMedicos[[#This Row],[codigo_id]],[1]DIM_REPRESENTANTE_MEDICO!$C:$F,4,0)</f>
        <v>8</v>
      </c>
      <c r="E2360">
        <f>VLOOKUP(tblTargetMedicos[[#This Row],[codigo_id]],[1]DIM_REPRESENTANTE_MEDICO!$C:$F,3,0)</f>
        <v>2</v>
      </c>
      <c r="F2360" s="27" t="s">
        <v>5796</v>
      </c>
      <c r="G2360" s="27" t="s">
        <v>5784</v>
      </c>
      <c r="H2360" s="27" t="s">
        <v>97</v>
      </c>
      <c r="I2360">
        <v>1</v>
      </c>
    </row>
    <row r="2361" spans="1:9">
      <c r="A2361" t="s">
        <v>2776</v>
      </c>
      <c r="B2361" s="27" t="s">
        <v>3229</v>
      </c>
      <c r="C2361" s="27" t="s">
        <v>5775</v>
      </c>
      <c r="D2361">
        <f>VLOOKUP(tblTargetMedicos[[#This Row],[codigo_id]],[1]DIM_REPRESENTANTE_MEDICO!$C:$F,4,0)</f>
        <v>8</v>
      </c>
      <c r="E2361">
        <f>VLOOKUP(tblTargetMedicos[[#This Row],[codigo_id]],[1]DIM_REPRESENTANTE_MEDICO!$C:$F,3,0)</f>
        <v>2</v>
      </c>
      <c r="F2361" s="27" t="s">
        <v>5796</v>
      </c>
      <c r="G2361" s="27" t="s">
        <v>5779</v>
      </c>
      <c r="H2361" s="27" t="s">
        <v>96</v>
      </c>
      <c r="I2361">
        <v>1</v>
      </c>
    </row>
    <row r="2362" spans="1:9">
      <c r="A2362" t="s">
        <v>2777</v>
      </c>
      <c r="B2362" s="27" t="s">
        <v>3229</v>
      </c>
      <c r="C2362" s="27" t="s">
        <v>5775</v>
      </c>
      <c r="D2362">
        <f>VLOOKUP(tblTargetMedicos[[#This Row],[codigo_id]],[1]DIM_REPRESENTANTE_MEDICO!$C:$F,4,0)</f>
        <v>8</v>
      </c>
      <c r="E2362">
        <f>VLOOKUP(tblTargetMedicos[[#This Row],[codigo_id]],[1]DIM_REPRESENTANTE_MEDICO!$C:$F,3,0)</f>
        <v>2</v>
      </c>
      <c r="F2362" s="27" t="s">
        <v>5796</v>
      </c>
      <c r="G2362" s="27" t="s">
        <v>5784</v>
      </c>
      <c r="H2362" s="27" t="s">
        <v>96</v>
      </c>
      <c r="I2362">
        <v>1</v>
      </c>
    </row>
    <row r="2363" spans="1:9">
      <c r="A2363" t="s">
        <v>2778</v>
      </c>
      <c r="B2363" s="27" t="s">
        <v>3229</v>
      </c>
      <c r="C2363" s="27" t="s">
        <v>5775</v>
      </c>
      <c r="D2363">
        <f>VLOOKUP(tblTargetMedicos[[#This Row],[codigo_id]],[1]DIM_REPRESENTANTE_MEDICO!$C:$F,4,0)</f>
        <v>8</v>
      </c>
      <c r="E2363">
        <f>VLOOKUP(tblTargetMedicos[[#This Row],[codigo_id]],[1]DIM_REPRESENTANTE_MEDICO!$C:$F,3,0)</f>
        <v>2</v>
      </c>
      <c r="F2363" s="27" t="s">
        <v>5796</v>
      </c>
      <c r="G2363" s="27" t="s">
        <v>5782</v>
      </c>
      <c r="H2363" s="27" t="s">
        <v>96</v>
      </c>
      <c r="I2363">
        <v>1</v>
      </c>
    </row>
    <row r="2364" spans="1:9">
      <c r="A2364" t="s">
        <v>2779</v>
      </c>
      <c r="B2364" s="27" t="s">
        <v>3229</v>
      </c>
      <c r="C2364" s="27" t="s">
        <v>5775</v>
      </c>
      <c r="D2364">
        <f>VLOOKUP(tblTargetMedicos[[#This Row],[codigo_id]],[1]DIM_REPRESENTANTE_MEDICO!$C:$F,4,0)</f>
        <v>8</v>
      </c>
      <c r="E2364">
        <f>VLOOKUP(tblTargetMedicos[[#This Row],[codigo_id]],[1]DIM_REPRESENTANTE_MEDICO!$C:$F,3,0)</f>
        <v>2</v>
      </c>
      <c r="F2364" s="27" t="s">
        <v>5796</v>
      </c>
      <c r="G2364" s="27" t="s">
        <v>5787</v>
      </c>
      <c r="H2364" s="27" t="s">
        <v>97</v>
      </c>
      <c r="I2364">
        <v>1</v>
      </c>
    </row>
    <row r="2365" spans="1:9">
      <c r="A2365" t="s">
        <v>2780</v>
      </c>
      <c r="B2365" s="27" t="s">
        <v>3229</v>
      </c>
      <c r="C2365" s="27" t="s">
        <v>5775</v>
      </c>
      <c r="D2365">
        <f>VLOOKUP(tblTargetMedicos[[#This Row],[codigo_id]],[1]DIM_REPRESENTANTE_MEDICO!$C:$F,4,0)</f>
        <v>8</v>
      </c>
      <c r="E2365">
        <f>VLOOKUP(tblTargetMedicos[[#This Row],[codigo_id]],[1]DIM_REPRESENTANTE_MEDICO!$C:$F,3,0)</f>
        <v>2</v>
      </c>
      <c r="F2365" s="27" t="s">
        <v>5796</v>
      </c>
      <c r="G2365" s="27" t="s">
        <v>5786</v>
      </c>
      <c r="H2365" s="27" t="s">
        <v>97</v>
      </c>
      <c r="I2365">
        <v>1</v>
      </c>
    </row>
    <row r="2366" spans="1:9">
      <c r="A2366" t="s">
        <v>2781</v>
      </c>
      <c r="B2366" s="27" t="s">
        <v>3229</v>
      </c>
      <c r="C2366" s="27" t="s">
        <v>5775</v>
      </c>
      <c r="D2366">
        <f>VLOOKUP(tblTargetMedicos[[#This Row],[codigo_id]],[1]DIM_REPRESENTANTE_MEDICO!$C:$F,4,0)</f>
        <v>8</v>
      </c>
      <c r="E2366">
        <f>VLOOKUP(tblTargetMedicos[[#This Row],[codigo_id]],[1]DIM_REPRESENTANTE_MEDICO!$C:$F,3,0)</f>
        <v>2</v>
      </c>
      <c r="F2366" s="27" t="s">
        <v>5796</v>
      </c>
      <c r="G2366" s="27" t="s">
        <v>5782</v>
      </c>
      <c r="H2366" s="27" t="s">
        <v>97</v>
      </c>
      <c r="I2366">
        <v>1</v>
      </c>
    </row>
    <row r="2367" spans="1:9">
      <c r="A2367" t="s">
        <v>2782</v>
      </c>
      <c r="B2367" s="27" t="s">
        <v>3229</v>
      </c>
      <c r="C2367" s="27" t="s">
        <v>5775</v>
      </c>
      <c r="D2367">
        <f>VLOOKUP(tblTargetMedicos[[#This Row],[codigo_id]],[1]DIM_REPRESENTANTE_MEDICO!$C:$F,4,0)</f>
        <v>8</v>
      </c>
      <c r="E2367">
        <f>VLOOKUP(tblTargetMedicos[[#This Row],[codigo_id]],[1]DIM_REPRESENTANTE_MEDICO!$C:$F,3,0)</f>
        <v>2</v>
      </c>
      <c r="F2367" s="27" t="s">
        <v>5796</v>
      </c>
      <c r="G2367" s="27" t="s">
        <v>5786</v>
      </c>
      <c r="H2367" s="27" t="s">
        <v>96</v>
      </c>
      <c r="I2367">
        <v>1</v>
      </c>
    </row>
    <row r="2368" spans="1:9">
      <c r="A2368" t="s">
        <v>2783</v>
      </c>
      <c r="B2368" s="27" t="s">
        <v>3229</v>
      </c>
      <c r="C2368" s="27" t="s">
        <v>5775</v>
      </c>
      <c r="D2368">
        <f>VLOOKUP(tblTargetMedicos[[#This Row],[codigo_id]],[1]DIM_REPRESENTANTE_MEDICO!$C:$F,4,0)</f>
        <v>8</v>
      </c>
      <c r="E2368">
        <f>VLOOKUP(tblTargetMedicos[[#This Row],[codigo_id]],[1]DIM_REPRESENTANTE_MEDICO!$C:$F,3,0)</f>
        <v>2</v>
      </c>
      <c r="F2368" s="27" t="s">
        <v>5796</v>
      </c>
      <c r="G2368" s="27" t="s">
        <v>5784</v>
      </c>
      <c r="H2368" s="27" t="s">
        <v>96</v>
      </c>
      <c r="I2368">
        <v>1</v>
      </c>
    </row>
    <row r="2369" spans="1:9">
      <c r="A2369" t="s">
        <v>2784</v>
      </c>
      <c r="B2369" s="27" t="s">
        <v>3229</v>
      </c>
      <c r="C2369" s="27" t="s">
        <v>5775</v>
      </c>
      <c r="D2369">
        <f>VLOOKUP(tblTargetMedicos[[#This Row],[codigo_id]],[1]DIM_REPRESENTANTE_MEDICO!$C:$F,4,0)</f>
        <v>8</v>
      </c>
      <c r="E2369">
        <f>VLOOKUP(tblTargetMedicos[[#This Row],[codigo_id]],[1]DIM_REPRESENTANTE_MEDICO!$C:$F,3,0)</f>
        <v>2</v>
      </c>
      <c r="F2369" s="27" t="s">
        <v>5796</v>
      </c>
      <c r="G2369" s="27" t="s">
        <v>5779</v>
      </c>
      <c r="H2369" s="27" t="s">
        <v>96</v>
      </c>
      <c r="I2369">
        <v>1</v>
      </c>
    </row>
    <row r="2370" spans="1:9">
      <c r="A2370" t="s">
        <v>2785</v>
      </c>
      <c r="B2370" s="27" t="s">
        <v>3229</v>
      </c>
      <c r="C2370" s="27" t="s">
        <v>5775</v>
      </c>
      <c r="D2370">
        <f>VLOOKUP(tblTargetMedicos[[#This Row],[codigo_id]],[1]DIM_REPRESENTANTE_MEDICO!$C:$F,4,0)</f>
        <v>8</v>
      </c>
      <c r="E2370">
        <f>VLOOKUP(tblTargetMedicos[[#This Row],[codigo_id]],[1]DIM_REPRESENTANTE_MEDICO!$C:$F,3,0)</f>
        <v>2</v>
      </c>
      <c r="F2370" s="27" t="s">
        <v>5796</v>
      </c>
      <c r="G2370" s="27" t="s">
        <v>5783</v>
      </c>
      <c r="H2370" s="27" t="s">
        <v>97</v>
      </c>
      <c r="I2370">
        <v>1</v>
      </c>
    </row>
    <row r="2371" spans="1:9">
      <c r="A2371" t="s">
        <v>2786</v>
      </c>
      <c r="B2371" s="27" t="s">
        <v>3229</v>
      </c>
      <c r="C2371" s="27" t="s">
        <v>5775</v>
      </c>
      <c r="D2371">
        <f>VLOOKUP(tblTargetMedicos[[#This Row],[codigo_id]],[1]DIM_REPRESENTANTE_MEDICO!$C:$F,4,0)</f>
        <v>8</v>
      </c>
      <c r="E2371">
        <f>VLOOKUP(tblTargetMedicos[[#This Row],[codigo_id]],[1]DIM_REPRESENTANTE_MEDICO!$C:$F,3,0)</f>
        <v>2</v>
      </c>
      <c r="F2371" s="27" t="s">
        <v>5796</v>
      </c>
      <c r="G2371" s="27" t="s">
        <v>5783</v>
      </c>
      <c r="H2371" s="27" t="s">
        <v>96</v>
      </c>
      <c r="I2371">
        <v>1</v>
      </c>
    </row>
    <row r="2372" spans="1:9">
      <c r="A2372" t="s">
        <v>2787</v>
      </c>
      <c r="B2372" s="27" t="s">
        <v>3229</v>
      </c>
      <c r="C2372" s="27" t="s">
        <v>5775</v>
      </c>
      <c r="D2372">
        <f>VLOOKUP(tblTargetMedicos[[#This Row],[codigo_id]],[1]DIM_REPRESENTANTE_MEDICO!$C:$F,4,0)</f>
        <v>8</v>
      </c>
      <c r="E2372">
        <f>VLOOKUP(tblTargetMedicos[[#This Row],[codigo_id]],[1]DIM_REPRESENTANTE_MEDICO!$C:$F,3,0)</f>
        <v>2</v>
      </c>
      <c r="F2372" s="27" t="s">
        <v>5796</v>
      </c>
      <c r="G2372" s="27" t="s">
        <v>5783</v>
      </c>
      <c r="H2372" s="27" t="s">
        <v>96</v>
      </c>
      <c r="I2372">
        <v>1</v>
      </c>
    </row>
    <row r="2373" spans="1:9">
      <c r="A2373" t="s">
        <v>2788</v>
      </c>
      <c r="B2373" s="27" t="s">
        <v>3229</v>
      </c>
      <c r="C2373" s="27" t="s">
        <v>5775</v>
      </c>
      <c r="D2373">
        <f>VLOOKUP(tblTargetMedicos[[#This Row],[codigo_id]],[1]DIM_REPRESENTANTE_MEDICO!$C:$F,4,0)</f>
        <v>8</v>
      </c>
      <c r="E2373">
        <f>VLOOKUP(tblTargetMedicos[[#This Row],[codigo_id]],[1]DIM_REPRESENTANTE_MEDICO!$C:$F,3,0)</f>
        <v>2</v>
      </c>
      <c r="F2373" s="27" t="s">
        <v>5796</v>
      </c>
      <c r="G2373" s="27" t="s">
        <v>5783</v>
      </c>
      <c r="H2373" s="27" t="s">
        <v>96</v>
      </c>
      <c r="I2373">
        <v>1</v>
      </c>
    </row>
    <row r="2374" spans="1:9">
      <c r="A2374" t="s">
        <v>2789</v>
      </c>
      <c r="B2374" s="27" t="s">
        <v>3229</v>
      </c>
      <c r="C2374" s="27" t="s">
        <v>5775</v>
      </c>
      <c r="D2374">
        <f>VLOOKUP(tblTargetMedicos[[#This Row],[codigo_id]],[1]DIM_REPRESENTANTE_MEDICO!$C:$F,4,0)</f>
        <v>8</v>
      </c>
      <c r="E2374">
        <f>VLOOKUP(tblTargetMedicos[[#This Row],[codigo_id]],[1]DIM_REPRESENTANTE_MEDICO!$C:$F,3,0)</f>
        <v>2</v>
      </c>
      <c r="F2374" s="27" t="s">
        <v>5796</v>
      </c>
      <c r="G2374" s="27" t="s">
        <v>5788</v>
      </c>
      <c r="H2374" s="27" t="s">
        <v>97</v>
      </c>
      <c r="I2374">
        <v>1</v>
      </c>
    </row>
    <row r="2375" spans="1:9">
      <c r="A2375" t="s">
        <v>2790</v>
      </c>
      <c r="B2375" s="27" t="s">
        <v>3229</v>
      </c>
      <c r="C2375" s="27" t="s">
        <v>5775</v>
      </c>
      <c r="D2375">
        <f>VLOOKUP(tblTargetMedicos[[#This Row],[codigo_id]],[1]DIM_REPRESENTANTE_MEDICO!$C:$F,4,0)</f>
        <v>8</v>
      </c>
      <c r="E2375">
        <f>VLOOKUP(tblTargetMedicos[[#This Row],[codigo_id]],[1]DIM_REPRESENTANTE_MEDICO!$C:$F,3,0)</f>
        <v>2</v>
      </c>
      <c r="F2375" s="27" t="s">
        <v>5796</v>
      </c>
      <c r="G2375" s="27" t="s">
        <v>5788</v>
      </c>
      <c r="H2375" s="27" t="s">
        <v>97</v>
      </c>
      <c r="I2375">
        <v>1</v>
      </c>
    </row>
    <row r="2376" spans="1:9">
      <c r="A2376" t="s">
        <v>2791</v>
      </c>
      <c r="B2376" s="27" t="s">
        <v>3229</v>
      </c>
      <c r="C2376" s="27" t="s">
        <v>5775</v>
      </c>
      <c r="D2376">
        <f>VLOOKUP(tblTargetMedicos[[#This Row],[codigo_id]],[1]DIM_REPRESENTANTE_MEDICO!$C:$F,4,0)</f>
        <v>8</v>
      </c>
      <c r="E2376">
        <f>VLOOKUP(tblTargetMedicos[[#This Row],[codigo_id]],[1]DIM_REPRESENTANTE_MEDICO!$C:$F,3,0)</f>
        <v>2</v>
      </c>
      <c r="F2376" s="27" t="s">
        <v>5796</v>
      </c>
      <c r="G2376" s="27" t="s">
        <v>5784</v>
      </c>
      <c r="H2376" s="27" t="s">
        <v>97</v>
      </c>
      <c r="I2376">
        <v>1</v>
      </c>
    </row>
    <row r="2377" spans="1:9">
      <c r="A2377" t="s">
        <v>2792</v>
      </c>
      <c r="B2377" s="27" t="s">
        <v>3229</v>
      </c>
      <c r="C2377" s="27" t="s">
        <v>5775</v>
      </c>
      <c r="D2377">
        <f>VLOOKUP(tblTargetMedicos[[#This Row],[codigo_id]],[1]DIM_REPRESENTANTE_MEDICO!$C:$F,4,0)</f>
        <v>8</v>
      </c>
      <c r="E2377">
        <f>VLOOKUP(tblTargetMedicos[[#This Row],[codigo_id]],[1]DIM_REPRESENTANTE_MEDICO!$C:$F,3,0)</f>
        <v>2</v>
      </c>
      <c r="F2377" s="27" t="s">
        <v>5796</v>
      </c>
      <c r="G2377" s="27" t="s">
        <v>5784</v>
      </c>
      <c r="H2377" s="27" t="s">
        <v>97</v>
      </c>
      <c r="I2377">
        <v>1</v>
      </c>
    </row>
    <row r="2378" spans="1:9">
      <c r="A2378" t="s">
        <v>2793</v>
      </c>
      <c r="B2378" s="27" t="s">
        <v>3229</v>
      </c>
      <c r="C2378" s="27" t="s">
        <v>5775</v>
      </c>
      <c r="D2378">
        <f>VLOOKUP(tblTargetMedicos[[#This Row],[codigo_id]],[1]DIM_REPRESENTANTE_MEDICO!$C:$F,4,0)</f>
        <v>8</v>
      </c>
      <c r="E2378">
        <f>VLOOKUP(tblTargetMedicos[[#This Row],[codigo_id]],[1]DIM_REPRESENTANTE_MEDICO!$C:$F,3,0)</f>
        <v>2</v>
      </c>
      <c r="F2378" s="27" t="s">
        <v>5796</v>
      </c>
      <c r="G2378" s="27" t="s">
        <v>5784</v>
      </c>
      <c r="H2378" s="27" t="s">
        <v>5793</v>
      </c>
      <c r="I2378">
        <v>1</v>
      </c>
    </row>
    <row r="2379" spans="1:9">
      <c r="A2379" t="s">
        <v>2794</v>
      </c>
      <c r="B2379" s="27" t="s">
        <v>3229</v>
      </c>
      <c r="C2379" s="27" t="s">
        <v>5775</v>
      </c>
      <c r="D2379">
        <f>VLOOKUP(tblTargetMedicos[[#This Row],[codigo_id]],[1]DIM_REPRESENTANTE_MEDICO!$C:$F,4,0)</f>
        <v>8</v>
      </c>
      <c r="E2379">
        <f>VLOOKUP(tblTargetMedicos[[#This Row],[codigo_id]],[1]DIM_REPRESENTANTE_MEDICO!$C:$F,3,0)</f>
        <v>2</v>
      </c>
      <c r="F2379" s="27" t="s">
        <v>5796</v>
      </c>
      <c r="G2379" s="27" t="s">
        <v>5784</v>
      </c>
      <c r="H2379" s="27" t="s">
        <v>97</v>
      </c>
      <c r="I2379">
        <v>1</v>
      </c>
    </row>
    <row r="2380" spans="1:9">
      <c r="A2380" t="s">
        <v>2795</v>
      </c>
      <c r="B2380" s="27" t="s">
        <v>3229</v>
      </c>
      <c r="C2380" s="27" t="s">
        <v>5775</v>
      </c>
      <c r="D2380">
        <f>VLOOKUP(tblTargetMedicos[[#This Row],[codigo_id]],[1]DIM_REPRESENTANTE_MEDICO!$C:$F,4,0)</f>
        <v>8</v>
      </c>
      <c r="E2380">
        <f>VLOOKUP(tblTargetMedicos[[#This Row],[codigo_id]],[1]DIM_REPRESENTANTE_MEDICO!$C:$F,3,0)</f>
        <v>2</v>
      </c>
      <c r="F2380" s="27" t="s">
        <v>5796</v>
      </c>
      <c r="G2380" s="27" t="s">
        <v>5788</v>
      </c>
      <c r="H2380" s="27" t="s">
        <v>97</v>
      </c>
      <c r="I2380">
        <v>1</v>
      </c>
    </row>
    <row r="2381" spans="1:9">
      <c r="A2381" t="s">
        <v>2796</v>
      </c>
      <c r="B2381" s="27" t="s">
        <v>3229</v>
      </c>
      <c r="C2381" s="27" t="s">
        <v>5775</v>
      </c>
      <c r="D2381">
        <f>VLOOKUP(tblTargetMedicos[[#This Row],[codigo_id]],[1]DIM_REPRESENTANTE_MEDICO!$C:$F,4,0)</f>
        <v>8</v>
      </c>
      <c r="E2381">
        <f>VLOOKUP(tblTargetMedicos[[#This Row],[codigo_id]],[1]DIM_REPRESENTANTE_MEDICO!$C:$F,3,0)</f>
        <v>2</v>
      </c>
      <c r="F2381" s="27" t="s">
        <v>5796</v>
      </c>
      <c r="G2381" s="27" t="s">
        <v>5784</v>
      </c>
      <c r="H2381" s="27" t="s">
        <v>97</v>
      </c>
      <c r="I2381">
        <v>1</v>
      </c>
    </row>
    <row r="2382" spans="1:9">
      <c r="A2382" t="s">
        <v>2797</v>
      </c>
      <c r="B2382" s="27" t="s">
        <v>3229</v>
      </c>
      <c r="C2382" s="27" t="s">
        <v>5775</v>
      </c>
      <c r="D2382">
        <f>VLOOKUP(tblTargetMedicos[[#This Row],[codigo_id]],[1]DIM_REPRESENTANTE_MEDICO!$C:$F,4,0)</f>
        <v>8</v>
      </c>
      <c r="E2382">
        <f>VLOOKUP(tblTargetMedicos[[#This Row],[codigo_id]],[1]DIM_REPRESENTANTE_MEDICO!$C:$F,3,0)</f>
        <v>2</v>
      </c>
      <c r="F2382" s="27" t="s">
        <v>5796</v>
      </c>
      <c r="G2382" s="27" t="s">
        <v>5784</v>
      </c>
      <c r="H2382" s="27" t="s">
        <v>97</v>
      </c>
      <c r="I2382">
        <v>1</v>
      </c>
    </row>
    <row r="2383" spans="1:9">
      <c r="A2383" t="s">
        <v>2798</v>
      </c>
      <c r="B2383" s="27" t="s">
        <v>3229</v>
      </c>
      <c r="C2383" s="27" t="s">
        <v>5775</v>
      </c>
      <c r="D2383">
        <f>VLOOKUP(tblTargetMedicos[[#This Row],[codigo_id]],[1]DIM_REPRESENTANTE_MEDICO!$C:$F,4,0)</f>
        <v>8</v>
      </c>
      <c r="E2383">
        <f>VLOOKUP(tblTargetMedicos[[#This Row],[codigo_id]],[1]DIM_REPRESENTANTE_MEDICO!$C:$F,3,0)</f>
        <v>2</v>
      </c>
      <c r="F2383" s="27" t="s">
        <v>5796</v>
      </c>
      <c r="G2383" s="27" t="s">
        <v>5784</v>
      </c>
      <c r="H2383" s="27" t="s">
        <v>96</v>
      </c>
      <c r="I2383">
        <v>1</v>
      </c>
    </row>
    <row r="2384" spans="1:9">
      <c r="A2384" t="s">
        <v>2799</v>
      </c>
      <c r="B2384" s="27" t="s">
        <v>3229</v>
      </c>
      <c r="C2384" s="27" t="s">
        <v>5775</v>
      </c>
      <c r="D2384">
        <f>VLOOKUP(tblTargetMedicos[[#This Row],[codigo_id]],[1]DIM_REPRESENTANTE_MEDICO!$C:$F,4,0)</f>
        <v>8</v>
      </c>
      <c r="E2384">
        <f>VLOOKUP(tblTargetMedicos[[#This Row],[codigo_id]],[1]DIM_REPRESENTANTE_MEDICO!$C:$F,3,0)</f>
        <v>2</v>
      </c>
      <c r="F2384" s="27" t="s">
        <v>5796</v>
      </c>
      <c r="G2384" s="27" t="s">
        <v>5784</v>
      </c>
      <c r="H2384" s="27" t="s">
        <v>97</v>
      </c>
      <c r="I2384">
        <v>1</v>
      </c>
    </row>
    <row r="2385" spans="1:9">
      <c r="A2385" t="s">
        <v>2800</v>
      </c>
      <c r="B2385" s="27" t="s">
        <v>3229</v>
      </c>
      <c r="C2385" s="27" t="s">
        <v>5775</v>
      </c>
      <c r="D2385">
        <f>VLOOKUP(tblTargetMedicos[[#This Row],[codigo_id]],[1]DIM_REPRESENTANTE_MEDICO!$C:$F,4,0)</f>
        <v>8</v>
      </c>
      <c r="E2385">
        <f>VLOOKUP(tblTargetMedicos[[#This Row],[codigo_id]],[1]DIM_REPRESENTANTE_MEDICO!$C:$F,3,0)</f>
        <v>2</v>
      </c>
      <c r="F2385" s="27" t="s">
        <v>5796</v>
      </c>
      <c r="G2385" s="27" t="s">
        <v>5784</v>
      </c>
      <c r="H2385" s="27" t="s">
        <v>96</v>
      </c>
      <c r="I2385">
        <v>1</v>
      </c>
    </row>
    <row r="2386" spans="1:9">
      <c r="A2386" t="s">
        <v>2801</v>
      </c>
      <c r="B2386" s="27" t="s">
        <v>3229</v>
      </c>
      <c r="C2386" s="27" t="s">
        <v>5775</v>
      </c>
      <c r="D2386">
        <f>VLOOKUP(tblTargetMedicos[[#This Row],[codigo_id]],[1]DIM_REPRESENTANTE_MEDICO!$C:$F,4,0)</f>
        <v>8</v>
      </c>
      <c r="E2386">
        <f>VLOOKUP(tblTargetMedicos[[#This Row],[codigo_id]],[1]DIM_REPRESENTANTE_MEDICO!$C:$F,3,0)</f>
        <v>2</v>
      </c>
      <c r="F2386" s="27" t="s">
        <v>5796</v>
      </c>
      <c r="G2386" s="27" t="s">
        <v>5779</v>
      </c>
      <c r="H2386" s="27" t="s">
        <v>96</v>
      </c>
      <c r="I2386">
        <v>1</v>
      </c>
    </row>
    <row r="2387" spans="1:9">
      <c r="A2387" t="s">
        <v>2802</v>
      </c>
      <c r="B2387" s="27" t="s">
        <v>3229</v>
      </c>
      <c r="C2387" s="27" t="s">
        <v>5775</v>
      </c>
      <c r="D2387">
        <f>VLOOKUP(tblTargetMedicos[[#This Row],[codigo_id]],[1]DIM_REPRESENTANTE_MEDICO!$C:$F,4,0)</f>
        <v>8</v>
      </c>
      <c r="E2387">
        <f>VLOOKUP(tblTargetMedicos[[#This Row],[codigo_id]],[1]DIM_REPRESENTANTE_MEDICO!$C:$F,3,0)</f>
        <v>2</v>
      </c>
      <c r="F2387" s="27" t="s">
        <v>5796</v>
      </c>
      <c r="G2387" s="27" t="s">
        <v>5784</v>
      </c>
      <c r="H2387" s="27" t="s">
        <v>95</v>
      </c>
      <c r="I2387">
        <v>1</v>
      </c>
    </row>
    <row r="2388" spans="1:9">
      <c r="A2388" t="s">
        <v>2803</v>
      </c>
      <c r="B2388" s="27" t="s">
        <v>3229</v>
      </c>
      <c r="C2388" s="27" t="s">
        <v>5775</v>
      </c>
      <c r="D2388">
        <f>VLOOKUP(tblTargetMedicos[[#This Row],[codigo_id]],[1]DIM_REPRESENTANTE_MEDICO!$C:$F,4,0)</f>
        <v>8</v>
      </c>
      <c r="E2388">
        <f>VLOOKUP(tblTargetMedicos[[#This Row],[codigo_id]],[1]DIM_REPRESENTANTE_MEDICO!$C:$F,3,0)</f>
        <v>2</v>
      </c>
      <c r="F2388" s="27" t="s">
        <v>5796</v>
      </c>
      <c r="G2388" s="27" t="s">
        <v>5785</v>
      </c>
      <c r="H2388" s="27" t="s">
        <v>96</v>
      </c>
      <c r="I2388">
        <v>1</v>
      </c>
    </row>
    <row r="2389" spans="1:9">
      <c r="A2389" t="s">
        <v>2804</v>
      </c>
      <c r="B2389" s="27" t="s">
        <v>3229</v>
      </c>
      <c r="C2389" s="27" t="s">
        <v>5775</v>
      </c>
      <c r="D2389">
        <f>VLOOKUP(tblTargetMedicos[[#This Row],[codigo_id]],[1]DIM_REPRESENTANTE_MEDICO!$C:$F,4,0)</f>
        <v>8</v>
      </c>
      <c r="E2389">
        <f>VLOOKUP(tblTargetMedicos[[#This Row],[codigo_id]],[1]DIM_REPRESENTANTE_MEDICO!$C:$F,3,0)</f>
        <v>2</v>
      </c>
      <c r="F2389" s="27" t="s">
        <v>5796</v>
      </c>
      <c r="G2389" s="27" t="s">
        <v>5784</v>
      </c>
      <c r="H2389" s="27" t="s">
        <v>95</v>
      </c>
      <c r="I2389">
        <v>1</v>
      </c>
    </row>
    <row r="2390" spans="1:9">
      <c r="A2390" t="s">
        <v>2805</v>
      </c>
      <c r="B2390" s="27" t="s">
        <v>3229</v>
      </c>
      <c r="C2390" s="27" t="s">
        <v>5775</v>
      </c>
      <c r="D2390">
        <f>VLOOKUP(tblTargetMedicos[[#This Row],[codigo_id]],[1]DIM_REPRESENTANTE_MEDICO!$C:$F,4,0)</f>
        <v>8</v>
      </c>
      <c r="E2390">
        <f>VLOOKUP(tblTargetMedicos[[#This Row],[codigo_id]],[1]DIM_REPRESENTANTE_MEDICO!$C:$F,3,0)</f>
        <v>2</v>
      </c>
      <c r="F2390" s="27" t="s">
        <v>5796</v>
      </c>
      <c r="G2390" s="27" t="s">
        <v>5784</v>
      </c>
      <c r="H2390" s="27" t="s">
        <v>95</v>
      </c>
      <c r="I2390">
        <v>1</v>
      </c>
    </row>
    <row r="2391" spans="1:9">
      <c r="A2391" t="s">
        <v>2806</v>
      </c>
      <c r="B2391" s="27" t="s">
        <v>3229</v>
      </c>
      <c r="C2391" s="27" t="s">
        <v>5775</v>
      </c>
      <c r="D2391">
        <f>VLOOKUP(tblTargetMedicos[[#This Row],[codigo_id]],[1]DIM_REPRESENTANTE_MEDICO!$C:$F,4,0)</f>
        <v>8</v>
      </c>
      <c r="E2391">
        <f>VLOOKUP(tblTargetMedicos[[#This Row],[codigo_id]],[1]DIM_REPRESENTANTE_MEDICO!$C:$F,3,0)</f>
        <v>2</v>
      </c>
      <c r="F2391" s="27" t="s">
        <v>5796</v>
      </c>
      <c r="G2391" s="27" t="s">
        <v>5784</v>
      </c>
      <c r="H2391" s="27" t="s">
        <v>95</v>
      </c>
      <c r="I2391">
        <v>1</v>
      </c>
    </row>
    <row r="2392" spans="1:9">
      <c r="A2392" t="s">
        <v>2807</v>
      </c>
      <c r="B2392" s="27" t="s">
        <v>3229</v>
      </c>
      <c r="C2392" s="27" t="s">
        <v>5775</v>
      </c>
      <c r="D2392">
        <f>VLOOKUP(tblTargetMedicos[[#This Row],[codigo_id]],[1]DIM_REPRESENTANTE_MEDICO!$C:$F,4,0)</f>
        <v>8</v>
      </c>
      <c r="E2392">
        <f>VLOOKUP(tblTargetMedicos[[#This Row],[codigo_id]],[1]DIM_REPRESENTANTE_MEDICO!$C:$F,3,0)</f>
        <v>2</v>
      </c>
      <c r="F2392" s="27" t="s">
        <v>5796</v>
      </c>
      <c r="G2392" s="27" t="s">
        <v>5783</v>
      </c>
      <c r="H2392" s="27" t="s">
        <v>96</v>
      </c>
      <c r="I2392">
        <v>1</v>
      </c>
    </row>
    <row r="2393" spans="1:9">
      <c r="A2393" t="s">
        <v>2808</v>
      </c>
      <c r="B2393" s="27" t="s">
        <v>3229</v>
      </c>
      <c r="C2393" s="27" t="s">
        <v>5775</v>
      </c>
      <c r="D2393">
        <f>VLOOKUP(tblTargetMedicos[[#This Row],[codigo_id]],[1]DIM_REPRESENTANTE_MEDICO!$C:$F,4,0)</f>
        <v>8</v>
      </c>
      <c r="E2393">
        <f>VLOOKUP(tblTargetMedicos[[#This Row],[codigo_id]],[1]DIM_REPRESENTANTE_MEDICO!$C:$F,3,0)</f>
        <v>2</v>
      </c>
      <c r="F2393" s="27" t="s">
        <v>5796</v>
      </c>
      <c r="G2393" s="27" t="s">
        <v>5784</v>
      </c>
      <c r="H2393" s="27" t="s">
        <v>95</v>
      </c>
      <c r="I2393">
        <v>1</v>
      </c>
    </row>
    <row r="2394" spans="1:9">
      <c r="A2394" t="s">
        <v>2809</v>
      </c>
      <c r="B2394" s="27" t="s">
        <v>3229</v>
      </c>
      <c r="C2394" s="27" t="s">
        <v>5775</v>
      </c>
      <c r="D2394">
        <f>VLOOKUP(tblTargetMedicos[[#This Row],[codigo_id]],[1]DIM_REPRESENTANTE_MEDICO!$C:$F,4,0)</f>
        <v>8</v>
      </c>
      <c r="E2394">
        <f>VLOOKUP(tblTargetMedicos[[#This Row],[codigo_id]],[1]DIM_REPRESENTANTE_MEDICO!$C:$F,3,0)</f>
        <v>2</v>
      </c>
      <c r="F2394" s="27" t="s">
        <v>5796</v>
      </c>
      <c r="G2394" s="27" t="s">
        <v>5783</v>
      </c>
      <c r="H2394" s="27" t="s">
        <v>95</v>
      </c>
      <c r="I2394">
        <v>1</v>
      </c>
    </row>
    <row r="2395" spans="1:9">
      <c r="A2395" t="s">
        <v>2810</v>
      </c>
      <c r="B2395" s="27" t="s">
        <v>3229</v>
      </c>
      <c r="C2395" s="27" t="s">
        <v>5775</v>
      </c>
      <c r="D2395">
        <f>VLOOKUP(tblTargetMedicos[[#This Row],[codigo_id]],[1]DIM_REPRESENTANTE_MEDICO!$C:$F,4,0)</f>
        <v>8</v>
      </c>
      <c r="E2395">
        <f>VLOOKUP(tblTargetMedicos[[#This Row],[codigo_id]],[1]DIM_REPRESENTANTE_MEDICO!$C:$F,3,0)</f>
        <v>2</v>
      </c>
      <c r="F2395" s="27" t="s">
        <v>5796</v>
      </c>
      <c r="G2395" s="27" t="s">
        <v>5788</v>
      </c>
      <c r="H2395" s="27" t="s">
        <v>95</v>
      </c>
      <c r="I2395">
        <v>1</v>
      </c>
    </row>
    <row r="2396" spans="1:9">
      <c r="A2396" t="s">
        <v>2811</v>
      </c>
      <c r="B2396" s="27" t="s">
        <v>3229</v>
      </c>
      <c r="C2396" s="27" t="s">
        <v>5775</v>
      </c>
      <c r="D2396">
        <f>VLOOKUP(tblTargetMedicos[[#This Row],[codigo_id]],[1]DIM_REPRESENTANTE_MEDICO!$C:$F,4,0)</f>
        <v>8</v>
      </c>
      <c r="E2396">
        <f>VLOOKUP(tblTargetMedicos[[#This Row],[codigo_id]],[1]DIM_REPRESENTANTE_MEDICO!$C:$F,3,0)</f>
        <v>2</v>
      </c>
      <c r="F2396" s="27" t="s">
        <v>5796</v>
      </c>
      <c r="G2396" s="27" t="s">
        <v>5779</v>
      </c>
      <c r="H2396" s="27" t="s">
        <v>95</v>
      </c>
      <c r="I2396">
        <v>1</v>
      </c>
    </row>
    <row r="2397" spans="1:9">
      <c r="A2397" t="s">
        <v>2812</v>
      </c>
      <c r="B2397" s="27" t="s">
        <v>3229</v>
      </c>
      <c r="C2397" s="27" t="s">
        <v>5775</v>
      </c>
      <c r="D2397">
        <f>VLOOKUP(tblTargetMedicos[[#This Row],[codigo_id]],[1]DIM_REPRESENTANTE_MEDICO!$C:$F,4,0)</f>
        <v>8</v>
      </c>
      <c r="E2397">
        <f>VLOOKUP(tblTargetMedicos[[#This Row],[codigo_id]],[1]DIM_REPRESENTANTE_MEDICO!$C:$F,3,0)</f>
        <v>2</v>
      </c>
      <c r="F2397" s="27" t="s">
        <v>5796</v>
      </c>
      <c r="G2397" s="27" t="s">
        <v>5779</v>
      </c>
      <c r="H2397" s="27" t="s">
        <v>97</v>
      </c>
      <c r="I2397">
        <v>1</v>
      </c>
    </row>
    <row r="2398" spans="1:9">
      <c r="A2398" t="s">
        <v>2813</v>
      </c>
      <c r="B2398" s="27" t="s">
        <v>3229</v>
      </c>
      <c r="C2398" s="27" t="s">
        <v>5775</v>
      </c>
      <c r="D2398">
        <f>VLOOKUP(tblTargetMedicos[[#This Row],[codigo_id]],[1]DIM_REPRESENTANTE_MEDICO!$C:$F,4,0)</f>
        <v>8</v>
      </c>
      <c r="E2398">
        <f>VLOOKUP(tblTargetMedicos[[#This Row],[codigo_id]],[1]DIM_REPRESENTANTE_MEDICO!$C:$F,3,0)</f>
        <v>2</v>
      </c>
      <c r="F2398" s="27" t="s">
        <v>5796</v>
      </c>
      <c r="G2398" s="27" t="s">
        <v>5784</v>
      </c>
      <c r="H2398" s="27" t="s">
        <v>97</v>
      </c>
      <c r="I2398">
        <v>1</v>
      </c>
    </row>
    <row r="2399" spans="1:9">
      <c r="A2399" t="s">
        <v>2814</v>
      </c>
      <c r="B2399" s="27" t="s">
        <v>3229</v>
      </c>
      <c r="C2399" s="27" t="s">
        <v>5775</v>
      </c>
      <c r="D2399">
        <f>VLOOKUP(tblTargetMedicos[[#This Row],[codigo_id]],[1]DIM_REPRESENTANTE_MEDICO!$C:$F,4,0)</f>
        <v>8</v>
      </c>
      <c r="E2399">
        <f>VLOOKUP(tblTargetMedicos[[#This Row],[codigo_id]],[1]DIM_REPRESENTANTE_MEDICO!$C:$F,3,0)</f>
        <v>2</v>
      </c>
      <c r="F2399" s="27" t="s">
        <v>5796</v>
      </c>
      <c r="G2399" s="27" t="s">
        <v>5784</v>
      </c>
      <c r="H2399" s="27" t="s">
        <v>97</v>
      </c>
      <c r="I2399">
        <v>1</v>
      </c>
    </row>
    <row r="2400" spans="1:9">
      <c r="A2400" t="s">
        <v>2815</v>
      </c>
      <c r="B2400" s="27" t="s">
        <v>3229</v>
      </c>
      <c r="C2400" s="27" t="s">
        <v>5775</v>
      </c>
      <c r="D2400">
        <f>VLOOKUP(tblTargetMedicos[[#This Row],[codigo_id]],[1]DIM_REPRESENTANTE_MEDICO!$C:$F,4,0)</f>
        <v>8</v>
      </c>
      <c r="E2400">
        <f>VLOOKUP(tblTargetMedicos[[#This Row],[codigo_id]],[1]DIM_REPRESENTANTE_MEDICO!$C:$F,3,0)</f>
        <v>2</v>
      </c>
      <c r="F2400" s="27" t="s">
        <v>5796</v>
      </c>
      <c r="G2400" s="27" t="s">
        <v>5781</v>
      </c>
      <c r="H2400" s="27" t="s">
        <v>97</v>
      </c>
      <c r="I2400">
        <v>1</v>
      </c>
    </row>
    <row r="2401" spans="1:9">
      <c r="A2401" t="s">
        <v>2816</v>
      </c>
      <c r="B2401" s="27" t="s">
        <v>3229</v>
      </c>
      <c r="C2401" s="27" t="s">
        <v>5775</v>
      </c>
      <c r="D2401">
        <f>VLOOKUP(tblTargetMedicos[[#This Row],[codigo_id]],[1]DIM_REPRESENTANTE_MEDICO!$C:$F,4,0)</f>
        <v>8</v>
      </c>
      <c r="E2401">
        <f>VLOOKUP(tblTargetMedicos[[#This Row],[codigo_id]],[1]DIM_REPRESENTANTE_MEDICO!$C:$F,3,0)</f>
        <v>2</v>
      </c>
      <c r="F2401" s="27" t="s">
        <v>5796</v>
      </c>
      <c r="G2401" s="27" t="s">
        <v>5784</v>
      </c>
      <c r="H2401" s="27" t="s">
        <v>97</v>
      </c>
      <c r="I2401">
        <v>1</v>
      </c>
    </row>
    <row r="2402" spans="1:9">
      <c r="A2402" t="s">
        <v>2817</v>
      </c>
      <c r="B2402" s="27" t="s">
        <v>3229</v>
      </c>
      <c r="C2402" s="27" t="s">
        <v>5775</v>
      </c>
      <c r="D2402">
        <f>VLOOKUP(tblTargetMedicos[[#This Row],[codigo_id]],[1]DIM_REPRESENTANTE_MEDICO!$C:$F,4,0)</f>
        <v>8</v>
      </c>
      <c r="E2402">
        <f>VLOOKUP(tblTargetMedicos[[#This Row],[codigo_id]],[1]DIM_REPRESENTANTE_MEDICO!$C:$F,3,0)</f>
        <v>2</v>
      </c>
      <c r="F2402" s="27" t="s">
        <v>5796</v>
      </c>
      <c r="G2402" s="27" t="s">
        <v>5779</v>
      </c>
      <c r="H2402" s="27" t="s">
        <v>97</v>
      </c>
      <c r="I2402">
        <v>1</v>
      </c>
    </row>
    <row r="2403" spans="1:9">
      <c r="A2403" t="s">
        <v>2818</v>
      </c>
      <c r="B2403" s="27" t="s">
        <v>3229</v>
      </c>
      <c r="C2403" s="27" t="s">
        <v>5775</v>
      </c>
      <c r="D2403">
        <f>VLOOKUP(tblTargetMedicos[[#This Row],[codigo_id]],[1]DIM_REPRESENTANTE_MEDICO!$C:$F,4,0)</f>
        <v>8</v>
      </c>
      <c r="E2403">
        <f>VLOOKUP(tblTargetMedicos[[#This Row],[codigo_id]],[1]DIM_REPRESENTANTE_MEDICO!$C:$F,3,0)</f>
        <v>2</v>
      </c>
      <c r="F2403" s="27" t="s">
        <v>5796</v>
      </c>
      <c r="G2403" s="27" t="s">
        <v>5782</v>
      </c>
      <c r="H2403" s="27" t="s">
        <v>97</v>
      </c>
      <c r="I2403">
        <v>1</v>
      </c>
    </row>
    <row r="2404" spans="1:9">
      <c r="A2404" t="s">
        <v>2819</v>
      </c>
      <c r="B2404" s="27" t="s">
        <v>3229</v>
      </c>
      <c r="C2404" s="27" t="s">
        <v>5775</v>
      </c>
      <c r="D2404">
        <f>VLOOKUP(tblTargetMedicos[[#This Row],[codigo_id]],[1]DIM_REPRESENTANTE_MEDICO!$C:$F,4,0)</f>
        <v>8</v>
      </c>
      <c r="E2404">
        <f>VLOOKUP(tblTargetMedicos[[#This Row],[codigo_id]],[1]DIM_REPRESENTANTE_MEDICO!$C:$F,3,0)</f>
        <v>2</v>
      </c>
      <c r="F2404" s="27" t="s">
        <v>5796</v>
      </c>
      <c r="G2404" s="27" t="s">
        <v>5784</v>
      </c>
      <c r="H2404" s="27" t="s">
        <v>96</v>
      </c>
      <c r="I2404">
        <v>1</v>
      </c>
    </row>
    <row r="2405" spans="1:9">
      <c r="A2405" t="s">
        <v>2820</v>
      </c>
      <c r="B2405" s="27" t="s">
        <v>3229</v>
      </c>
      <c r="C2405" s="27" t="s">
        <v>5775</v>
      </c>
      <c r="D2405">
        <f>VLOOKUP(tblTargetMedicos[[#This Row],[codigo_id]],[1]DIM_REPRESENTANTE_MEDICO!$C:$F,4,0)</f>
        <v>8</v>
      </c>
      <c r="E2405">
        <f>VLOOKUP(tblTargetMedicos[[#This Row],[codigo_id]],[1]DIM_REPRESENTANTE_MEDICO!$C:$F,3,0)</f>
        <v>2</v>
      </c>
      <c r="F2405" s="27" t="s">
        <v>5796</v>
      </c>
      <c r="G2405" s="27" t="s">
        <v>5783</v>
      </c>
      <c r="H2405" s="27" t="s">
        <v>97</v>
      </c>
      <c r="I2405">
        <v>1</v>
      </c>
    </row>
    <row r="2406" spans="1:9">
      <c r="A2406" t="s">
        <v>2821</v>
      </c>
      <c r="B2406" s="27" t="s">
        <v>3229</v>
      </c>
      <c r="C2406" s="27" t="s">
        <v>5775</v>
      </c>
      <c r="D2406">
        <f>VLOOKUP(tblTargetMedicos[[#This Row],[codigo_id]],[1]DIM_REPRESENTANTE_MEDICO!$C:$F,4,0)</f>
        <v>8</v>
      </c>
      <c r="E2406">
        <f>VLOOKUP(tblTargetMedicos[[#This Row],[codigo_id]],[1]DIM_REPRESENTANTE_MEDICO!$C:$F,3,0)</f>
        <v>2</v>
      </c>
      <c r="F2406" s="27" t="s">
        <v>5796</v>
      </c>
      <c r="G2406" s="27" t="s">
        <v>5782</v>
      </c>
      <c r="H2406" s="27" t="s">
        <v>97</v>
      </c>
      <c r="I2406">
        <v>1</v>
      </c>
    </row>
    <row r="2407" spans="1:9">
      <c r="A2407" t="s">
        <v>2822</v>
      </c>
      <c r="B2407" s="27" t="s">
        <v>3229</v>
      </c>
      <c r="C2407" s="27" t="s">
        <v>5775</v>
      </c>
      <c r="D2407">
        <f>VLOOKUP(tblTargetMedicos[[#This Row],[codigo_id]],[1]DIM_REPRESENTANTE_MEDICO!$C:$F,4,0)</f>
        <v>8</v>
      </c>
      <c r="E2407">
        <f>VLOOKUP(tblTargetMedicos[[#This Row],[codigo_id]],[1]DIM_REPRESENTANTE_MEDICO!$C:$F,3,0)</f>
        <v>2</v>
      </c>
      <c r="F2407" s="27" t="s">
        <v>5796</v>
      </c>
      <c r="G2407" s="27" t="s">
        <v>5786</v>
      </c>
      <c r="H2407" s="27" t="s">
        <v>97</v>
      </c>
      <c r="I2407">
        <v>1</v>
      </c>
    </row>
    <row r="2408" spans="1:9">
      <c r="A2408" t="s">
        <v>2823</v>
      </c>
      <c r="B2408" s="27" t="s">
        <v>3229</v>
      </c>
      <c r="C2408" s="27" t="s">
        <v>5775</v>
      </c>
      <c r="D2408">
        <f>VLOOKUP(tblTargetMedicos[[#This Row],[codigo_id]],[1]DIM_REPRESENTANTE_MEDICO!$C:$F,4,0)</f>
        <v>8</v>
      </c>
      <c r="E2408">
        <f>VLOOKUP(tblTargetMedicos[[#This Row],[codigo_id]],[1]DIM_REPRESENTANTE_MEDICO!$C:$F,3,0)</f>
        <v>2</v>
      </c>
      <c r="F2408" s="27" t="s">
        <v>5796</v>
      </c>
      <c r="G2408" s="27" t="s">
        <v>5782</v>
      </c>
      <c r="H2408" s="27" t="s">
        <v>96</v>
      </c>
      <c r="I2408">
        <v>1</v>
      </c>
    </row>
    <row r="2409" spans="1:9">
      <c r="A2409" t="s">
        <v>2824</v>
      </c>
      <c r="B2409" s="27" t="s">
        <v>3229</v>
      </c>
      <c r="C2409" s="27" t="s">
        <v>5775</v>
      </c>
      <c r="D2409">
        <f>VLOOKUP(tblTargetMedicos[[#This Row],[codigo_id]],[1]DIM_REPRESENTANTE_MEDICO!$C:$F,4,0)</f>
        <v>8</v>
      </c>
      <c r="E2409">
        <f>VLOOKUP(tblTargetMedicos[[#This Row],[codigo_id]],[1]DIM_REPRESENTANTE_MEDICO!$C:$F,3,0)</f>
        <v>2</v>
      </c>
      <c r="F2409" s="27" t="s">
        <v>5796</v>
      </c>
      <c r="G2409" s="27" t="s">
        <v>5779</v>
      </c>
      <c r="H2409" s="27" t="s">
        <v>96</v>
      </c>
      <c r="I2409">
        <v>1</v>
      </c>
    </row>
    <row r="2410" spans="1:9">
      <c r="A2410" t="s">
        <v>2825</v>
      </c>
      <c r="B2410" s="27" t="s">
        <v>3229</v>
      </c>
      <c r="C2410" s="27" t="s">
        <v>5775</v>
      </c>
      <c r="D2410">
        <f>VLOOKUP(tblTargetMedicos[[#This Row],[codigo_id]],[1]DIM_REPRESENTANTE_MEDICO!$C:$F,4,0)</f>
        <v>8</v>
      </c>
      <c r="E2410">
        <f>VLOOKUP(tblTargetMedicos[[#This Row],[codigo_id]],[1]DIM_REPRESENTANTE_MEDICO!$C:$F,3,0)</f>
        <v>2</v>
      </c>
      <c r="F2410" s="27" t="s">
        <v>5796</v>
      </c>
      <c r="G2410" s="27" t="s">
        <v>5782</v>
      </c>
      <c r="H2410" s="27" t="s">
        <v>96</v>
      </c>
      <c r="I2410">
        <v>1</v>
      </c>
    </row>
    <row r="2411" spans="1:9">
      <c r="A2411" t="s">
        <v>2826</v>
      </c>
      <c r="B2411" s="27" t="s">
        <v>3230</v>
      </c>
      <c r="C2411" s="27" t="s">
        <v>5776</v>
      </c>
      <c r="D2411">
        <f>VLOOKUP(tblTargetMedicos[[#This Row],[codigo_id]],[1]DIM_REPRESENTANTE_MEDICO!$C:$F,4,0)</f>
        <v>8</v>
      </c>
      <c r="E2411">
        <f>VLOOKUP(tblTargetMedicos[[#This Row],[codigo_id]],[1]DIM_REPRESENTANTE_MEDICO!$C:$F,3,0)</f>
        <v>9</v>
      </c>
      <c r="F2411" s="27" t="s">
        <v>5796</v>
      </c>
      <c r="G2411" s="27" t="s">
        <v>5784</v>
      </c>
      <c r="H2411" s="27" t="s">
        <v>97</v>
      </c>
      <c r="I2411">
        <v>1</v>
      </c>
    </row>
    <row r="2412" spans="1:9">
      <c r="A2412" t="s">
        <v>2827</v>
      </c>
      <c r="B2412" s="27" t="s">
        <v>3230</v>
      </c>
      <c r="C2412" s="27" t="s">
        <v>5776</v>
      </c>
      <c r="D2412">
        <f>VLOOKUP(tblTargetMedicos[[#This Row],[codigo_id]],[1]DIM_REPRESENTANTE_MEDICO!$C:$F,4,0)</f>
        <v>8</v>
      </c>
      <c r="E2412">
        <f>VLOOKUP(tblTargetMedicos[[#This Row],[codigo_id]],[1]DIM_REPRESENTANTE_MEDICO!$C:$F,3,0)</f>
        <v>9</v>
      </c>
      <c r="F2412" s="27" t="s">
        <v>5796</v>
      </c>
      <c r="G2412" s="27" t="s">
        <v>5782</v>
      </c>
      <c r="H2412" s="27" t="s">
        <v>97</v>
      </c>
      <c r="I2412">
        <v>1</v>
      </c>
    </row>
    <row r="2413" spans="1:9">
      <c r="A2413" t="s">
        <v>2828</v>
      </c>
      <c r="B2413" s="27" t="s">
        <v>3230</v>
      </c>
      <c r="C2413" s="27" t="s">
        <v>5776</v>
      </c>
      <c r="D2413">
        <f>VLOOKUP(tblTargetMedicos[[#This Row],[codigo_id]],[1]DIM_REPRESENTANTE_MEDICO!$C:$F,4,0)</f>
        <v>8</v>
      </c>
      <c r="E2413">
        <f>VLOOKUP(tblTargetMedicos[[#This Row],[codigo_id]],[1]DIM_REPRESENTANTE_MEDICO!$C:$F,3,0)</f>
        <v>9</v>
      </c>
      <c r="F2413" s="27" t="s">
        <v>5796</v>
      </c>
      <c r="G2413" s="27" t="s">
        <v>5784</v>
      </c>
      <c r="H2413" s="27" t="s">
        <v>97</v>
      </c>
      <c r="I2413">
        <v>1</v>
      </c>
    </row>
    <row r="2414" spans="1:9">
      <c r="A2414" t="s">
        <v>2829</v>
      </c>
      <c r="B2414" s="27" t="s">
        <v>3230</v>
      </c>
      <c r="C2414" s="27" t="s">
        <v>5776</v>
      </c>
      <c r="D2414">
        <f>VLOOKUP(tblTargetMedicos[[#This Row],[codigo_id]],[1]DIM_REPRESENTANTE_MEDICO!$C:$F,4,0)</f>
        <v>8</v>
      </c>
      <c r="E2414">
        <f>VLOOKUP(tblTargetMedicos[[#This Row],[codigo_id]],[1]DIM_REPRESENTANTE_MEDICO!$C:$F,3,0)</f>
        <v>9</v>
      </c>
      <c r="F2414" s="27" t="s">
        <v>5796</v>
      </c>
      <c r="G2414" s="27" t="s">
        <v>5787</v>
      </c>
      <c r="H2414" s="27" t="s">
        <v>96</v>
      </c>
      <c r="I2414">
        <v>1</v>
      </c>
    </row>
    <row r="2415" spans="1:9">
      <c r="A2415" t="s">
        <v>2830</v>
      </c>
      <c r="B2415" s="27" t="s">
        <v>3230</v>
      </c>
      <c r="C2415" s="27" t="s">
        <v>5776</v>
      </c>
      <c r="D2415">
        <f>VLOOKUP(tblTargetMedicos[[#This Row],[codigo_id]],[1]DIM_REPRESENTANTE_MEDICO!$C:$F,4,0)</f>
        <v>8</v>
      </c>
      <c r="E2415">
        <f>VLOOKUP(tblTargetMedicos[[#This Row],[codigo_id]],[1]DIM_REPRESENTANTE_MEDICO!$C:$F,3,0)</f>
        <v>9</v>
      </c>
      <c r="F2415" s="27" t="s">
        <v>5796</v>
      </c>
      <c r="G2415" s="27" t="s">
        <v>5783</v>
      </c>
      <c r="H2415" s="27" t="s">
        <v>96</v>
      </c>
      <c r="I2415">
        <v>1</v>
      </c>
    </row>
    <row r="2416" spans="1:9">
      <c r="A2416" t="s">
        <v>2831</v>
      </c>
      <c r="B2416" s="27" t="s">
        <v>3230</v>
      </c>
      <c r="C2416" s="27" t="s">
        <v>5776</v>
      </c>
      <c r="D2416">
        <f>VLOOKUP(tblTargetMedicos[[#This Row],[codigo_id]],[1]DIM_REPRESENTANTE_MEDICO!$C:$F,4,0)</f>
        <v>8</v>
      </c>
      <c r="E2416">
        <f>VLOOKUP(tblTargetMedicos[[#This Row],[codigo_id]],[1]DIM_REPRESENTANTE_MEDICO!$C:$F,3,0)</f>
        <v>9</v>
      </c>
      <c r="F2416" s="27" t="s">
        <v>5796</v>
      </c>
      <c r="G2416" s="27" t="s">
        <v>5784</v>
      </c>
      <c r="H2416" s="27" t="s">
        <v>96</v>
      </c>
      <c r="I2416">
        <v>1</v>
      </c>
    </row>
    <row r="2417" spans="1:9">
      <c r="A2417" t="s">
        <v>2832</v>
      </c>
      <c r="B2417" s="27" t="s">
        <v>3230</v>
      </c>
      <c r="C2417" s="27" t="s">
        <v>5776</v>
      </c>
      <c r="D2417">
        <f>VLOOKUP(tblTargetMedicos[[#This Row],[codigo_id]],[1]DIM_REPRESENTANTE_MEDICO!$C:$F,4,0)</f>
        <v>8</v>
      </c>
      <c r="E2417">
        <f>VLOOKUP(tblTargetMedicos[[#This Row],[codigo_id]],[1]DIM_REPRESENTANTE_MEDICO!$C:$F,3,0)</f>
        <v>9</v>
      </c>
      <c r="F2417" s="27" t="s">
        <v>5796</v>
      </c>
      <c r="G2417" s="27" t="s">
        <v>5781</v>
      </c>
      <c r="H2417" s="27" t="s">
        <v>96</v>
      </c>
      <c r="I2417">
        <v>1</v>
      </c>
    </row>
    <row r="2418" spans="1:9">
      <c r="A2418" t="s">
        <v>2833</v>
      </c>
      <c r="B2418" s="27" t="s">
        <v>3230</v>
      </c>
      <c r="C2418" s="27" t="s">
        <v>5776</v>
      </c>
      <c r="D2418">
        <f>VLOOKUP(tblTargetMedicos[[#This Row],[codigo_id]],[1]DIM_REPRESENTANTE_MEDICO!$C:$F,4,0)</f>
        <v>8</v>
      </c>
      <c r="E2418">
        <f>VLOOKUP(tblTargetMedicos[[#This Row],[codigo_id]],[1]DIM_REPRESENTANTE_MEDICO!$C:$F,3,0)</f>
        <v>9</v>
      </c>
      <c r="F2418" s="27" t="s">
        <v>5796</v>
      </c>
      <c r="G2418" s="27" t="s">
        <v>5779</v>
      </c>
      <c r="H2418" s="27" t="s">
        <v>96</v>
      </c>
      <c r="I2418">
        <v>1</v>
      </c>
    </row>
    <row r="2419" spans="1:9">
      <c r="A2419" t="s">
        <v>2834</v>
      </c>
      <c r="B2419" s="27" t="s">
        <v>3230</v>
      </c>
      <c r="C2419" s="27" t="s">
        <v>5776</v>
      </c>
      <c r="D2419">
        <f>VLOOKUP(tblTargetMedicos[[#This Row],[codigo_id]],[1]DIM_REPRESENTANTE_MEDICO!$C:$F,4,0)</f>
        <v>8</v>
      </c>
      <c r="E2419">
        <f>VLOOKUP(tblTargetMedicos[[#This Row],[codigo_id]],[1]DIM_REPRESENTANTE_MEDICO!$C:$F,3,0)</f>
        <v>9</v>
      </c>
      <c r="F2419" s="27" t="s">
        <v>5796</v>
      </c>
      <c r="G2419" s="27" t="s">
        <v>5783</v>
      </c>
      <c r="H2419" s="27" t="s">
        <v>96</v>
      </c>
      <c r="I2419">
        <v>1</v>
      </c>
    </row>
    <row r="2420" spans="1:9">
      <c r="A2420" t="s">
        <v>2835</v>
      </c>
      <c r="B2420" s="27" t="s">
        <v>3230</v>
      </c>
      <c r="C2420" s="27" t="s">
        <v>5776</v>
      </c>
      <c r="D2420">
        <f>VLOOKUP(tblTargetMedicos[[#This Row],[codigo_id]],[1]DIM_REPRESENTANTE_MEDICO!$C:$F,4,0)</f>
        <v>8</v>
      </c>
      <c r="E2420">
        <f>VLOOKUP(tblTargetMedicos[[#This Row],[codigo_id]],[1]DIM_REPRESENTANTE_MEDICO!$C:$F,3,0)</f>
        <v>9</v>
      </c>
      <c r="F2420" s="27" t="s">
        <v>5796</v>
      </c>
      <c r="G2420" s="27" t="s">
        <v>5783</v>
      </c>
      <c r="H2420" s="27" t="s">
        <v>96</v>
      </c>
      <c r="I2420">
        <v>1</v>
      </c>
    </row>
    <row r="2421" spans="1:9">
      <c r="A2421" t="s">
        <v>2836</v>
      </c>
      <c r="B2421" s="27" t="s">
        <v>3230</v>
      </c>
      <c r="C2421" s="27" t="s">
        <v>5776</v>
      </c>
      <c r="D2421">
        <f>VLOOKUP(tblTargetMedicos[[#This Row],[codigo_id]],[1]DIM_REPRESENTANTE_MEDICO!$C:$F,4,0)</f>
        <v>8</v>
      </c>
      <c r="E2421">
        <f>VLOOKUP(tblTargetMedicos[[#This Row],[codigo_id]],[1]DIM_REPRESENTANTE_MEDICO!$C:$F,3,0)</f>
        <v>9</v>
      </c>
      <c r="F2421" s="27" t="s">
        <v>5796</v>
      </c>
      <c r="G2421" s="27" t="s">
        <v>5784</v>
      </c>
      <c r="H2421" s="27" t="s">
        <v>97</v>
      </c>
      <c r="I2421">
        <v>1</v>
      </c>
    </row>
    <row r="2422" spans="1:9">
      <c r="A2422" t="s">
        <v>2837</v>
      </c>
      <c r="B2422" s="27" t="s">
        <v>3230</v>
      </c>
      <c r="C2422" s="27" t="s">
        <v>5776</v>
      </c>
      <c r="D2422">
        <f>VLOOKUP(tblTargetMedicos[[#This Row],[codigo_id]],[1]DIM_REPRESENTANTE_MEDICO!$C:$F,4,0)</f>
        <v>8</v>
      </c>
      <c r="E2422">
        <f>VLOOKUP(tblTargetMedicos[[#This Row],[codigo_id]],[1]DIM_REPRESENTANTE_MEDICO!$C:$F,3,0)</f>
        <v>9</v>
      </c>
      <c r="F2422" s="27" t="s">
        <v>5796</v>
      </c>
      <c r="G2422" s="27" t="s">
        <v>5783</v>
      </c>
      <c r="H2422" s="27" t="s">
        <v>96</v>
      </c>
      <c r="I2422">
        <v>1</v>
      </c>
    </row>
    <row r="2423" spans="1:9">
      <c r="A2423" t="s">
        <v>2838</v>
      </c>
      <c r="B2423" s="27" t="s">
        <v>3230</v>
      </c>
      <c r="C2423" s="27" t="s">
        <v>5776</v>
      </c>
      <c r="D2423">
        <f>VLOOKUP(tblTargetMedicos[[#This Row],[codigo_id]],[1]DIM_REPRESENTANTE_MEDICO!$C:$F,4,0)</f>
        <v>8</v>
      </c>
      <c r="E2423">
        <f>VLOOKUP(tblTargetMedicos[[#This Row],[codigo_id]],[1]DIM_REPRESENTANTE_MEDICO!$C:$F,3,0)</f>
        <v>9</v>
      </c>
      <c r="F2423" s="27" t="s">
        <v>5796</v>
      </c>
      <c r="G2423" s="27" t="s">
        <v>5784</v>
      </c>
      <c r="H2423" s="27" t="s">
        <v>97</v>
      </c>
      <c r="I2423">
        <v>1</v>
      </c>
    </row>
    <row r="2424" spans="1:9">
      <c r="A2424" t="s">
        <v>2839</v>
      </c>
      <c r="B2424" s="27" t="s">
        <v>3230</v>
      </c>
      <c r="C2424" s="27" t="s">
        <v>5776</v>
      </c>
      <c r="D2424">
        <f>VLOOKUP(tblTargetMedicos[[#This Row],[codigo_id]],[1]DIM_REPRESENTANTE_MEDICO!$C:$F,4,0)</f>
        <v>8</v>
      </c>
      <c r="E2424">
        <f>VLOOKUP(tblTargetMedicos[[#This Row],[codigo_id]],[1]DIM_REPRESENTANTE_MEDICO!$C:$F,3,0)</f>
        <v>9</v>
      </c>
      <c r="F2424" s="27" t="s">
        <v>5796</v>
      </c>
      <c r="G2424" s="27" t="s">
        <v>5780</v>
      </c>
      <c r="H2424" s="27" t="s">
        <v>96</v>
      </c>
      <c r="I2424">
        <v>1</v>
      </c>
    </row>
    <row r="2425" spans="1:9">
      <c r="A2425" t="s">
        <v>2840</v>
      </c>
      <c r="B2425" s="27" t="s">
        <v>3230</v>
      </c>
      <c r="C2425" s="27" t="s">
        <v>5776</v>
      </c>
      <c r="D2425">
        <f>VLOOKUP(tblTargetMedicos[[#This Row],[codigo_id]],[1]DIM_REPRESENTANTE_MEDICO!$C:$F,4,0)</f>
        <v>8</v>
      </c>
      <c r="E2425">
        <f>VLOOKUP(tblTargetMedicos[[#This Row],[codigo_id]],[1]DIM_REPRESENTANTE_MEDICO!$C:$F,3,0)</f>
        <v>9</v>
      </c>
      <c r="F2425" s="27" t="s">
        <v>5796</v>
      </c>
      <c r="G2425" s="27" t="s">
        <v>5784</v>
      </c>
      <c r="H2425" s="27" t="s">
        <v>97</v>
      </c>
      <c r="I2425">
        <v>1</v>
      </c>
    </row>
    <row r="2426" spans="1:9">
      <c r="A2426" t="s">
        <v>2841</v>
      </c>
      <c r="B2426" s="27" t="s">
        <v>3230</v>
      </c>
      <c r="C2426" s="27" t="s">
        <v>5776</v>
      </c>
      <c r="D2426">
        <f>VLOOKUP(tblTargetMedicos[[#This Row],[codigo_id]],[1]DIM_REPRESENTANTE_MEDICO!$C:$F,4,0)</f>
        <v>8</v>
      </c>
      <c r="E2426">
        <f>VLOOKUP(tblTargetMedicos[[#This Row],[codigo_id]],[1]DIM_REPRESENTANTE_MEDICO!$C:$F,3,0)</f>
        <v>9</v>
      </c>
      <c r="F2426" s="27" t="s">
        <v>5796</v>
      </c>
      <c r="G2426" s="27" t="s">
        <v>5783</v>
      </c>
      <c r="H2426" s="27" t="s">
        <v>97</v>
      </c>
      <c r="I2426">
        <v>1</v>
      </c>
    </row>
    <row r="2427" spans="1:9">
      <c r="A2427" t="s">
        <v>2842</v>
      </c>
      <c r="B2427" s="27" t="s">
        <v>3230</v>
      </c>
      <c r="C2427" s="27" t="s">
        <v>5776</v>
      </c>
      <c r="D2427">
        <f>VLOOKUP(tblTargetMedicos[[#This Row],[codigo_id]],[1]DIM_REPRESENTANTE_MEDICO!$C:$F,4,0)</f>
        <v>8</v>
      </c>
      <c r="E2427">
        <f>VLOOKUP(tblTargetMedicos[[#This Row],[codigo_id]],[1]DIM_REPRESENTANTE_MEDICO!$C:$F,3,0)</f>
        <v>9</v>
      </c>
      <c r="F2427" s="27" t="s">
        <v>5796</v>
      </c>
      <c r="G2427" s="27" t="s">
        <v>5783</v>
      </c>
      <c r="H2427" s="27" t="s">
        <v>97</v>
      </c>
      <c r="I2427">
        <v>1</v>
      </c>
    </row>
    <row r="2428" spans="1:9">
      <c r="A2428" t="s">
        <v>2843</v>
      </c>
      <c r="B2428" s="27" t="s">
        <v>3230</v>
      </c>
      <c r="C2428" s="27" t="s">
        <v>5776</v>
      </c>
      <c r="D2428">
        <f>VLOOKUP(tblTargetMedicos[[#This Row],[codigo_id]],[1]DIM_REPRESENTANTE_MEDICO!$C:$F,4,0)</f>
        <v>8</v>
      </c>
      <c r="E2428">
        <f>VLOOKUP(tblTargetMedicos[[#This Row],[codigo_id]],[1]DIM_REPRESENTANTE_MEDICO!$C:$F,3,0)</f>
        <v>9</v>
      </c>
      <c r="F2428" s="27" t="s">
        <v>5796</v>
      </c>
      <c r="G2428" s="27" t="s">
        <v>5785</v>
      </c>
      <c r="H2428" s="27" t="s">
        <v>96</v>
      </c>
      <c r="I2428">
        <v>1</v>
      </c>
    </row>
    <row r="2429" spans="1:9">
      <c r="A2429" t="s">
        <v>2844</v>
      </c>
      <c r="B2429" s="27" t="s">
        <v>3230</v>
      </c>
      <c r="C2429" s="27" t="s">
        <v>5776</v>
      </c>
      <c r="D2429">
        <f>VLOOKUP(tblTargetMedicos[[#This Row],[codigo_id]],[1]DIM_REPRESENTANTE_MEDICO!$C:$F,4,0)</f>
        <v>8</v>
      </c>
      <c r="E2429">
        <f>VLOOKUP(tblTargetMedicos[[#This Row],[codigo_id]],[1]DIM_REPRESENTANTE_MEDICO!$C:$F,3,0)</f>
        <v>9</v>
      </c>
      <c r="F2429" s="27" t="s">
        <v>5796</v>
      </c>
      <c r="G2429" s="27" t="s">
        <v>5784</v>
      </c>
      <c r="H2429" s="27" t="s">
        <v>96</v>
      </c>
      <c r="I2429">
        <v>1</v>
      </c>
    </row>
    <row r="2430" spans="1:9">
      <c r="A2430" t="s">
        <v>2845</v>
      </c>
      <c r="B2430" s="27" t="s">
        <v>3230</v>
      </c>
      <c r="C2430" s="27" t="s">
        <v>5776</v>
      </c>
      <c r="D2430">
        <f>VLOOKUP(tblTargetMedicos[[#This Row],[codigo_id]],[1]DIM_REPRESENTANTE_MEDICO!$C:$F,4,0)</f>
        <v>8</v>
      </c>
      <c r="E2430">
        <f>VLOOKUP(tblTargetMedicos[[#This Row],[codigo_id]],[1]DIM_REPRESENTANTE_MEDICO!$C:$F,3,0)</f>
        <v>9</v>
      </c>
      <c r="F2430" s="27" t="s">
        <v>5796</v>
      </c>
      <c r="G2430" s="27" t="s">
        <v>5784</v>
      </c>
      <c r="H2430" s="27" t="s">
        <v>96</v>
      </c>
      <c r="I2430">
        <v>1</v>
      </c>
    </row>
    <row r="2431" spans="1:9">
      <c r="A2431" t="s">
        <v>2846</v>
      </c>
      <c r="B2431" s="27" t="s">
        <v>3230</v>
      </c>
      <c r="C2431" s="27" t="s">
        <v>5776</v>
      </c>
      <c r="D2431">
        <f>VLOOKUP(tblTargetMedicos[[#This Row],[codigo_id]],[1]DIM_REPRESENTANTE_MEDICO!$C:$F,4,0)</f>
        <v>8</v>
      </c>
      <c r="E2431">
        <f>VLOOKUP(tblTargetMedicos[[#This Row],[codigo_id]],[1]DIM_REPRESENTANTE_MEDICO!$C:$F,3,0)</f>
        <v>9</v>
      </c>
      <c r="F2431" s="27" t="s">
        <v>5796</v>
      </c>
      <c r="G2431" s="27" t="s">
        <v>5784</v>
      </c>
      <c r="H2431" s="27" t="s">
        <v>96</v>
      </c>
      <c r="I2431">
        <v>1</v>
      </c>
    </row>
    <row r="2432" spans="1:9">
      <c r="A2432" t="s">
        <v>2847</v>
      </c>
      <c r="B2432" s="27" t="s">
        <v>3230</v>
      </c>
      <c r="C2432" s="27" t="s">
        <v>5776</v>
      </c>
      <c r="D2432">
        <f>VLOOKUP(tblTargetMedicos[[#This Row],[codigo_id]],[1]DIM_REPRESENTANTE_MEDICO!$C:$F,4,0)</f>
        <v>8</v>
      </c>
      <c r="E2432">
        <f>VLOOKUP(tblTargetMedicos[[#This Row],[codigo_id]],[1]DIM_REPRESENTANTE_MEDICO!$C:$F,3,0)</f>
        <v>9</v>
      </c>
      <c r="F2432" s="27" t="s">
        <v>5796</v>
      </c>
      <c r="G2432" s="27" t="s">
        <v>5784</v>
      </c>
      <c r="H2432" s="27" t="s">
        <v>96</v>
      </c>
      <c r="I2432">
        <v>1</v>
      </c>
    </row>
    <row r="2433" spans="1:9">
      <c r="A2433" t="s">
        <v>2848</v>
      </c>
      <c r="B2433" s="27" t="s">
        <v>3230</v>
      </c>
      <c r="C2433" s="27" t="s">
        <v>5776</v>
      </c>
      <c r="D2433">
        <f>VLOOKUP(tblTargetMedicos[[#This Row],[codigo_id]],[1]DIM_REPRESENTANTE_MEDICO!$C:$F,4,0)</f>
        <v>8</v>
      </c>
      <c r="E2433">
        <f>VLOOKUP(tblTargetMedicos[[#This Row],[codigo_id]],[1]DIM_REPRESENTANTE_MEDICO!$C:$F,3,0)</f>
        <v>9</v>
      </c>
      <c r="F2433" s="27" t="s">
        <v>5796</v>
      </c>
      <c r="G2433" s="27" t="s">
        <v>5782</v>
      </c>
      <c r="H2433" s="27" t="s">
        <v>96</v>
      </c>
      <c r="I2433">
        <v>1</v>
      </c>
    </row>
    <row r="2434" spans="1:9">
      <c r="A2434" t="s">
        <v>2849</v>
      </c>
      <c r="B2434" s="27" t="s">
        <v>3230</v>
      </c>
      <c r="C2434" s="27" t="s">
        <v>5776</v>
      </c>
      <c r="D2434">
        <f>VLOOKUP(tblTargetMedicos[[#This Row],[codigo_id]],[1]DIM_REPRESENTANTE_MEDICO!$C:$F,4,0)</f>
        <v>8</v>
      </c>
      <c r="E2434">
        <f>VLOOKUP(tblTargetMedicos[[#This Row],[codigo_id]],[1]DIM_REPRESENTANTE_MEDICO!$C:$F,3,0)</f>
        <v>9</v>
      </c>
      <c r="F2434" s="27" t="s">
        <v>5796</v>
      </c>
      <c r="G2434" s="27" t="s">
        <v>5779</v>
      </c>
      <c r="H2434" s="27" t="s">
        <v>96</v>
      </c>
      <c r="I2434">
        <v>1</v>
      </c>
    </row>
    <row r="2435" spans="1:9">
      <c r="A2435" t="s">
        <v>2850</v>
      </c>
      <c r="B2435" s="27" t="s">
        <v>3230</v>
      </c>
      <c r="C2435" s="27" t="s">
        <v>5776</v>
      </c>
      <c r="D2435">
        <f>VLOOKUP(tblTargetMedicos[[#This Row],[codigo_id]],[1]DIM_REPRESENTANTE_MEDICO!$C:$F,4,0)</f>
        <v>8</v>
      </c>
      <c r="E2435">
        <f>VLOOKUP(tblTargetMedicos[[#This Row],[codigo_id]],[1]DIM_REPRESENTANTE_MEDICO!$C:$F,3,0)</f>
        <v>9</v>
      </c>
      <c r="F2435" s="27" t="s">
        <v>5796</v>
      </c>
      <c r="G2435" s="27" t="s">
        <v>5784</v>
      </c>
      <c r="H2435" s="27" t="s">
        <v>96</v>
      </c>
      <c r="I2435">
        <v>1</v>
      </c>
    </row>
    <row r="2436" spans="1:9">
      <c r="A2436" t="s">
        <v>2851</v>
      </c>
      <c r="B2436" s="27" t="s">
        <v>3230</v>
      </c>
      <c r="C2436" s="27" t="s">
        <v>5776</v>
      </c>
      <c r="D2436">
        <f>VLOOKUP(tblTargetMedicos[[#This Row],[codigo_id]],[1]DIM_REPRESENTANTE_MEDICO!$C:$F,4,0)</f>
        <v>8</v>
      </c>
      <c r="E2436">
        <f>VLOOKUP(tblTargetMedicos[[#This Row],[codigo_id]],[1]DIM_REPRESENTANTE_MEDICO!$C:$F,3,0)</f>
        <v>9</v>
      </c>
      <c r="F2436" s="27" t="s">
        <v>5796</v>
      </c>
      <c r="G2436" s="27" t="s">
        <v>5783</v>
      </c>
      <c r="H2436" s="27" t="s">
        <v>96</v>
      </c>
      <c r="I2436">
        <v>1</v>
      </c>
    </row>
    <row r="2437" spans="1:9">
      <c r="A2437" t="s">
        <v>2852</v>
      </c>
      <c r="B2437" s="27" t="s">
        <v>3230</v>
      </c>
      <c r="C2437" s="27" t="s">
        <v>5776</v>
      </c>
      <c r="D2437">
        <f>VLOOKUP(tblTargetMedicos[[#This Row],[codigo_id]],[1]DIM_REPRESENTANTE_MEDICO!$C:$F,4,0)</f>
        <v>8</v>
      </c>
      <c r="E2437">
        <f>VLOOKUP(tblTargetMedicos[[#This Row],[codigo_id]],[1]DIM_REPRESENTANTE_MEDICO!$C:$F,3,0)</f>
        <v>9</v>
      </c>
      <c r="F2437" s="27" t="s">
        <v>5796</v>
      </c>
      <c r="G2437" s="27" t="s">
        <v>5783</v>
      </c>
      <c r="H2437" s="27" t="s">
        <v>96</v>
      </c>
      <c r="I2437">
        <v>1</v>
      </c>
    </row>
    <row r="2438" spans="1:9">
      <c r="A2438" t="s">
        <v>2853</v>
      </c>
      <c r="B2438" s="27" t="s">
        <v>3230</v>
      </c>
      <c r="C2438" s="27" t="s">
        <v>5776</v>
      </c>
      <c r="D2438">
        <f>VLOOKUP(tblTargetMedicos[[#This Row],[codigo_id]],[1]DIM_REPRESENTANTE_MEDICO!$C:$F,4,0)</f>
        <v>8</v>
      </c>
      <c r="E2438">
        <f>VLOOKUP(tblTargetMedicos[[#This Row],[codigo_id]],[1]DIM_REPRESENTANTE_MEDICO!$C:$F,3,0)</f>
        <v>9</v>
      </c>
      <c r="F2438" s="27" t="s">
        <v>5796</v>
      </c>
      <c r="G2438" s="27" t="s">
        <v>5783</v>
      </c>
      <c r="H2438" s="27" t="s">
        <v>97</v>
      </c>
      <c r="I2438">
        <v>1</v>
      </c>
    </row>
    <row r="2439" spans="1:9">
      <c r="A2439" t="s">
        <v>2854</v>
      </c>
      <c r="B2439" s="27" t="s">
        <v>3230</v>
      </c>
      <c r="C2439" s="27" t="s">
        <v>5776</v>
      </c>
      <c r="D2439">
        <f>VLOOKUP(tblTargetMedicos[[#This Row],[codigo_id]],[1]DIM_REPRESENTANTE_MEDICO!$C:$F,4,0)</f>
        <v>8</v>
      </c>
      <c r="E2439">
        <f>VLOOKUP(tblTargetMedicos[[#This Row],[codigo_id]],[1]DIM_REPRESENTANTE_MEDICO!$C:$F,3,0)</f>
        <v>9</v>
      </c>
      <c r="F2439" s="27" t="s">
        <v>5796</v>
      </c>
      <c r="G2439" s="27" t="s">
        <v>5786</v>
      </c>
      <c r="H2439" s="27" t="s">
        <v>97</v>
      </c>
      <c r="I2439">
        <v>1</v>
      </c>
    </row>
    <row r="2440" spans="1:9">
      <c r="A2440" t="s">
        <v>2855</v>
      </c>
      <c r="B2440" s="27" t="s">
        <v>3230</v>
      </c>
      <c r="C2440" s="27" t="s">
        <v>5776</v>
      </c>
      <c r="D2440">
        <f>VLOOKUP(tblTargetMedicos[[#This Row],[codigo_id]],[1]DIM_REPRESENTANTE_MEDICO!$C:$F,4,0)</f>
        <v>8</v>
      </c>
      <c r="E2440">
        <f>VLOOKUP(tblTargetMedicos[[#This Row],[codigo_id]],[1]DIM_REPRESENTANTE_MEDICO!$C:$F,3,0)</f>
        <v>9</v>
      </c>
      <c r="F2440" s="27" t="s">
        <v>5796</v>
      </c>
      <c r="G2440" s="27" t="s">
        <v>5783</v>
      </c>
      <c r="H2440" s="27" t="s">
        <v>96</v>
      </c>
      <c r="I2440">
        <v>1</v>
      </c>
    </row>
    <row r="2441" spans="1:9">
      <c r="A2441" t="s">
        <v>2856</v>
      </c>
      <c r="B2441" s="27" t="s">
        <v>3230</v>
      </c>
      <c r="C2441" s="27" t="s">
        <v>5776</v>
      </c>
      <c r="D2441">
        <f>VLOOKUP(tblTargetMedicos[[#This Row],[codigo_id]],[1]DIM_REPRESENTANTE_MEDICO!$C:$F,4,0)</f>
        <v>8</v>
      </c>
      <c r="E2441">
        <f>VLOOKUP(tblTargetMedicos[[#This Row],[codigo_id]],[1]DIM_REPRESENTANTE_MEDICO!$C:$F,3,0)</f>
        <v>9</v>
      </c>
      <c r="F2441" s="27" t="s">
        <v>5796</v>
      </c>
      <c r="G2441" s="27" t="s">
        <v>5783</v>
      </c>
      <c r="H2441" s="27" t="s">
        <v>96</v>
      </c>
      <c r="I2441">
        <v>1</v>
      </c>
    </row>
    <row r="2442" spans="1:9">
      <c r="A2442" t="s">
        <v>2857</v>
      </c>
      <c r="B2442" s="27" t="s">
        <v>3230</v>
      </c>
      <c r="C2442" s="27" t="s">
        <v>5776</v>
      </c>
      <c r="D2442">
        <f>VLOOKUP(tblTargetMedicos[[#This Row],[codigo_id]],[1]DIM_REPRESENTANTE_MEDICO!$C:$F,4,0)</f>
        <v>8</v>
      </c>
      <c r="E2442">
        <f>VLOOKUP(tblTargetMedicos[[#This Row],[codigo_id]],[1]DIM_REPRESENTANTE_MEDICO!$C:$F,3,0)</f>
        <v>9</v>
      </c>
      <c r="F2442" s="27" t="s">
        <v>5796</v>
      </c>
      <c r="G2442" s="27" t="s">
        <v>5783</v>
      </c>
      <c r="H2442" s="27" t="s">
        <v>96</v>
      </c>
      <c r="I2442">
        <v>1</v>
      </c>
    </row>
    <row r="2443" spans="1:9">
      <c r="A2443" t="s">
        <v>2858</v>
      </c>
      <c r="B2443" s="27" t="s">
        <v>3230</v>
      </c>
      <c r="C2443" s="27" t="s">
        <v>5776</v>
      </c>
      <c r="D2443">
        <f>VLOOKUP(tblTargetMedicos[[#This Row],[codigo_id]],[1]DIM_REPRESENTANTE_MEDICO!$C:$F,4,0)</f>
        <v>8</v>
      </c>
      <c r="E2443">
        <f>VLOOKUP(tblTargetMedicos[[#This Row],[codigo_id]],[1]DIM_REPRESENTANTE_MEDICO!$C:$F,3,0)</f>
        <v>9</v>
      </c>
      <c r="F2443" s="27" t="s">
        <v>5796</v>
      </c>
      <c r="G2443" s="27" t="s">
        <v>5782</v>
      </c>
      <c r="H2443" s="27" t="s">
        <v>97</v>
      </c>
      <c r="I2443">
        <v>1</v>
      </c>
    </row>
    <row r="2444" spans="1:9">
      <c r="A2444" t="s">
        <v>2859</v>
      </c>
      <c r="B2444" s="27" t="s">
        <v>3230</v>
      </c>
      <c r="C2444" s="27" t="s">
        <v>5776</v>
      </c>
      <c r="D2444">
        <f>VLOOKUP(tblTargetMedicos[[#This Row],[codigo_id]],[1]DIM_REPRESENTANTE_MEDICO!$C:$F,4,0)</f>
        <v>8</v>
      </c>
      <c r="E2444">
        <f>VLOOKUP(tblTargetMedicos[[#This Row],[codigo_id]],[1]DIM_REPRESENTANTE_MEDICO!$C:$F,3,0)</f>
        <v>9</v>
      </c>
      <c r="F2444" s="27" t="s">
        <v>5796</v>
      </c>
      <c r="G2444" s="27" t="s">
        <v>5783</v>
      </c>
      <c r="H2444" s="27" t="s">
        <v>96</v>
      </c>
      <c r="I2444">
        <v>1</v>
      </c>
    </row>
    <row r="2445" spans="1:9">
      <c r="A2445" t="s">
        <v>2860</v>
      </c>
      <c r="B2445" s="27" t="s">
        <v>3230</v>
      </c>
      <c r="C2445" s="27" t="s">
        <v>5776</v>
      </c>
      <c r="D2445">
        <f>VLOOKUP(tblTargetMedicos[[#This Row],[codigo_id]],[1]DIM_REPRESENTANTE_MEDICO!$C:$F,4,0)</f>
        <v>8</v>
      </c>
      <c r="E2445">
        <f>VLOOKUP(tblTargetMedicos[[#This Row],[codigo_id]],[1]DIM_REPRESENTANTE_MEDICO!$C:$F,3,0)</f>
        <v>9</v>
      </c>
      <c r="F2445" s="27" t="s">
        <v>5796</v>
      </c>
      <c r="G2445" s="27" t="s">
        <v>5783</v>
      </c>
      <c r="H2445" s="27" t="s">
        <v>96</v>
      </c>
      <c r="I2445">
        <v>1</v>
      </c>
    </row>
    <row r="2446" spans="1:9">
      <c r="A2446" t="s">
        <v>2861</v>
      </c>
      <c r="B2446" s="27" t="s">
        <v>3230</v>
      </c>
      <c r="C2446" s="27" t="s">
        <v>5776</v>
      </c>
      <c r="D2446">
        <f>VLOOKUP(tblTargetMedicos[[#This Row],[codigo_id]],[1]DIM_REPRESENTANTE_MEDICO!$C:$F,4,0)</f>
        <v>8</v>
      </c>
      <c r="E2446">
        <f>VLOOKUP(tblTargetMedicos[[#This Row],[codigo_id]],[1]DIM_REPRESENTANTE_MEDICO!$C:$F,3,0)</f>
        <v>9</v>
      </c>
      <c r="F2446" s="27" t="s">
        <v>5796</v>
      </c>
      <c r="G2446" s="27" t="s">
        <v>5784</v>
      </c>
      <c r="H2446" s="27" t="s">
        <v>96</v>
      </c>
      <c r="I2446">
        <v>1</v>
      </c>
    </row>
    <row r="2447" spans="1:9">
      <c r="A2447" t="s">
        <v>2862</v>
      </c>
      <c r="B2447" s="27" t="s">
        <v>3230</v>
      </c>
      <c r="C2447" s="27" t="s">
        <v>5776</v>
      </c>
      <c r="D2447">
        <f>VLOOKUP(tblTargetMedicos[[#This Row],[codigo_id]],[1]DIM_REPRESENTANTE_MEDICO!$C:$F,4,0)</f>
        <v>8</v>
      </c>
      <c r="E2447">
        <f>VLOOKUP(tblTargetMedicos[[#This Row],[codigo_id]],[1]DIM_REPRESENTANTE_MEDICO!$C:$F,3,0)</f>
        <v>9</v>
      </c>
      <c r="F2447" s="27" t="s">
        <v>5796</v>
      </c>
      <c r="G2447" s="27" t="s">
        <v>5791</v>
      </c>
      <c r="H2447" s="27" t="s">
        <v>96</v>
      </c>
      <c r="I2447">
        <v>1</v>
      </c>
    </row>
    <row r="2448" spans="1:9">
      <c r="A2448" t="s">
        <v>2863</v>
      </c>
      <c r="B2448" s="27" t="s">
        <v>3230</v>
      </c>
      <c r="C2448" s="27" t="s">
        <v>5776</v>
      </c>
      <c r="D2448">
        <f>VLOOKUP(tblTargetMedicos[[#This Row],[codigo_id]],[1]DIM_REPRESENTANTE_MEDICO!$C:$F,4,0)</f>
        <v>8</v>
      </c>
      <c r="E2448">
        <f>VLOOKUP(tblTargetMedicos[[#This Row],[codigo_id]],[1]DIM_REPRESENTANTE_MEDICO!$C:$F,3,0)</f>
        <v>9</v>
      </c>
      <c r="F2448" s="27" t="s">
        <v>5796</v>
      </c>
      <c r="G2448" s="27" t="s">
        <v>5783</v>
      </c>
      <c r="H2448" s="27" t="s">
        <v>96</v>
      </c>
      <c r="I2448">
        <v>1</v>
      </c>
    </row>
    <row r="2449" spans="1:9">
      <c r="A2449" t="s">
        <v>2864</v>
      </c>
      <c r="B2449" s="27" t="s">
        <v>3230</v>
      </c>
      <c r="C2449" s="27" t="s">
        <v>5776</v>
      </c>
      <c r="D2449">
        <f>VLOOKUP(tblTargetMedicos[[#This Row],[codigo_id]],[1]DIM_REPRESENTANTE_MEDICO!$C:$F,4,0)</f>
        <v>8</v>
      </c>
      <c r="E2449">
        <f>VLOOKUP(tblTargetMedicos[[#This Row],[codigo_id]],[1]DIM_REPRESENTANTE_MEDICO!$C:$F,3,0)</f>
        <v>9</v>
      </c>
      <c r="F2449" s="27" t="s">
        <v>5796</v>
      </c>
      <c r="G2449" s="27" t="s">
        <v>5782</v>
      </c>
      <c r="H2449" s="27" t="s">
        <v>97</v>
      </c>
      <c r="I2449">
        <v>1</v>
      </c>
    </row>
    <row r="2450" spans="1:9">
      <c r="A2450" t="s">
        <v>2865</v>
      </c>
      <c r="B2450" s="27" t="s">
        <v>3230</v>
      </c>
      <c r="C2450" s="27" t="s">
        <v>5776</v>
      </c>
      <c r="D2450">
        <f>VLOOKUP(tblTargetMedicos[[#This Row],[codigo_id]],[1]DIM_REPRESENTANTE_MEDICO!$C:$F,4,0)</f>
        <v>8</v>
      </c>
      <c r="E2450">
        <f>VLOOKUP(tblTargetMedicos[[#This Row],[codigo_id]],[1]DIM_REPRESENTANTE_MEDICO!$C:$F,3,0)</f>
        <v>9</v>
      </c>
      <c r="F2450" s="27" t="s">
        <v>5796</v>
      </c>
      <c r="G2450" s="27" t="s">
        <v>5780</v>
      </c>
      <c r="H2450" s="27" t="s">
        <v>96</v>
      </c>
      <c r="I2450">
        <v>1</v>
      </c>
    </row>
    <row r="2451" spans="1:9">
      <c r="A2451" t="s">
        <v>2866</v>
      </c>
      <c r="B2451" s="27" t="s">
        <v>3230</v>
      </c>
      <c r="C2451" s="27" t="s">
        <v>5776</v>
      </c>
      <c r="D2451">
        <f>VLOOKUP(tblTargetMedicos[[#This Row],[codigo_id]],[1]DIM_REPRESENTANTE_MEDICO!$C:$F,4,0)</f>
        <v>8</v>
      </c>
      <c r="E2451">
        <f>VLOOKUP(tblTargetMedicos[[#This Row],[codigo_id]],[1]DIM_REPRESENTANTE_MEDICO!$C:$F,3,0)</f>
        <v>9</v>
      </c>
      <c r="F2451" s="27" t="s">
        <v>5796</v>
      </c>
      <c r="G2451" s="27" t="s">
        <v>5783</v>
      </c>
      <c r="H2451" s="27" t="s">
        <v>96</v>
      </c>
      <c r="I2451">
        <v>1</v>
      </c>
    </row>
    <row r="2452" spans="1:9">
      <c r="A2452" t="s">
        <v>2867</v>
      </c>
      <c r="B2452" s="27" t="s">
        <v>3230</v>
      </c>
      <c r="C2452" s="27" t="s">
        <v>5776</v>
      </c>
      <c r="D2452">
        <f>VLOOKUP(tblTargetMedicos[[#This Row],[codigo_id]],[1]DIM_REPRESENTANTE_MEDICO!$C:$F,4,0)</f>
        <v>8</v>
      </c>
      <c r="E2452">
        <f>VLOOKUP(tblTargetMedicos[[#This Row],[codigo_id]],[1]DIM_REPRESENTANTE_MEDICO!$C:$F,3,0)</f>
        <v>9</v>
      </c>
      <c r="F2452" s="27" t="s">
        <v>5796</v>
      </c>
      <c r="G2452" s="27" t="s">
        <v>5786</v>
      </c>
      <c r="H2452" s="27" t="s">
        <v>96</v>
      </c>
      <c r="I2452">
        <v>1</v>
      </c>
    </row>
    <row r="2453" spans="1:9">
      <c r="A2453" t="s">
        <v>2868</v>
      </c>
      <c r="B2453" s="27" t="s">
        <v>3230</v>
      </c>
      <c r="C2453" s="27" t="s">
        <v>5776</v>
      </c>
      <c r="D2453">
        <f>VLOOKUP(tblTargetMedicos[[#This Row],[codigo_id]],[1]DIM_REPRESENTANTE_MEDICO!$C:$F,4,0)</f>
        <v>8</v>
      </c>
      <c r="E2453">
        <f>VLOOKUP(tblTargetMedicos[[#This Row],[codigo_id]],[1]DIM_REPRESENTANTE_MEDICO!$C:$F,3,0)</f>
        <v>9</v>
      </c>
      <c r="F2453" s="27" t="s">
        <v>5796</v>
      </c>
      <c r="G2453" s="27" t="s">
        <v>5781</v>
      </c>
      <c r="H2453" s="27" t="s">
        <v>96</v>
      </c>
      <c r="I2453">
        <v>1</v>
      </c>
    </row>
    <row r="2454" spans="1:9">
      <c r="A2454" t="s">
        <v>2869</v>
      </c>
      <c r="B2454" s="27" t="s">
        <v>3230</v>
      </c>
      <c r="C2454" s="27" t="s">
        <v>5776</v>
      </c>
      <c r="D2454">
        <f>VLOOKUP(tblTargetMedicos[[#This Row],[codigo_id]],[1]DIM_REPRESENTANTE_MEDICO!$C:$F,4,0)</f>
        <v>8</v>
      </c>
      <c r="E2454">
        <f>VLOOKUP(tblTargetMedicos[[#This Row],[codigo_id]],[1]DIM_REPRESENTANTE_MEDICO!$C:$F,3,0)</f>
        <v>9</v>
      </c>
      <c r="F2454" s="27" t="s">
        <v>5796</v>
      </c>
      <c r="G2454" s="27" t="s">
        <v>5783</v>
      </c>
      <c r="H2454" s="27" t="s">
        <v>96</v>
      </c>
      <c r="I2454">
        <v>1</v>
      </c>
    </row>
    <row r="2455" spans="1:9">
      <c r="A2455" t="s">
        <v>2870</v>
      </c>
      <c r="B2455" s="27" t="s">
        <v>3230</v>
      </c>
      <c r="C2455" s="27" t="s">
        <v>5776</v>
      </c>
      <c r="D2455">
        <f>VLOOKUP(tblTargetMedicos[[#This Row],[codigo_id]],[1]DIM_REPRESENTANTE_MEDICO!$C:$F,4,0)</f>
        <v>8</v>
      </c>
      <c r="E2455">
        <f>VLOOKUP(tblTargetMedicos[[#This Row],[codigo_id]],[1]DIM_REPRESENTANTE_MEDICO!$C:$F,3,0)</f>
        <v>9</v>
      </c>
      <c r="F2455" s="27" t="s">
        <v>5796</v>
      </c>
      <c r="G2455" s="27" t="s">
        <v>5784</v>
      </c>
      <c r="H2455" s="27" t="s">
        <v>96</v>
      </c>
      <c r="I2455">
        <v>1</v>
      </c>
    </row>
    <row r="2456" spans="1:9">
      <c r="A2456" t="s">
        <v>2871</v>
      </c>
      <c r="B2456" s="27" t="s">
        <v>3230</v>
      </c>
      <c r="C2456" s="27" t="s">
        <v>5776</v>
      </c>
      <c r="D2456">
        <f>VLOOKUP(tblTargetMedicos[[#This Row],[codigo_id]],[1]DIM_REPRESENTANTE_MEDICO!$C:$F,4,0)</f>
        <v>8</v>
      </c>
      <c r="E2456">
        <f>VLOOKUP(tblTargetMedicos[[#This Row],[codigo_id]],[1]DIM_REPRESENTANTE_MEDICO!$C:$F,3,0)</f>
        <v>9</v>
      </c>
      <c r="F2456" s="27" t="s">
        <v>5796</v>
      </c>
      <c r="G2456" s="27" t="s">
        <v>5782</v>
      </c>
      <c r="H2456" s="27" t="s">
        <v>96</v>
      </c>
      <c r="I2456">
        <v>1</v>
      </c>
    </row>
    <row r="2457" spans="1:9">
      <c r="A2457" t="s">
        <v>2872</v>
      </c>
      <c r="B2457" s="27" t="s">
        <v>3230</v>
      </c>
      <c r="C2457" s="27" t="s">
        <v>5776</v>
      </c>
      <c r="D2457">
        <f>VLOOKUP(tblTargetMedicos[[#This Row],[codigo_id]],[1]DIM_REPRESENTANTE_MEDICO!$C:$F,4,0)</f>
        <v>8</v>
      </c>
      <c r="E2457">
        <f>VLOOKUP(tblTargetMedicos[[#This Row],[codigo_id]],[1]DIM_REPRESENTANTE_MEDICO!$C:$F,3,0)</f>
        <v>9</v>
      </c>
      <c r="F2457" s="27" t="s">
        <v>5796</v>
      </c>
      <c r="G2457" s="27" t="s">
        <v>5783</v>
      </c>
      <c r="H2457" s="27" t="s">
        <v>96</v>
      </c>
      <c r="I2457">
        <v>1</v>
      </c>
    </row>
    <row r="2458" spans="1:9">
      <c r="A2458" t="s">
        <v>2873</v>
      </c>
      <c r="B2458" s="27" t="s">
        <v>3230</v>
      </c>
      <c r="C2458" s="27" t="s">
        <v>5776</v>
      </c>
      <c r="D2458">
        <f>VLOOKUP(tblTargetMedicos[[#This Row],[codigo_id]],[1]DIM_REPRESENTANTE_MEDICO!$C:$F,4,0)</f>
        <v>8</v>
      </c>
      <c r="E2458">
        <f>VLOOKUP(tblTargetMedicos[[#This Row],[codigo_id]],[1]DIM_REPRESENTANTE_MEDICO!$C:$F,3,0)</f>
        <v>9</v>
      </c>
      <c r="F2458" s="27" t="s">
        <v>5796</v>
      </c>
      <c r="G2458" s="27" t="s">
        <v>5786</v>
      </c>
      <c r="H2458" s="27" t="s">
        <v>96</v>
      </c>
      <c r="I2458">
        <v>1</v>
      </c>
    </row>
    <row r="2459" spans="1:9">
      <c r="A2459" t="s">
        <v>2874</v>
      </c>
      <c r="B2459" s="27" t="s">
        <v>3230</v>
      </c>
      <c r="C2459" s="27" t="s">
        <v>5776</v>
      </c>
      <c r="D2459">
        <f>VLOOKUP(tblTargetMedicos[[#This Row],[codigo_id]],[1]DIM_REPRESENTANTE_MEDICO!$C:$F,4,0)</f>
        <v>8</v>
      </c>
      <c r="E2459">
        <f>VLOOKUP(tblTargetMedicos[[#This Row],[codigo_id]],[1]DIM_REPRESENTANTE_MEDICO!$C:$F,3,0)</f>
        <v>9</v>
      </c>
      <c r="F2459" s="27" t="s">
        <v>5796</v>
      </c>
      <c r="G2459" s="27" t="s">
        <v>5783</v>
      </c>
      <c r="H2459" s="27" t="s">
        <v>96</v>
      </c>
      <c r="I2459">
        <v>1</v>
      </c>
    </row>
    <row r="2460" spans="1:9">
      <c r="A2460" t="s">
        <v>2875</v>
      </c>
      <c r="B2460" s="27" t="s">
        <v>3230</v>
      </c>
      <c r="C2460" s="27" t="s">
        <v>5776</v>
      </c>
      <c r="D2460">
        <f>VLOOKUP(tblTargetMedicos[[#This Row],[codigo_id]],[1]DIM_REPRESENTANTE_MEDICO!$C:$F,4,0)</f>
        <v>8</v>
      </c>
      <c r="E2460">
        <f>VLOOKUP(tblTargetMedicos[[#This Row],[codigo_id]],[1]DIM_REPRESENTANTE_MEDICO!$C:$F,3,0)</f>
        <v>9</v>
      </c>
      <c r="F2460" s="27" t="s">
        <v>5796</v>
      </c>
      <c r="G2460" s="27" t="s">
        <v>5784</v>
      </c>
      <c r="H2460" s="27" t="s">
        <v>96</v>
      </c>
      <c r="I2460">
        <v>1</v>
      </c>
    </row>
    <row r="2461" spans="1:9">
      <c r="A2461" t="s">
        <v>2876</v>
      </c>
      <c r="B2461" s="27" t="s">
        <v>3230</v>
      </c>
      <c r="C2461" s="27" t="s">
        <v>5776</v>
      </c>
      <c r="D2461">
        <f>VLOOKUP(tblTargetMedicos[[#This Row],[codigo_id]],[1]DIM_REPRESENTANTE_MEDICO!$C:$F,4,0)</f>
        <v>8</v>
      </c>
      <c r="E2461">
        <f>VLOOKUP(tblTargetMedicos[[#This Row],[codigo_id]],[1]DIM_REPRESENTANTE_MEDICO!$C:$F,3,0)</f>
        <v>9</v>
      </c>
      <c r="F2461" s="27" t="s">
        <v>5796</v>
      </c>
      <c r="G2461" s="27" t="s">
        <v>5782</v>
      </c>
      <c r="H2461" s="27" t="s">
        <v>96</v>
      </c>
      <c r="I2461">
        <v>1</v>
      </c>
    </row>
    <row r="2462" spans="1:9">
      <c r="A2462" t="s">
        <v>2877</v>
      </c>
      <c r="B2462" s="27" t="s">
        <v>3230</v>
      </c>
      <c r="C2462" s="27" t="s">
        <v>5776</v>
      </c>
      <c r="D2462">
        <f>VLOOKUP(tblTargetMedicos[[#This Row],[codigo_id]],[1]DIM_REPRESENTANTE_MEDICO!$C:$F,4,0)</f>
        <v>8</v>
      </c>
      <c r="E2462">
        <f>VLOOKUP(tblTargetMedicos[[#This Row],[codigo_id]],[1]DIM_REPRESENTANTE_MEDICO!$C:$F,3,0)</f>
        <v>9</v>
      </c>
      <c r="F2462" s="27" t="s">
        <v>5796</v>
      </c>
      <c r="G2462" s="27" t="s">
        <v>5783</v>
      </c>
      <c r="H2462" s="27" t="s">
        <v>96</v>
      </c>
      <c r="I2462">
        <v>1</v>
      </c>
    </row>
    <row r="2463" spans="1:9">
      <c r="A2463" t="s">
        <v>2878</v>
      </c>
      <c r="B2463" s="27" t="s">
        <v>3230</v>
      </c>
      <c r="C2463" s="27" t="s">
        <v>5776</v>
      </c>
      <c r="D2463">
        <f>VLOOKUP(tblTargetMedicos[[#This Row],[codigo_id]],[1]DIM_REPRESENTANTE_MEDICO!$C:$F,4,0)</f>
        <v>8</v>
      </c>
      <c r="E2463">
        <f>VLOOKUP(tblTargetMedicos[[#This Row],[codigo_id]],[1]DIM_REPRESENTANTE_MEDICO!$C:$F,3,0)</f>
        <v>9</v>
      </c>
      <c r="F2463" s="27" t="s">
        <v>5796</v>
      </c>
      <c r="G2463" s="27" t="s">
        <v>5784</v>
      </c>
      <c r="H2463" s="27" t="s">
        <v>96</v>
      </c>
      <c r="I2463">
        <v>1</v>
      </c>
    </row>
    <row r="2464" spans="1:9">
      <c r="A2464" t="s">
        <v>2879</v>
      </c>
      <c r="B2464" s="27" t="s">
        <v>3230</v>
      </c>
      <c r="C2464" s="27" t="s">
        <v>5776</v>
      </c>
      <c r="D2464">
        <f>VLOOKUP(tblTargetMedicos[[#This Row],[codigo_id]],[1]DIM_REPRESENTANTE_MEDICO!$C:$F,4,0)</f>
        <v>8</v>
      </c>
      <c r="E2464">
        <f>VLOOKUP(tblTargetMedicos[[#This Row],[codigo_id]],[1]DIM_REPRESENTANTE_MEDICO!$C:$F,3,0)</f>
        <v>9</v>
      </c>
      <c r="F2464" s="27" t="s">
        <v>5796</v>
      </c>
      <c r="G2464" s="27" t="s">
        <v>5783</v>
      </c>
      <c r="H2464" s="27" t="s">
        <v>96</v>
      </c>
      <c r="I2464">
        <v>1</v>
      </c>
    </row>
    <row r="2465" spans="1:9">
      <c r="A2465" t="s">
        <v>2880</v>
      </c>
      <c r="B2465" s="27" t="s">
        <v>3230</v>
      </c>
      <c r="C2465" s="27" t="s">
        <v>5776</v>
      </c>
      <c r="D2465">
        <f>VLOOKUP(tblTargetMedicos[[#This Row],[codigo_id]],[1]DIM_REPRESENTANTE_MEDICO!$C:$F,4,0)</f>
        <v>8</v>
      </c>
      <c r="E2465">
        <f>VLOOKUP(tblTargetMedicos[[#This Row],[codigo_id]],[1]DIM_REPRESENTANTE_MEDICO!$C:$F,3,0)</f>
        <v>9</v>
      </c>
      <c r="F2465" s="27" t="s">
        <v>5796</v>
      </c>
      <c r="G2465" s="27" t="s">
        <v>5779</v>
      </c>
      <c r="H2465" s="27" t="s">
        <v>96</v>
      </c>
      <c r="I2465">
        <v>1</v>
      </c>
    </row>
    <row r="2466" spans="1:9">
      <c r="A2466" t="s">
        <v>2881</v>
      </c>
      <c r="B2466" s="27" t="s">
        <v>3230</v>
      </c>
      <c r="C2466" s="27" t="s">
        <v>5776</v>
      </c>
      <c r="D2466">
        <f>VLOOKUP(tblTargetMedicos[[#This Row],[codigo_id]],[1]DIM_REPRESENTANTE_MEDICO!$C:$F,4,0)</f>
        <v>8</v>
      </c>
      <c r="E2466">
        <f>VLOOKUP(tblTargetMedicos[[#This Row],[codigo_id]],[1]DIM_REPRESENTANTE_MEDICO!$C:$F,3,0)</f>
        <v>9</v>
      </c>
      <c r="F2466" s="27" t="s">
        <v>5796</v>
      </c>
      <c r="G2466" s="27" t="s">
        <v>5783</v>
      </c>
      <c r="H2466" s="27" t="s">
        <v>96</v>
      </c>
      <c r="I2466">
        <v>1</v>
      </c>
    </row>
    <row r="2467" spans="1:9">
      <c r="A2467" t="s">
        <v>2882</v>
      </c>
      <c r="B2467" s="27" t="s">
        <v>3230</v>
      </c>
      <c r="C2467" s="27" t="s">
        <v>5776</v>
      </c>
      <c r="D2467">
        <f>VLOOKUP(tblTargetMedicos[[#This Row],[codigo_id]],[1]DIM_REPRESENTANTE_MEDICO!$C:$F,4,0)</f>
        <v>8</v>
      </c>
      <c r="E2467">
        <f>VLOOKUP(tblTargetMedicos[[#This Row],[codigo_id]],[1]DIM_REPRESENTANTE_MEDICO!$C:$F,3,0)</f>
        <v>9</v>
      </c>
      <c r="F2467" s="27" t="s">
        <v>5796</v>
      </c>
      <c r="G2467" s="27" t="s">
        <v>5783</v>
      </c>
      <c r="H2467" s="27" t="s">
        <v>96</v>
      </c>
      <c r="I2467">
        <v>1</v>
      </c>
    </row>
    <row r="2468" spans="1:9">
      <c r="A2468" t="s">
        <v>2883</v>
      </c>
      <c r="B2468" s="27" t="s">
        <v>3230</v>
      </c>
      <c r="C2468" s="27" t="s">
        <v>5776</v>
      </c>
      <c r="D2468">
        <f>VLOOKUP(tblTargetMedicos[[#This Row],[codigo_id]],[1]DIM_REPRESENTANTE_MEDICO!$C:$F,4,0)</f>
        <v>8</v>
      </c>
      <c r="E2468">
        <f>VLOOKUP(tblTargetMedicos[[#This Row],[codigo_id]],[1]DIM_REPRESENTANTE_MEDICO!$C:$F,3,0)</f>
        <v>9</v>
      </c>
      <c r="F2468" s="27" t="s">
        <v>5796</v>
      </c>
      <c r="G2468" s="27" t="s">
        <v>5784</v>
      </c>
      <c r="H2468" s="27" t="s">
        <v>96</v>
      </c>
      <c r="I2468">
        <v>1</v>
      </c>
    </row>
    <row r="2469" spans="1:9">
      <c r="A2469" t="s">
        <v>2884</v>
      </c>
      <c r="B2469" s="27" t="s">
        <v>3230</v>
      </c>
      <c r="C2469" s="27" t="s">
        <v>5776</v>
      </c>
      <c r="D2469">
        <f>VLOOKUP(tblTargetMedicos[[#This Row],[codigo_id]],[1]DIM_REPRESENTANTE_MEDICO!$C:$F,4,0)</f>
        <v>8</v>
      </c>
      <c r="E2469">
        <f>VLOOKUP(tblTargetMedicos[[#This Row],[codigo_id]],[1]DIM_REPRESENTANTE_MEDICO!$C:$F,3,0)</f>
        <v>9</v>
      </c>
      <c r="F2469" s="27" t="s">
        <v>5796</v>
      </c>
      <c r="G2469" s="27" t="s">
        <v>5779</v>
      </c>
      <c r="H2469" s="27" t="s">
        <v>96</v>
      </c>
      <c r="I2469">
        <v>1</v>
      </c>
    </row>
    <row r="2470" spans="1:9">
      <c r="A2470" t="s">
        <v>2885</v>
      </c>
      <c r="B2470" s="27" t="s">
        <v>3230</v>
      </c>
      <c r="C2470" s="27" t="s">
        <v>5776</v>
      </c>
      <c r="D2470">
        <f>VLOOKUP(tblTargetMedicos[[#This Row],[codigo_id]],[1]DIM_REPRESENTANTE_MEDICO!$C:$F,4,0)</f>
        <v>8</v>
      </c>
      <c r="E2470">
        <f>VLOOKUP(tblTargetMedicos[[#This Row],[codigo_id]],[1]DIM_REPRESENTANTE_MEDICO!$C:$F,3,0)</f>
        <v>9</v>
      </c>
      <c r="F2470" s="27" t="s">
        <v>5796</v>
      </c>
      <c r="G2470" s="27" t="s">
        <v>5783</v>
      </c>
      <c r="H2470" s="27" t="s">
        <v>96</v>
      </c>
      <c r="I2470">
        <v>1</v>
      </c>
    </row>
    <row r="2471" spans="1:9">
      <c r="A2471" t="s">
        <v>2886</v>
      </c>
      <c r="B2471" s="27" t="s">
        <v>3230</v>
      </c>
      <c r="C2471" s="27" t="s">
        <v>5776</v>
      </c>
      <c r="D2471">
        <f>VLOOKUP(tblTargetMedicos[[#This Row],[codigo_id]],[1]DIM_REPRESENTANTE_MEDICO!$C:$F,4,0)</f>
        <v>8</v>
      </c>
      <c r="E2471">
        <f>VLOOKUP(tblTargetMedicos[[#This Row],[codigo_id]],[1]DIM_REPRESENTANTE_MEDICO!$C:$F,3,0)</f>
        <v>9</v>
      </c>
      <c r="F2471" s="27" t="s">
        <v>5796</v>
      </c>
      <c r="G2471" s="27" t="s">
        <v>5779</v>
      </c>
      <c r="H2471" s="27" t="s">
        <v>96</v>
      </c>
      <c r="I2471">
        <v>1</v>
      </c>
    </row>
    <row r="2472" spans="1:9">
      <c r="A2472" t="s">
        <v>2887</v>
      </c>
      <c r="B2472" s="27" t="s">
        <v>3230</v>
      </c>
      <c r="C2472" s="27" t="s">
        <v>5776</v>
      </c>
      <c r="D2472">
        <f>VLOOKUP(tblTargetMedicos[[#This Row],[codigo_id]],[1]DIM_REPRESENTANTE_MEDICO!$C:$F,4,0)</f>
        <v>8</v>
      </c>
      <c r="E2472">
        <f>VLOOKUP(tblTargetMedicos[[#This Row],[codigo_id]],[1]DIM_REPRESENTANTE_MEDICO!$C:$F,3,0)</f>
        <v>9</v>
      </c>
      <c r="F2472" s="27" t="s">
        <v>5796</v>
      </c>
      <c r="G2472" s="27" t="s">
        <v>5784</v>
      </c>
      <c r="H2472" s="27" t="s">
        <v>96</v>
      </c>
      <c r="I2472">
        <v>1</v>
      </c>
    </row>
    <row r="2473" spans="1:9">
      <c r="A2473" t="s">
        <v>2888</v>
      </c>
      <c r="B2473" s="27" t="s">
        <v>3230</v>
      </c>
      <c r="C2473" s="27" t="s">
        <v>5776</v>
      </c>
      <c r="D2473">
        <f>VLOOKUP(tblTargetMedicos[[#This Row],[codigo_id]],[1]DIM_REPRESENTANTE_MEDICO!$C:$F,4,0)</f>
        <v>8</v>
      </c>
      <c r="E2473">
        <f>VLOOKUP(tblTargetMedicos[[#This Row],[codigo_id]],[1]DIM_REPRESENTANTE_MEDICO!$C:$F,3,0)</f>
        <v>9</v>
      </c>
      <c r="F2473" s="27" t="s">
        <v>5796</v>
      </c>
      <c r="G2473" s="27" t="s">
        <v>5782</v>
      </c>
      <c r="H2473" s="27" t="s">
        <v>97</v>
      </c>
      <c r="I2473">
        <v>1</v>
      </c>
    </row>
    <row r="2474" spans="1:9">
      <c r="A2474" t="s">
        <v>2889</v>
      </c>
      <c r="B2474" s="27" t="s">
        <v>3230</v>
      </c>
      <c r="C2474" s="27" t="s">
        <v>5776</v>
      </c>
      <c r="D2474">
        <f>VLOOKUP(tblTargetMedicos[[#This Row],[codigo_id]],[1]DIM_REPRESENTANTE_MEDICO!$C:$F,4,0)</f>
        <v>8</v>
      </c>
      <c r="E2474">
        <f>VLOOKUP(tblTargetMedicos[[#This Row],[codigo_id]],[1]DIM_REPRESENTANTE_MEDICO!$C:$F,3,0)</f>
        <v>9</v>
      </c>
      <c r="F2474" s="27" t="s">
        <v>5796</v>
      </c>
      <c r="G2474" s="27" t="s">
        <v>5784</v>
      </c>
      <c r="H2474" s="27" t="s">
        <v>97</v>
      </c>
      <c r="I2474">
        <v>1</v>
      </c>
    </row>
    <row r="2475" spans="1:9">
      <c r="A2475" t="s">
        <v>2890</v>
      </c>
      <c r="B2475" s="27" t="s">
        <v>3230</v>
      </c>
      <c r="C2475" s="27" t="s">
        <v>5776</v>
      </c>
      <c r="D2475">
        <f>VLOOKUP(tblTargetMedicos[[#This Row],[codigo_id]],[1]DIM_REPRESENTANTE_MEDICO!$C:$F,4,0)</f>
        <v>8</v>
      </c>
      <c r="E2475">
        <f>VLOOKUP(tblTargetMedicos[[#This Row],[codigo_id]],[1]DIM_REPRESENTANTE_MEDICO!$C:$F,3,0)</f>
        <v>9</v>
      </c>
      <c r="F2475" s="27" t="s">
        <v>5796</v>
      </c>
      <c r="G2475" s="27" t="s">
        <v>5783</v>
      </c>
      <c r="H2475" s="27" t="s">
        <v>96</v>
      </c>
      <c r="I2475">
        <v>1</v>
      </c>
    </row>
    <row r="2476" spans="1:9">
      <c r="A2476" t="s">
        <v>2891</v>
      </c>
      <c r="B2476" s="27" t="s">
        <v>3230</v>
      </c>
      <c r="C2476" s="27" t="s">
        <v>5776</v>
      </c>
      <c r="D2476">
        <f>VLOOKUP(tblTargetMedicos[[#This Row],[codigo_id]],[1]DIM_REPRESENTANTE_MEDICO!$C:$F,4,0)</f>
        <v>8</v>
      </c>
      <c r="E2476">
        <f>VLOOKUP(tblTargetMedicos[[#This Row],[codigo_id]],[1]DIM_REPRESENTANTE_MEDICO!$C:$F,3,0)</f>
        <v>9</v>
      </c>
      <c r="F2476" s="27" t="s">
        <v>5796</v>
      </c>
      <c r="G2476" s="27" t="s">
        <v>5783</v>
      </c>
      <c r="H2476" s="27" t="s">
        <v>96</v>
      </c>
      <c r="I2476">
        <v>1</v>
      </c>
    </row>
    <row r="2477" spans="1:9">
      <c r="A2477" t="s">
        <v>2892</v>
      </c>
      <c r="B2477" s="27" t="s">
        <v>3230</v>
      </c>
      <c r="C2477" s="27" t="s">
        <v>5776</v>
      </c>
      <c r="D2477">
        <f>VLOOKUP(tblTargetMedicos[[#This Row],[codigo_id]],[1]DIM_REPRESENTANTE_MEDICO!$C:$F,4,0)</f>
        <v>8</v>
      </c>
      <c r="E2477">
        <f>VLOOKUP(tblTargetMedicos[[#This Row],[codigo_id]],[1]DIM_REPRESENTANTE_MEDICO!$C:$F,3,0)</f>
        <v>9</v>
      </c>
      <c r="F2477" s="27" t="s">
        <v>5796</v>
      </c>
      <c r="G2477" s="27" t="s">
        <v>5782</v>
      </c>
      <c r="H2477" s="27" t="s">
        <v>96</v>
      </c>
      <c r="I2477">
        <v>1</v>
      </c>
    </row>
    <row r="2478" spans="1:9">
      <c r="A2478" t="s">
        <v>2893</v>
      </c>
      <c r="B2478" s="27" t="s">
        <v>3230</v>
      </c>
      <c r="C2478" s="27" t="s">
        <v>5776</v>
      </c>
      <c r="D2478">
        <f>VLOOKUP(tblTargetMedicos[[#This Row],[codigo_id]],[1]DIM_REPRESENTANTE_MEDICO!$C:$F,4,0)</f>
        <v>8</v>
      </c>
      <c r="E2478">
        <f>VLOOKUP(tblTargetMedicos[[#This Row],[codigo_id]],[1]DIM_REPRESENTANTE_MEDICO!$C:$F,3,0)</f>
        <v>9</v>
      </c>
      <c r="F2478" s="27" t="s">
        <v>5796</v>
      </c>
      <c r="G2478" s="27" t="s">
        <v>5784</v>
      </c>
      <c r="H2478" s="27" t="s">
        <v>96</v>
      </c>
      <c r="I2478">
        <v>1</v>
      </c>
    </row>
    <row r="2479" spans="1:9">
      <c r="A2479" t="s">
        <v>2894</v>
      </c>
      <c r="B2479" s="27" t="s">
        <v>3230</v>
      </c>
      <c r="C2479" s="27" t="s">
        <v>5776</v>
      </c>
      <c r="D2479">
        <f>VLOOKUP(tblTargetMedicos[[#This Row],[codigo_id]],[1]DIM_REPRESENTANTE_MEDICO!$C:$F,4,0)</f>
        <v>8</v>
      </c>
      <c r="E2479">
        <f>VLOOKUP(tblTargetMedicos[[#This Row],[codigo_id]],[1]DIM_REPRESENTANTE_MEDICO!$C:$F,3,0)</f>
        <v>9</v>
      </c>
      <c r="F2479" s="27" t="s">
        <v>5796</v>
      </c>
      <c r="G2479" s="27" t="s">
        <v>5786</v>
      </c>
      <c r="H2479" s="27" t="s">
        <v>96</v>
      </c>
      <c r="I2479">
        <v>1</v>
      </c>
    </row>
    <row r="2480" spans="1:9">
      <c r="A2480" t="s">
        <v>2895</v>
      </c>
      <c r="B2480" s="27" t="s">
        <v>3230</v>
      </c>
      <c r="C2480" s="27" t="s">
        <v>5776</v>
      </c>
      <c r="D2480">
        <f>VLOOKUP(tblTargetMedicos[[#This Row],[codigo_id]],[1]DIM_REPRESENTANTE_MEDICO!$C:$F,4,0)</f>
        <v>8</v>
      </c>
      <c r="E2480">
        <f>VLOOKUP(tblTargetMedicos[[#This Row],[codigo_id]],[1]DIM_REPRESENTANTE_MEDICO!$C:$F,3,0)</f>
        <v>9</v>
      </c>
      <c r="F2480" s="27" t="s">
        <v>5796</v>
      </c>
      <c r="G2480" s="27" t="s">
        <v>5779</v>
      </c>
      <c r="H2480" s="27" t="s">
        <v>96</v>
      </c>
      <c r="I2480">
        <v>1</v>
      </c>
    </row>
    <row r="2481" spans="1:9">
      <c r="A2481" t="s">
        <v>2896</v>
      </c>
      <c r="B2481" s="27" t="s">
        <v>3230</v>
      </c>
      <c r="C2481" s="27" t="s">
        <v>5776</v>
      </c>
      <c r="D2481">
        <f>VLOOKUP(tblTargetMedicos[[#This Row],[codigo_id]],[1]DIM_REPRESENTANTE_MEDICO!$C:$F,4,0)</f>
        <v>8</v>
      </c>
      <c r="E2481">
        <f>VLOOKUP(tblTargetMedicos[[#This Row],[codigo_id]],[1]DIM_REPRESENTANTE_MEDICO!$C:$F,3,0)</f>
        <v>9</v>
      </c>
      <c r="F2481" s="27" t="s">
        <v>5796</v>
      </c>
      <c r="G2481" s="27" t="s">
        <v>5783</v>
      </c>
      <c r="H2481" s="27" t="s">
        <v>97</v>
      </c>
      <c r="I2481">
        <v>1</v>
      </c>
    </row>
    <row r="2482" spans="1:9">
      <c r="A2482" t="s">
        <v>2897</v>
      </c>
      <c r="B2482" s="27" t="s">
        <v>3230</v>
      </c>
      <c r="C2482" s="27" t="s">
        <v>5776</v>
      </c>
      <c r="D2482">
        <f>VLOOKUP(tblTargetMedicos[[#This Row],[codigo_id]],[1]DIM_REPRESENTANTE_MEDICO!$C:$F,4,0)</f>
        <v>8</v>
      </c>
      <c r="E2482">
        <f>VLOOKUP(tblTargetMedicos[[#This Row],[codigo_id]],[1]DIM_REPRESENTANTE_MEDICO!$C:$F,3,0)</f>
        <v>9</v>
      </c>
      <c r="F2482" s="27" t="s">
        <v>5796</v>
      </c>
      <c r="G2482" s="27" t="s">
        <v>5782</v>
      </c>
      <c r="H2482" s="27" t="s">
        <v>96</v>
      </c>
      <c r="I2482">
        <v>1</v>
      </c>
    </row>
    <row r="2483" spans="1:9">
      <c r="A2483" t="s">
        <v>2898</v>
      </c>
      <c r="B2483" s="27" t="s">
        <v>3230</v>
      </c>
      <c r="C2483" s="27" t="s">
        <v>5776</v>
      </c>
      <c r="D2483">
        <f>VLOOKUP(tblTargetMedicos[[#This Row],[codigo_id]],[1]DIM_REPRESENTANTE_MEDICO!$C:$F,4,0)</f>
        <v>8</v>
      </c>
      <c r="E2483">
        <f>VLOOKUP(tblTargetMedicos[[#This Row],[codigo_id]],[1]DIM_REPRESENTANTE_MEDICO!$C:$F,3,0)</f>
        <v>9</v>
      </c>
      <c r="F2483" s="27" t="s">
        <v>5796</v>
      </c>
      <c r="G2483" s="27" t="s">
        <v>5784</v>
      </c>
      <c r="H2483" s="27" t="s">
        <v>96</v>
      </c>
      <c r="I2483">
        <v>1</v>
      </c>
    </row>
    <row r="2484" spans="1:9">
      <c r="A2484" t="s">
        <v>2899</v>
      </c>
      <c r="B2484" s="27" t="s">
        <v>3230</v>
      </c>
      <c r="C2484" s="27" t="s">
        <v>5776</v>
      </c>
      <c r="D2484">
        <f>VLOOKUP(tblTargetMedicos[[#This Row],[codigo_id]],[1]DIM_REPRESENTANTE_MEDICO!$C:$F,4,0)</f>
        <v>8</v>
      </c>
      <c r="E2484">
        <f>VLOOKUP(tblTargetMedicos[[#This Row],[codigo_id]],[1]DIM_REPRESENTANTE_MEDICO!$C:$F,3,0)</f>
        <v>9</v>
      </c>
      <c r="F2484" s="27" t="s">
        <v>5796</v>
      </c>
      <c r="G2484" s="27" t="s">
        <v>5784</v>
      </c>
      <c r="H2484" s="27" t="s">
        <v>96</v>
      </c>
      <c r="I2484">
        <v>1</v>
      </c>
    </row>
    <row r="2485" spans="1:9">
      <c r="A2485" t="s">
        <v>2900</v>
      </c>
      <c r="B2485" s="27" t="s">
        <v>3230</v>
      </c>
      <c r="C2485" s="27" t="s">
        <v>5776</v>
      </c>
      <c r="D2485">
        <f>VLOOKUP(tblTargetMedicos[[#This Row],[codigo_id]],[1]DIM_REPRESENTANTE_MEDICO!$C:$F,4,0)</f>
        <v>8</v>
      </c>
      <c r="E2485">
        <f>VLOOKUP(tblTargetMedicos[[#This Row],[codigo_id]],[1]DIM_REPRESENTANTE_MEDICO!$C:$F,3,0)</f>
        <v>9</v>
      </c>
      <c r="F2485" s="27" t="s">
        <v>5796</v>
      </c>
      <c r="G2485" s="27" t="s">
        <v>5783</v>
      </c>
      <c r="H2485" s="27" t="s">
        <v>96</v>
      </c>
      <c r="I2485">
        <v>1</v>
      </c>
    </row>
    <row r="2486" spans="1:9">
      <c r="A2486" t="s">
        <v>2901</v>
      </c>
      <c r="B2486" s="27" t="s">
        <v>3230</v>
      </c>
      <c r="C2486" s="27" t="s">
        <v>5776</v>
      </c>
      <c r="D2486">
        <f>VLOOKUP(tblTargetMedicos[[#This Row],[codigo_id]],[1]DIM_REPRESENTANTE_MEDICO!$C:$F,4,0)</f>
        <v>8</v>
      </c>
      <c r="E2486">
        <f>VLOOKUP(tblTargetMedicos[[#This Row],[codigo_id]],[1]DIM_REPRESENTANTE_MEDICO!$C:$F,3,0)</f>
        <v>9</v>
      </c>
      <c r="F2486" s="27" t="s">
        <v>5796</v>
      </c>
      <c r="G2486" s="27" t="s">
        <v>5784</v>
      </c>
      <c r="H2486" s="27" t="s">
        <v>96</v>
      </c>
      <c r="I2486">
        <v>1</v>
      </c>
    </row>
    <row r="2487" spans="1:9">
      <c r="A2487" t="s">
        <v>2902</v>
      </c>
      <c r="B2487" s="27" t="s">
        <v>3230</v>
      </c>
      <c r="C2487" s="27" t="s">
        <v>5776</v>
      </c>
      <c r="D2487">
        <f>VLOOKUP(tblTargetMedicos[[#This Row],[codigo_id]],[1]DIM_REPRESENTANTE_MEDICO!$C:$F,4,0)</f>
        <v>8</v>
      </c>
      <c r="E2487">
        <f>VLOOKUP(tblTargetMedicos[[#This Row],[codigo_id]],[1]DIM_REPRESENTANTE_MEDICO!$C:$F,3,0)</f>
        <v>9</v>
      </c>
      <c r="F2487" s="27" t="s">
        <v>5796</v>
      </c>
      <c r="G2487" s="27" t="s">
        <v>5788</v>
      </c>
      <c r="H2487" s="27" t="s">
        <v>96</v>
      </c>
      <c r="I2487">
        <v>1</v>
      </c>
    </row>
    <row r="2488" spans="1:9">
      <c r="A2488" t="s">
        <v>2903</v>
      </c>
      <c r="B2488" s="27" t="s">
        <v>3230</v>
      </c>
      <c r="C2488" s="27" t="s">
        <v>5776</v>
      </c>
      <c r="D2488">
        <f>VLOOKUP(tblTargetMedicos[[#This Row],[codigo_id]],[1]DIM_REPRESENTANTE_MEDICO!$C:$F,4,0)</f>
        <v>8</v>
      </c>
      <c r="E2488">
        <f>VLOOKUP(tblTargetMedicos[[#This Row],[codigo_id]],[1]DIM_REPRESENTANTE_MEDICO!$C:$F,3,0)</f>
        <v>9</v>
      </c>
      <c r="F2488" s="27" t="s">
        <v>5796</v>
      </c>
      <c r="G2488" s="27" t="s">
        <v>5783</v>
      </c>
      <c r="H2488" s="27" t="s">
        <v>96</v>
      </c>
      <c r="I2488">
        <v>1</v>
      </c>
    </row>
    <row r="2489" spans="1:9">
      <c r="A2489" t="s">
        <v>2904</v>
      </c>
      <c r="B2489" s="27" t="s">
        <v>3230</v>
      </c>
      <c r="C2489" s="27" t="s">
        <v>5776</v>
      </c>
      <c r="D2489">
        <f>VLOOKUP(tblTargetMedicos[[#This Row],[codigo_id]],[1]DIM_REPRESENTANTE_MEDICO!$C:$F,4,0)</f>
        <v>8</v>
      </c>
      <c r="E2489">
        <f>VLOOKUP(tblTargetMedicos[[#This Row],[codigo_id]],[1]DIM_REPRESENTANTE_MEDICO!$C:$F,3,0)</f>
        <v>9</v>
      </c>
      <c r="F2489" s="27" t="s">
        <v>5796</v>
      </c>
      <c r="G2489" s="27" t="s">
        <v>5783</v>
      </c>
      <c r="H2489" s="27" t="s">
        <v>96</v>
      </c>
      <c r="I2489">
        <v>1</v>
      </c>
    </row>
    <row r="2490" spans="1:9">
      <c r="A2490" t="s">
        <v>2905</v>
      </c>
      <c r="B2490" s="27" t="s">
        <v>3230</v>
      </c>
      <c r="C2490" s="27" t="s">
        <v>5776</v>
      </c>
      <c r="D2490">
        <f>VLOOKUP(tblTargetMedicos[[#This Row],[codigo_id]],[1]DIM_REPRESENTANTE_MEDICO!$C:$F,4,0)</f>
        <v>8</v>
      </c>
      <c r="E2490">
        <f>VLOOKUP(tblTargetMedicos[[#This Row],[codigo_id]],[1]DIM_REPRESENTANTE_MEDICO!$C:$F,3,0)</f>
        <v>9</v>
      </c>
      <c r="F2490" s="27" t="s">
        <v>5796</v>
      </c>
      <c r="G2490" s="27" t="s">
        <v>5785</v>
      </c>
      <c r="H2490" s="27" t="s">
        <v>97</v>
      </c>
      <c r="I2490">
        <v>1</v>
      </c>
    </row>
    <row r="2491" spans="1:9">
      <c r="A2491" t="s">
        <v>2906</v>
      </c>
      <c r="B2491" s="27" t="s">
        <v>3230</v>
      </c>
      <c r="C2491" s="27" t="s">
        <v>5776</v>
      </c>
      <c r="D2491">
        <f>VLOOKUP(tblTargetMedicos[[#This Row],[codigo_id]],[1]DIM_REPRESENTANTE_MEDICO!$C:$F,4,0)</f>
        <v>8</v>
      </c>
      <c r="E2491">
        <f>VLOOKUP(tblTargetMedicos[[#This Row],[codigo_id]],[1]DIM_REPRESENTANTE_MEDICO!$C:$F,3,0)</f>
        <v>9</v>
      </c>
      <c r="F2491" s="27" t="s">
        <v>5796</v>
      </c>
      <c r="G2491" s="27" t="s">
        <v>5785</v>
      </c>
      <c r="H2491" s="27" t="s">
        <v>96</v>
      </c>
      <c r="I2491">
        <v>1</v>
      </c>
    </row>
    <row r="2492" spans="1:9">
      <c r="A2492" t="s">
        <v>2907</v>
      </c>
      <c r="B2492" s="27" t="s">
        <v>3230</v>
      </c>
      <c r="C2492" s="27" t="s">
        <v>5776</v>
      </c>
      <c r="D2492">
        <f>VLOOKUP(tblTargetMedicos[[#This Row],[codigo_id]],[1]DIM_REPRESENTANTE_MEDICO!$C:$F,4,0)</f>
        <v>8</v>
      </c>
      <c r="E2492">
        <f>VLOOKUP(tblTargetMedicos[[#This Row],[codigo_id]],[1]DIM_REPRESENTANTE_MEDICO!$C:$F,3,0)</f>
        <v>9</v>
      </c>
      <c r="F2492" s="27" t="s">
        <v>5796</v>
      </c>
      <c r="G2492" s="27" t="s">
        <v>5784</v>
      </c>
      <c r="H2492" s="27" t="s">
        <v>96</v>
      </c>
      <c r="I2492">
        <v>1</v>
      </c>
    </row>
    <row r="2493" spans="1:9">
      <c r="A2493" t="s">
        <v>2908</v>
      </c>
      <c r="B2493" s="27" t="s">
        <v>3230</v>
      </c>
      <c r="C2493" s="27" t="s">
        <v>5776</v>
      </c>
      <c r="D2493">
        <f>VLOOKUP(tblTargetMedicos[[#This Row],[codigo_id]],[1]DIM_REPRESENTANTE_MEDICO!$C:$F,4,0)</f>
        <v>8</v>
      </c>
      <c r="E2493">
        <f>VLOOKUP(tblTargetMedicos[[#This Row],[codigo_id]],[1]DIM_REPRESENTANTE_MEDICO!$C:$F,3,0)</f>
        <v>9</v>
      </c>
      <c r="F2493" s="27" t="s">
        <v>5796</v>
      </c>
      <c r="G2493" s="27" t="s">
        <v>5783</v>
      </c>
      <c r="H2493" s="27" t="s">
        <v>96</v>
      </c>
      <c r="I2493">
        <v>1</v>
      </c>
    </row>
    <row r="2494" spans="1:9">
      <c r="A2494" t="s">
        <v>2909</v>
      </c>
      <c r="B2494" s="27" t="s">
        <v>3230</v>
      </c>
      <c r="C2494" s="27" t="s">
        <v>5776</v>
      </c>
      <c r="D2494">
        <f>VLOOKUP(tblTargetMedicos[[#This Row],[codigo_id]],[1]DIM_REPRESENTANTE_MEDICO!$C:$F,4,0)</f>
        <v>8</v>
      </c>
      <c r="E2494">
        <f>VLOOKUP(tblTargetMedicos[[#This Row],[codigo_id]],[1]DIM_REPRESENTANTE_MEDICO!$C:$F,3,0)</f>
        <v>9</v>
      </c>
      <c r="F2494" s="27" t="s">
        <v>5796</v>
      </c>
      <c r="G2494" s="27" t="s">
        <v>5784</v>
      </c>
      <c r="H2494" s="27" t="s">
        <v>96</v>
      </c>
      <c r="I2494">
        <v>1</v>
      </c>
    </row>
    <row r="2495" spans="1:9">
      <c r="A2495" t="s">
        <v>2910</v>
      </c>
      <c r="B2495" s="27" t="s">
        <v>3230</v>
      </c>
      <c r="C2495" s="27" t="s">
        <v>5776</v>
      </c>
      <c r="D2495">
        <f>VLOOKUP(tblTargetMedicos[[#This Row],[codigo_id]],[1]DIM_REPRESENTANTE_MEDICO!$C:$F,4,0)</f>
        <v>8</v>
      </c>
      <c r="E2495">
        <f>VLOOKUP(tblTargetMedicos[[#This Row],[codigo_id]],[1]DIM_REPRESENTANTE_MEDICO!$C:$F,3,0)</f>
        <v>9</v>
      </c>
      <c r="F2495" s="27" t="s">
        <v>5796</v>
      </c>
      <c r="G2495" s="27" t="s">
        <v>5783</v>
      </c>
      <c r="H2495" s="27" t="s">
        <v>97</v>
      </c>
      <c r="I2495">
        <v>1</v>
      </c>
    </row>
    <row r="2496" spans="1:9">
      <c r="A2496" t="s">
        <v>2911</v>
      </c>
      <c r="B2496" s="27" t="s">
        <v>3230</v>
      </c>
      <c r="C2496" s="27" t="s">
        <v>5776</v>
      </c>
      <c r="D2496">
        <f>VLOOKUP(tblTargetMedicos[[#This Row],[codigo_id]],[1]DIM_REPRESENTANTE_MEDICO!$C:$F,4,0)</f>
        <v>8</v>
      </c>
      <c r="E2496">
        <f>VLOOKUP(tblTargetMedicos[[#This Row],[codigo_id]],[1]DIM_REPRESENTANTE_MEDICO!$C:$F,3,0)</f>
        <v>9</v>
      </c>
      <c r="F2496" s="27" t="s">
        <v>5796</v>
      </c>
      <c r="G2496" s="27" t="s">
        <v>5779</v>
      </c>
      <c r="H2496" s="27" t="s">
        <v>96</v>
      </c>
      <c r="I2496">
        <v>1</v>
      </c>
    </row>
    <row r="2497" spans="1:9">
      <c r="A2497" t="s">
        <v>2912</v>
      </c>
      <c r="B2497" s="27" t="s">
        <v>3230</v>
      </c>
      <c r="C2497" s="27" t="s">
        <v>5776</v>
      </c>
      <c r="D2497">
        <f>VLOOKUP(tblTargetMedicos[[#This Row],[codigo_id]],[1]DIM_REPRESENTANTE_MEDICO!$C:$F,4,0)</f>
        <v>8</v>
      </c>
      <c r="E2497">
        <f>VLOOKUP(tblTargetMedicos[[#This Row],[codigo_id]],[1]DIM_REPRESENTANTE_MEDICO!$C:$F,3,0)</f>
        <v>9</v>
      </c>
      <c r="F2497" s="27" t="s">
        <v>5796</v>
      </c>
      <c r="G2497" s="27" t="s">
        <v>5779</v>
      </c>
      <c r="H2497" s="27" t="s">
        <v>96</v>
      </c>
      <c r="I2497">
        <v>1</v>
      </c>
    </row>
    <row r="2498" spans="1:9">
      <c r="A2498" t="s">
        <v>2913</v>
      </c>
      <c r="B2498" s="27" t="s">
        <v>3230</v>
      </c>
      <c r="C2498" s="27" t="s">
        <v>5776</v>
      </c>
      <c r="D2498">
        <f>VLOOKUP(tblTargetMedicos[[#This Row],[codigo_id]],[1]DIM_REPRESENTANTE_MEDICO!$C:$F,4,0)</f>
        <v>8</v>
      </c>
      <c r="E2498">
        <f>VLOOKUP(tblTargetMedicos[[#This Row],[codigo_id]],[1]DIM_REPRESENTANTE_MEDICO!$C:$F,3,0)</f>
        <v>9</v>
      </c>
      <c r="F2498" s="27" t="s">
        <v>5796</v>
      </c>
      <c r="G2498" s="27" t="s">
        <v>5783</v>
      </c>
      <c r="H2498" s="27" t="s">
        <v>96</v>
      </c>
      <c r="I2498">
        <v>1</v>
      </c>
    </row>
    <row r="2499" spans="1:9">
      <c r="A2499" t="s">
        <v>2914</v>
      </c>
      <c r="B2499" s="27" t="s">
        <v>3230</v>
      </c>
      <c r="C2499" s="27" t="s">
        <v>5776</v>
      </c>
      <c r="D2499">
        <f>VLOOKUP(tblTargetMedicos[[#This Row],[codigo_id]],[1]DIM_REPRESENTANTE_MEDICO!$C:$F,4,0)</f>
        <v>8</v>
      </c>
      <c r="E2499">
        <f>VLOOKUP(tblTargetMedicos[[#This Row],[codigo_id]],[1]DIM_REPRESENTANTE_MEDICO!$C:$F,3,0)</f>
        <v>9</v>
      </c>
      <c r="F2499" s="27" t="s">
        <v>5796</v>
      </c>
      <c r="G2499" s="27" t="s">
        <v>5784</v>
      </c>
      <c r="H2499" s="27" t="s">
        <v>96</v>
      </c>
      <c r="I2499">
        <v>1</v>
      </c>
    </row>
    <row r="2500" spans="1:9">
      <c r="A2500" t="s">
        <v>2915</v>
      </c>
      <c r="B2500" s="27" t="s">
        <v>3230</v>
      </c>
      <c r="C2500" s="27" t="s">
        <v>5776</v>
      </c>
      <c r="D2500">
        <f>VLOOKUP(tblTargetMedicos[[#This Row],[codigo_id]],[1]DIM_REPRESENTANTE_MEDICO!$C:$F,4,0)</f>
        <v>8</v>
      </c>
      <c r="E2500">
        <f>VLOOKUP(tblTargetMedicos[[#This Row],[codigo_id]],[1]DIM_REPRESENTANTE_MEDICO!$C:$F,3,0)</f>
        <v>9</v>
      </c>
      <c r="F2500" s="27" t="s">
        <v>5796</v>
      </c>
      <c r="G2500" s="27" t="s">
        <v>5784</v>
      </c>
      <c r="H2500" s="27" t="s">
        <v>97</v>
      </c>
      <c r="I2500">
        <v>1</v>
      </c>
    </row>
    <row r="2501" spans="1:9">
      <c r="A2501" t="s">
        <v>2916</v>
      </c>
      <c r="B2501" s="27" t="s">
        <v>3230</v>
      </c>
      <c r="C2501" s="27" t="s">
        <v>5776</v>
      </c>
      <c r="D2501">
        <f>VLOOKUP(tblTargetMedicos[[#This Row],[codigo_id]],[1]DIM_REPRESENTANTE_MEDICO!$C:$F,4,0)</f>
        <v>8</v>
      </c>
      <c r="E2501">
        <f>VLOOKUP(tblTargetMedicos[[#This Row],[codigo_id]],[1]DIM_REPRESENTANTE_MEDICO!$C:$F,3,0)</f>
        <v>9</v>
      </c>
      <c r="F2501" s="27" t="s">
        <v>5796</v>
      </c>
      <c r="G2501" s="27" t="s">
        <v>5784</v>
      </c>
      <c r="H2501" s="27" t="s">
        <v>96</v>
      </c>
      <c r="I2501">
        <v>1</v>
      </c>
    </row>
    <row r="2502" spans="1:9">
      <c r="A2502" t="s">
        <v>2917</v>
      </c>
      <c r="B2502" s="27" t="s">
        <v>3230</v>
      </c>
      <c r="C2502" s="27" t="s">
        <v>5776</v>
      </c>
      <c r="D2502">
        <f>VLOOKUP(tblTargetMedicos[[#This Row],[codigo_id]],[1]DIM_REPRESENTANTE_MEDICO!$C:$F,4,0)</f>
        <v>8</v>
      </c>
      <c r="E2502">
        <f>VLOOKUP(tblTargetMedicos[[#This Row],[codigo_id]],[1]DIM_REPRESENTANTE_MEDICO!$C:$F,3,0)</f>
        <v>9</v>
      </c>
      <c r="F2502" s="27" t="s">
        <v>5796</v>
      </c>
      <c r="G2502" s="27" t="s">
        <v>5784</v>
      </c>
      <c r="H2502" s="27" t="s">
        <v>96</v>
      </c>
      <c r="I2502">
        <v>1</v>
      </c>
    </row>
    <row r="2503" spans="1:9">
      <c r="A2503" t="s">
        <v>2918</v>
      </c>
      <c r="B2503" s="27" t="s">
        <v>3230</v>
      </c>
      <c r="C2503" s="27" t="s">
        <v>5776</v>
      </c>
      <c r="D2503">
        <f>VLOOKUP(tblTargetMedicos[[#This Row],[codigo_id]],[1]DIM_REPRESENTANTE_MEDICO!$C:$F,4,0)</f>
        <v>8</v>
      </c>
      <c r="E2503">
        <f>VLOOKUP(tblTargetMedicos[[#This Row],[codigo_id]],[1]DIM_REPRESENTANTE_MEDICO!$C:$F,3,0)</f>
        <v>9</v>
      </c>
      <c r="F2503" s="27" t="s">
        <v>5796</v>
      </c>
      <c r="G2503" s="27" t="s">
        <v>5785</v>
      </c>
      <c r="H2503" s="27" t="s">
        <v>96</v>
      </c>
      <c r="I2503">
        <v>1</v>
      </c>
    </row>
    <row r="2504" spans="1:9">
      <c r="A2504" t="s">
        <v>2919</v>
      </c>
      <c r="B2504" s="27" t="s">
        <v>3230</v>
      </c>
      <c r="C2504" s="27" t="s">
        <v>5776</v>
      </c>
      <c r="D2504">
        <f>VLOOKUP(tblTargetMedicos[[#This Row],[codigo_id]],[1]DIM_REPRESENTANTE_MEDICO!$C:$F,4,0)</f>
        <v>8</v>
      </c>
      <c r="E2504">
        <f>VLOOKUP(tblTargetMedicos[[#This Row],[codigo_id]],[1]DIM_REPRESENTANTE_MEDICO!$C:$F,3,0)</f>
        <v>9</v>
      </c>
      <c r="F2504" s="27" t="s">
        <v>5796</v>
      </c>
      <c r="G2504" s="27" t="s">
        <v>5784</v>
      </c>
      <c r="H2504" s="27" t="s">
        <v>96</v>
      </c>
      <c r="I2504">
        <v>1</v>
      </c>
    </row>
    <row r="2505" spans="1:9">
      <c r="A2505" t="s">
        <v>2920</v>
      </c>
      <c r="B2505" s="27" t="s">
        <v>3230</v>
      </c>
      <c r="C2505" s="27" t="s">
        <v>5776</v>
      </c>
      <c r="D2505">
        <f>VLOOKUP(tblTargetMedicos[[#This Row],[codigo_id]],[1]DIM_REPRESENTANTE_MEDICO!$C:$F,4,0)</f>
        <v>8</v>
      </c>
      <c r="E2505">
        <f>VLOOKUP(tblTargetMedicos[[#This Row],[codigo_id]],[1]DIM_REPRESENTANTE_MEDICO!$C:$F,3,0)</f>
        <v>9</v>
      </c>
      <c r="F2505" s="27" t="s">
        <v>5796</v>
      </c>
      <c r="G2505" s="27" t="s">
        <v>5779</v>
      </c>
      <c r="H2505" s="27" t="s">
        <v>96</v>
      </c>
      <c r="I2505">
        <v>1</v>
      </c>
    </row>
    <row r="2506" spans="1:9">
      <c r="A2506" t="s">
        <v>2921</v>
      </c>
      <c r="B2506" s="27" t="s">
        <v>3230</v>
      </c>
      <c r="C2506" s="27" t="s">
        <v>5776</v>
      </c>
      <c r="D2506">
        <f>VLOOKUP(tblTargetMedicos[[#This Row],[codigo_id]],[1]DIM_REPRESENTANTE_MEDICO!$C:$F,4,0)</f>
        <v>8</v>
      </c>
      <c r="E2506">
        <f>VLOOKUP(tblTargetMedicos[[#This Row],[codigo_id]],[1]DIM_REPRESENTANTE_MEDICO!$C:$F,3,0)</f>
        <v>9</v>
      </c>
      <c r="F2506" s="27" t="s">
        <v>5796</v>
      </c>
      <c r="G2506" s="27" t="s">
        <v>5783</v>
      </c>
      <c r="H2506" s="27" t="s">
        <v>96</v>
      </c>
      <c r="I2506">
        <v>1</v>
      </c>
    </row>
    <row r="2507" spans="1:9">
      <c r="A2507" t="s">
        <v>2922</v>
      </c>
      <c r="B2507" s="27" t="s">
        <v>3230</v>
      </c>
      <c r="C2507" s="27" t="s">
        <v>5776</v>
      </c>
      <c r="D2507">
        <f>VLOOKUP(tblTargetMedicos[[#This Row],[codigo_id]],[1]DIM_REPRESENTANTE_MEDICO!$C:$F,4,0)</f>
        <v>8</v>
      </c>
      <c r="E2507">
        <f>VLOOKUP(tblTargetMedicos[[#This Row],[codigo_id]],[1]DIM_REPRESENTANTE_MEDICO!$C:$F,3,0)</f>
        <v>9</v>
      </c>
      <c r="F2507" s="27" t="s">
        <v>5796</v>
      </c>
      <c r="G2507" s="27" t="s">
        <v>5784</v>
      </c>
      <c r="H2507" s="27" t="s">
        <v>96</v>
      </c>
      <c r="I2507">
        <v>1</v>
      </c>
    </row>
    <row r="2508" spans="1:9">
      <c r="A2508" t="s">
        <v>2923</v>
      </c>
      <c r="B2508" s="27" t="s">
        <v>3230</v>
      </c>
      <c r="C2508" s="27" t="s">
        <v>5776</v>
      </c>
      <c r="D2508">
        <f>VLOOKUP(tblTargetMedicos[[#This Row],[codigo_id]],[1]DIM_REPRESENTANTE_MEDICO!$C:$F,4,0)</f>
        <v>8</v>
      </c>
      <c r="E2508">
        <f>VLOOKUP(tblTargetMedicos[[#This Row],[codigo_id]],[1]DIM_REPRESENTANTE_MEDICO!$C:$F,3,0)</f>
        <v>9</v>
      </c>
      <c r="F2508" s="27" t="s">
        <v>5796</v>
      </c>
      <c r="G2508" s="27" t="s">
        <v>5783</v>
      </c>
      <c r="H2508" s="27" t="s">
        <v>96</v>
      </c>
      <c r="I2508">
        <v>1</v>
      </c>
    </row>
    <row r="2509" spans="1:9">
      <c r="A2509" t="s">
        <v>2924</v>
      </c>
      <c r="B2509" s="27" t="s">
        <v>3230</v>
      </c>
      <c r="C2509" s="27" t="s">
        <v>5776</v>
      </c>
      <c r="D2509">
        <f>VLOOKUP(tblTargetMedicos[[#This Row],[codigo_id]],[1]DIM_REPRESENTANTE_MEDICO!$C:$F,4,0)</f>
        <v>8</v>
      </c>
      <c r="E2509">
        <f>VLOOKUP(tblTargetMedicos[[#This Row],[codigo_id]],[1]DIM_REPRESENTANTE_MEDICO!$C:$F,3,0)</f>
        <v>9</v>
      </c>
      <c r="F2509" s="27" t="s">
        <v>5796</v>
      </c>
      <c r="G2509" s="27" t="s">
        <v>5783</v>
      </c>
      <c r="H2509" s="27" t="s">
        <v>96</v>
      </c>
      <c r="I2509">
        <v>1</v>
      </c>
    </row>
    <row r="2510" spans="1:9">
      <c r="A2510" t="s">
        <v>2925</v>
      </c>
      <c r="B2510" s="27" t="s">
        <v>3230</v>
      </c>
      <c r="C2510" s="27" t="s">
        <v>5776</v>
      </c>
      <c r="D2510">
        <f>VLOOKUP(tblTargetMedicos[[#This Row],[codigo_id]],[1]DIM_REPRESENTANTE_MEDICO!$C:$F,4,0)</f>
        <v>8</v>
      </c>
      <c r="E2510">
        <f>VLOOKUP(tblTargetMedicos[[#This Row],[codigo_id]],[1]DIM_REPRESENTANTE_MEDICO!$C:$F,3,0)</f>
        <v>9</v>
      </c>
      <c r="F2510" s="27" t="s">
        <v>5796</v>
      </c>
      <c r="G2510" s="27" t="s">
        <v>5783</v>
      </c>
      <c r="H2510" s="27" t="s">
        <v>97</v>
      </c>
      <c r="I2510">
        <v>1</v>
      </c>
    </row>
    <row r="2511" spans="1:9">
      <c r="A2511" t="s">
        <v>2926</v>
      </c>
      <c r="B2511" s="27" t="s">
        <v>3230</v>
      </c>
      <c r="C2511" s="27" t="s">
        <v>5776</v>
      </c>
      <c r="D2511">
        <f>VLOOKUP(tblTargetMedicos[[#This Row],[codigo_id]],[1]DIM_REPRESENTANTE_MEDICO!$C:$F,4,0)</f>
        <v>8</v>
      </c>
      <c r="E2511">
        <f>VLOOKUP(tblTargetMedicos[[#This Row],[codigo_id]],[1]DIM_REPRESENTANTE_MEDICO!$C:$F,3,0)</f>
        <v>9</v>
      </c>
      <c r="F2511" s="27" t="s">
        <v>5796</v>
      </c>
      <c r="G2511" s="27" t="s">
        <v>5785</v>
      </c>
      <c r="H2511" s="27" t="s">
        <v>96</v>
      </c>
      <c r="I2511">
        <v>1</v>
      </c>
    </row>
    <row r="2512" spans="1:9">
      <c r="A2512" t="s">
        <v>2927</v>
      </c>
      <c r="B2512" s="27" t="s">
        <v>3230</v>
      </c>
      <c r="C2512" s="27" t="s">
        <v>5776</v>
      </c>
      <c r="D2512">
        <f>VLOOKUP(tblTargetMedicos[[#This Row],[codigo_id]],[1]DIM_REPRESENTANTE_MEDICO!$C:$F,4,0)</f>
        <v>8</v>
      </c>
      <c r="E2512">
        <f>VLOOKUP(tblTargetMedicos[[#This Row],[codigo_id]],[1]DIM_REPRESENTANTE_MEDICO!$C:$F,3,0)</f>
        <v>9</v>
      </c>
      <c r="F2512" s="27" t="s">
        <v>5796</v>
      </c>
      <c r="G2512" s="27" t="s">
        <v>5784</v>
      </c>
      <c r="H2512" s="27" t="s">
        <v>96</v>
      </c>
      <c r="I2512">
        <v>1</v>
      </c>
    </row>
    <row r="2513" spans="1:9">
      <c r="A2513" t="s">
        <v>2928</v>
      </c>
      <c r="B2513" s="27" t="s">
        <v>3230</v>
      </c>
      <c r="C2513" s="27" t="s">
        <v>5776</v>
      </c>
      <c r="D2513">
        <f>VLOOKUP(tblTargetMedicos[[#This Row],[codigo_id]],[1]DIM_REPRESENTANTE_MEDICO!$C:$F,4,0)</f>
        <v>8</v>
      </c>
      <c r="E2513">
        <f>VLOOKUP(tblTargetMedicos[[#This Row],[codigo_id]],[1]DIM_REPRESENTANTE_MEDICO!$C:$F,3,0)</f>
        <v>9</v>
      </c>
      <c r="F2513" s="27" t="s">
        <v>5796</v>
      </c>
      <c r="G2513" s="27" t="s">
        <v>5784</v>
      </c>
      <c r="H2513" s="27" t="s">
        <v>96</v>
      </c>
      <c r="I2513">
        <v>1</v>
      </c>
    </row>
    <row r="2514" spans="1:9">
      <c r="A2514" t="s">
        <v>2929</v>
      </c>
      <c r="B2514" s="27" t="s">
        <v>3230</v>
      </c>
      <c r="C2514" s="27" t="s">
        <v>5776</v>
      </c>
      <c r="D2514">
        <f>VLOOKUP(tblTargetMedicos[[#This Row],[codigo_id]],[1]DIM_REPRESENTANTE_MEDICO!$C:$F,4,0)</f>
        <v>8</v>
      </c>
      <c r="E2514">
        <f>VLOOKUP(tblTargetMedicos[[#This Row],[codigo_id]],[1]DIM_REPRESENTANTE_MEDICO!$C:$F,3,0)</f>
        <v>9</v>
      </c>
      <c r="F2514" s="27" t="s">
        <v>5796</v>
      </c>
      <c r="G2514" s="27" t="s">
        <v>5779</v>
      </c>
      <c r="H2514" s="27" t="s">
        <v>97</v>
      </c>
      <c r="I2514">
        <v>1</v>
      </c>
    </row>
    <row r="2515" spans="1:9">
      <c r="A2515" t="s">
        <v>2930</v>
      </c>
      <c r="B2515" s="27" t="s">
        <v>3230</v>
      </c>
      <c r="C2515" s="27" t="s">
        <v>5776</v>
      </c>
      <c r="D2515">
        <f>VLOOKUP(tblTargetMedicos[[#This Row],[codigo_id]],[1]DIM_REPRESENTANTE_MEDICO!$C:$F,4,0)</f>
        <v>8</v>
      </c>
      <c r="E2515">
        <f>VLOOKUP(tblTargetMedicos[[#This Row],[codigo_id]],[1]DIM_REPRESENTANTE_MEDICO!$C:$F,3,0)</f>
        <v>9</v>
      </c>
      <c r="F2515" s="27" t="s">
        <v>5796</v>
      </c>
      <c r="G2515" s="27" t="s">
        <v>5784</v>
      </c>
      <c r="H2515" s="27" t="s">
        <v>96</v>
      </c>
      <c r="I2515">
        <v>1</v>
      </c>
    </row>
    <row r="2516" spans="1:9">
      <c r="A2516" t="s">
        <v>2931</v>
      </c>
      <c r="B2516" s="27" t="s">
        <v>3230</v>
      </c>
      <c r="C2516" s="27" t="s">
        <v>5776</v>
      </c>
      <c r="D2516">
        <f>VLOOKUP(tblTargetMedicos[[#This Row],[codigo_id]],[1]DIM_REPRESENTANTE_MEDICO!$C:$F,4,0)</f>
        <v>8</v>
      </c>
      <c r="E2516">
        <f>VLOOKUP(tblTargetMedicos[[#This Row],[codigo_id]],[1]DIM_REPRESENTANTE_MEDICO!$C:$F,3,0)</f>
        <v>9</v>
      </c>
      <c r="F2516" s="27" t="s">
        <v>5796</v>
      </c>
      <c r="G2516" s="27" t="s">
        <v>5786</v>
      </c>
      <c r="H2516" s="27" t="s">
        <v>97</v>
      </c>
      <c r="I2516">
        <v>1</v>
      </c>
    </row>
    <row r="2517" spans="1:9">
      <c r="A2517" t="s">
        <v>2932</v>
      </c>
      <c r="B2517" s="27" t="s">
        <v>3230</v>
      </c>
      <c r="C2517" s="27" t="s">
        <v>5776</v>
      </c>
      <c r="D2517">
        <f>VLOOKUP(tblTargetMedicos[[#This Row],[codigo_id]],[1]DIM_REPRESENTANTE_MEDICO!$C:$F,4,0)</f>
        <v>8</v>
      </c>
      <c r="E2517">
        <f>VLOOKUP(tblTargetMedicos[[#This Row],[codigo_id]],[1]DIM_REPRESENTANTE_MEDICO!$C:$F,3,0)</f>
        <v>9</v>
      </c>
      <c r="F2517" s="27" t="s">
        <v>5796</v>
      </c>
      <c r="G2517" s="27" t="s">
        <v>5783</v>
      </c>
      <c r="H2517" s="27" t="s">
        <v>97</v>
      </c>
      <c r="I2517">
        <v>1</v>
      </c>
    </row>
    <row r="2518" spans="1:9">
      <c r="A2518" t="s">
        <v>2933</v>
      </c>
      <c r="B2518" s="27" t="s">
        <v>3230</v>
      </c>
      <c r="C2518" s="27" t="s">
        <v>5776</v>
      </c>
      <c r="D2518">
        <f>VLOOKUP(tblTargetMedicos[[#This Row],[codigo_id]],[1]DIM_REPRESENTANTE_MEDICO!$C:$F,4,0)</f>
        <v>8</v>
      </c>
      <c r="E2518">
        <f>VLOOKUP(tblTargetMedicos[[#This Row],[codigo_id]],[1]DIM_REPRESENTANTE_MEDICO!$C:$F,3,0)</f>
        <v>9</v>
      </c>
      <c r="F2518" s="27" t="s">
        <v>5796</v>
      </c>
      <c r="G2518" s="27" t="s">
        <v>5787</v>
      </c>
      <c r="H2518" s="27" t="s">
        <v>96</v>
      </c>
      <c r="I2518">
        <v>1</v>
      </c>
    </row>
    <row r="2519" spans="1:9">
      <c r="A2519" t="s">
        <v>2934</v>
      </c>
      <c r="B2519" s="27" t="s">
        <v>3230</v>
      </c>
      <c r="C2519" s="27" t="s">
        <v>5776</v>
      </c>
      <c r="D2519">
        <f>VLOOKUP(tblTargetMedicos[[#This Row],[codigo_id]],[1]DIM_REPRESENTANTE_MEDICO!$C:$F,4,0)</f>
        <v>8</v>
      </c>
      <c r="E2519">
        <f>VLOOKUP(tblTargetMedicos[[#This Row],[codigo_id]],[1]DIM_REPRESENTANTE_MEDICO!$C:$F,3,0)</f>
        <v>9</v>
      </c>
      <c r="F2519" s="27" t="s">
        <v>5796</v>
      </c>
      <c r="G2519" s="27" t="s">
        <v>5783</v>
      </c>
      <c r="H2519" s="27" t="s">
        <v>97</v>
      </c>
      <c r="I2519">
        <v>1</v>
      </c>
    </row>
    <row r="2520" spans="1:9">
      <c r="A2520" t="s">
        <v>2935</v>
      </c>
      <c r="B2520" s="27" t="s">
        <v>3230</v>
      </c>
      <c r="C2520" s="27" t="s">
        <v>5776</v>
      </c>
      <c r="D2520">
        <f>VLOOKUP(tblTargetMedicos[[#This Row],[codigo_id]],[1]DIM_REPRESENTANTE_MEDICO!$C:$F,4,0)</f>
        <v>8</v>
      </c>
      <c r="E2520">
        <f>VLOOKUP(tblTargetMedicos[[#This Row],[codigo_id]],[1]DIM_REPRESENTANTE_MEDICO!$C:$F,3,0)</f>
        <v>9</v>
      </c>
      <c r="F2520" s="27" t="s">
        <v>5796</v>
      </c>
      <c r="G2520" s="27" t="s">
        <v>5783</v>
      </c>
      <c r="H2520" s="27" t="s">
        <v>97</v>
      </c>
      <c r="I2520">
        <v>1</v>
      </c>
    </row>
    <row r="2521" spans="1:9">
      <c r="A2521" t="s">
        <v>2936</v>
      </c>
      <c r="B2521" s="27" t="s">
        <v>3230</v>
      </c>
      <c r="C2521" s="27" t="s">
        <v>5776</v>
      </c>
      <c r="D2521">
        <f>VLOOKUP(tblTargetMedicos[[#This Row],[codigo_id]],[1]DIM_REPRESENTANTE_MEDICO!$C:$F,4,0)</f>
        <v>8</v>
      </c>
      <c r="E2521">
        <f>VLOOKUP(tblTargetMedicos[[#This Row],[codigo_id]],[1]DIM_REPRESENTANTE_MEDICO!$C:$F,3,0)</f>
        <v>9</v>
      </c>
      <c r="F2521" s="27" t="s">
        <v>5796</v>
      </c>
      <c r="G2521" s="27" t="s">
        <v>5784</v>
      </c>
      <c r="H2521" s="27" t="s">
        <v>97</v>
      </c>
      <c r="I2521">
        <v>1</v>
      </c>
    </row>
    <row r="2522" spans="1:9">
      <c r="A2522" t="s">
        <v>2937</v>
      </c>
      <c r="B2522" s="27" t="s">
        <v>3230</v>
      </c>
      <c r="C2522" s="27" t="s">
        <v>5776</v>
      </c>
      <c r="D2522">
        <f>VLOOKUP(tblTargetMedicos[[#This Row],[codigo_id]],[1]DIM_REPRESENTANTE_MEDICO!$C:$F,4,0)</f>
        <v>8</v>
      </c>
      <c r="E2522">
        <f>VLOOKUP(tblTargetMedicos[[#This Row],[codigo_id]],[1]DIM_REPRESENTANTE_MEDICO!$C:$F,3,0)</f>
        <v>9</v>
      </c>
      <c r="F2522" s="27" t="s">
        <v>5796</v>
      </c>
      <c r="G2522" s="27" t="s">
        <v>5783</v>
      </c>
      <c r="H2522" s="27" t="s">
        <v>96</v>
      </c>
      <c r="I2522">
        <v>1</v>
      </c>
    </row>
    <row r="2523" spans="1:9">
      <c r="A2523" t="s">
        <v>2938</v>
      </c>
      <c r="B2523" s="27" t="s">
        <v>3230</v>
      </c>
      <c r="C2523" s="27" t="s">
        <v>5776</v>
      </c>
      <c r="D2523">
        <f>VLOOKUP(tblTargetMedicos[[#This Row],[codigo_id]],[1]DIM_REPRESENTANTE_MEDICO!$C:$F,4,0)</f>
        <v>8</v>
      </c>
      <c r="E2523">
        <f>VLOOKUP(tblTargetMedicos[[#This Row],[codigo_id]],[1]DIM_REPRESENTANTE_MEDICO!$C:$F,3,0)</f>
        <v>9</v>
      </c>
      <c r="F2523" s="27" t="s">
        <v>5796</v>
      </c>
      <c r="G2523" s="27" t="s">
        <v>5779</v>
      </c>
      <c r="H2523" s="27" t="s">
        <v>96</v>
      </c>
      <c r="I2523">
        <v>1</v>
      </c>
    </row>
    <row r="2524" spans="1:9">
      <c r="A2524" t="s">
        <v>2939</v>
      </c>
      <c r="B2524" s="27" t="s">
        <v>3230</v>
      </c>
      <c r="C2524" s="27" t="s">
        <v>5776</v>
      </c>
      <c r="D2524">
        <f>VLOOKUP(tblTargetMedicos[[#This Row],[codigo_id]],[1]DIM_REPRESENTANTE_MEDICO!$C:$F,4,0)</f>
        <v>8</v>
      </c>
      <c r="E2524">
        <f>VLOOKUP(tblTargetMedicos[[#This Row],[codigo_id]],[1]DIM_REPRESENTANTE_MEDICO!$C:$F,3,0)</f>
        <v>9</v>
      </c>
      <c r="F2524" s="27" t="s">
        <v>5796</v>
      </c>
      <c r="G2524" s="27" t="s">
        <v>5788</v>
      </c>
      <c r="H2524" s="27" t="s">
        <v>96</v>
      </c>
      <c r="I2524">
        <v>1</v>
      </c>
    </row>
    <row r="2525" spans="1:9">
      <c r="A2525" t="s">
        <v>2940</v>
      </c>
      <c r="B2525" s="27" t="s">
        <v>3230</v>
      </c>
      <c r="C2525" s="27" t="s">
        <v>5776</v>
      </c>
      <c r="D2525">
        <f>VLOOKUP(tblTargetMedicos[[#This Row],[codigo_id]],[1]DIM_REPRESENTANTE_MEDICO!$C:$F,4,0)</f>
        <v>8</v>
      </c>
      <c r="E2525">
        <f>VLOOKUP(tblTargetMedicos[[#This Row],[codigo_id]],[1]DIM_REPRESENTANTE_MEDICO!$C:$F,3,0)</f>
        <v>9</v>
      </c>
      <c r="F2525" s="27" t="s">
        <v>5796</v>
      </c>
      <c r="G2525" s="27" t="s">
        <v>5791</v>
      </c>
      <c r="H2525" s="27" t="s">
        <v>96</v>
      </c>
      <c r="I2525">
        <v>1</v>
      </c>
    </row>
    <row r="2526" spans="1:9">
      <c r="A2526" t="s">
        <v>2941</v>
      </c>
      <c r="B2526" s="27" t="s">
        <v>3230</v>
      </c>
      <c r="C2526" s="27" t="s">
        <v>5776</v>
      </c>
      <c r="D2526">
        <f>VLOOKUP(tblTargetMedicos[[#This Row],[codigo_id]],[1]DIM_REPRESENTANTE_MEDICO!$C:$F,4,0)</f>
        <v>8</v>
      </c>
      <c r="E2526">
        <f>VLOOKUP(tblTargetMedicos[[#This Row],[codigo_id]],[1]DIM_REPRESENTANTE_MEDICO!$C:$F,3,0)</f>
        <v>9</v>
      </c>
      <c r="F2526" s="27" t="s">
        <v>5796</v>
      </c>
      <c r="G2526" s="27" t="s">
        <v>5786</v>
      </c>
      <c r="H2526" s="27" t="s">
        <v>96</v>
      </c>
      <c r="I2526">
        <v>1</v>
      </c>
    </row>
    <row r="2527" spans="1:9">
      <c r="A2527" t="s">
        <v>2942</v>
      </c>
      <c r="B2527" s="27" t="s">
        <v>3230</v>
      </c>
      <c r="C2527" s="27" t="s">
        <v>5776</v>
      </c>
      <c r="D2527">
        <f>VLOOKUP(tblTargetMedicos[[#This Row],[codigo_id]],[1]DIM_REPRESENTANTE_MEDICO!$C:$F,4,0)</f>
        <v>8</v>
      </c>
      <c r="E2527">
        <f>VLOOKUP(tblTargetMedicos[[#This Row],[codigo_id]],[1]DIM_REPRESENTANTE_MEDICO!$C:$F,3,0)</f>
        <v>9</v>
      </c>
      <c r="F2527" s="27" t="s">
        <v>5796</v>
      </c>
      <c r="G2527" s="27" t="s">
        <v>5784</v>
      </c>
      <c r="H2527" s="27" t="s">
        <v>96</v>
      </c>
      <c r="I2527">
        <v>1</v>
      </c>
    </row>
    <row r="2528" spans="1:9">
      <c r="A2528" t="s">
        <v>2943</v>
      </c>
      <c r="B2528" s="27" t="s">
        <v>3230</v>
      </c>
      <c r="C2528" s="27" t="s">
        <v>5776</v>
      </c>
      <c r="D2528">
        <f>VLOOKUP(tblTargetMedicos[[#This Row],[codigo_id]],[1]DIM_REPRESENTANTE_MEDICO!$C:$F,4,0)</f>
        <v>8</v>
      </c>
      <c r="E2528">
        <f>VLOOKUP(tblTargetMedicos[[#This Row],[codigo_id]],[1]DIM_REPRESENTANTE_MEDICO!$C:$F,3,0)</f>
        <v>9</v>
      </c>
      <c r="F2528" s="27" t="s">
        <v>5796</v>
      </c>
      <c r="G2528" s="27" t="s">
        <v>5783</v>
      </c>
      <c r="H2528" s="27" t="s">
        <v>96</v>
      </c>
      <c r="I2528">
        <v>1</v>
      </c>
    </row>
    <row r="2529" spans="1:9">
      <c r="A2529" t="s">
        <v>2944</v>
      </c>
      <c r="B2529" s="27" t="s">
        <v>3230</v>
      </c>
      <c r="C2529" s="27" t="s">
        <v>5776</v>
      </c>
      <c r="D2529">
        <f>VLOOKUP(tblTargetMedicos[[#This Row],[codigo_id]],[1]DIM_REPRESENTANTE_MEDICO!$C:$F,4,0)</f>
        <v>8</v>
      </c>
      <c r="E2529">
        <f>VLOOKUP(tblTargetMedicos[[#This Row],[codigo_id]],[1]DIM_REPRESENTANTE_MEDICO!$C:$F,3,0)</f>
        <v>9</v>
      </c>
      <c r="F2529" s="27" t="s">
        <v>5796</v>
      </c>
      <c r="G2529" s="27" t="s">
        <v>5784</v>
      </c>
      <c r="H2529" s="27" t="s">
        <v>96</v>
      </c>
      <c r="I2529">
        <v>1</v>
      </c>
    </row>
    <row r="2530" spans="1:9">
      <c r="A2530" t="s">
        <v>2945</v>
      </c>
      <c r="B2530" s="27" t="s">
        <v>3230</v>
      </c>
      <c r="C2530" s="27" t="s">
        <v>5776</v>
      </c>
      <c r="D2530">
        <f>VLOOKUP(tblTargetMedicos[[#This Row],[codigo_id]],[1]DIM_REPRESENTANTE_MEDICO!$C:$F,4,0)</f>
        <v>8</v>
      </c>
      <c r="E2530">
        <f>VLOOKUP(tblTargetMedicos[[#This Row],[codigo_id]],[1]DIM_REPRESENTANTE_MEDICO!$C:$F,3,0)</f>
        <v>9</v>
      </c>
      <c r="F2530" s="27" t="s">
        <v>5796</v>
      </c>
      <c r="G2530" s="27" t="s">
        <v>5783</v>
      </c>
      <c r="H2530" s="27" t="s">
        <v>96</v>
      </c>
      <c r="I2530">
        <v>1</v>
      </c>
    </row>
    <row r="2531" spans="1:9">
      <c r="A2531" t="s">
        <v>2946</v>
      </c>
      <c r="B2531" s="27" t="s">
        <v>3230</v>
      </c>
      <c r="C2531" s="27" t="s">
        <v>5776</v>
      </c>
      <c r="D2531">
        <f>VLOOKUP(tblTargetMedicos[[#This Row],[codigo_id]],[1]DIM_REPRESENTANTE_MEDICO!$C:$F,4,0)</f>
        <v>8</v>
      </c>
      <c r="E2531">
        <f>VLOOKUP(tblTargetMedicos[[#This Row],[codigo_id]],[1]DIM_REPRESENTANTE_MEDICO!$C:$F,3,0)</f>
        <v>9</v>
      </c>
      <c r="F2531" s="27" t="s">
        <v>5796</v>
      </c>
      <c r="G2531" s="27" t="s">
        <v>5782</v>
      </c>
      <c r="H2531" s="27" t="s">
        <v>97</v>
      </c>
      <c r="I2531">
        <v>1</v>
      </c>
    </row>
    <row r="2532" spans="1:9">
      <c r="A2532" t="s">
        <v>2947</v>
      </c>
      <c r="B2532" s="27" t="s">
        <v>3230</v>
      </c>
      <c r="C2532" s="27" t="s">
        <v>5776</v>
      </c>
      <c r="D2532">
        <f>VLOOKUP(tblTargetMedicos[[#This Row],[codigo_id]],[1]DIM_REPRESENTANTE_MEDICO!$C:$F,4,0)</f>
        <v>8</v>
      </c>
      <c r="E2532">
        <f>VLOOKUP(tblTargetMedicos[[#This Row],[codigo_id]],[1]DIM_REPRESENTANTE_MEDICO!$C:$F,3,0)</f>
        <v>9</v>
      </c>
      <c r="F2532" s="27" t="s">
        <v>5796</v>
      </c>
      <c r="G2532" s="27" t="s">
        <v>5783</v>
      </c>
      <c r="H2532" s="27" t="s">
        <v>96</v>
      </c>
      <c r="I2532">
        <v>1</v>
      </c>
    </row>
    <row r="2533" spans="1:9">
      <c r="A2533" t="s">
        <v>2948</v>
      </c>
      <c r="B2533" s="27" t="s">
        <v>3230</v>
      </c>
      <c r="C2533" s="27" t="s">
        <v>5776</v>
      </c>
      <c r="D2533">
        <f>VLOOKUP(tblTargetMedicos[[#This Row],[codigo_id]],[1]DIM_REPRESENTANTE_MEDICO!$C:$F,4,0)</f>
        <v>8</v>
      </c>
      <c r="E2533">
        <f>VLOOKUP(tblTargetMedicos[[#This Row],[codigo_id]],[1]DIM_REPRESENTANTE_MEDICO!$C:$F,3,0)</f>
        <v>9</v>
      </c>
      <c r="F2533" s="27" t="s">
        <v>5796</v>
      </c>
      <c r="G2533" s="27" t="s">
        <v>5783</v>
      </c>
      <c r="H2533" s="27" t="s">
        <v>96</v>
      </c>
      <c r="I2533">
        <v>1</v>
      </c>
    </row>
    <row r="2534" spans="1:9">
      <c r="A2534" t="s">
        <v>2949</v>
      </c>
      <c r="B2534" s="27" t="s">
        <v>3230</v>
      </c>
      <c r="C2534" s="27" t="s">
        <v>5776</v>
      </c>
      <c r="D2534">
        <f>VLOOKUP(tblTargetMedicos[[#This Row],[codigo_id]],[1]DIM_REPRESENTANTE_MEDICO!$C:$F,4,0)</f>
        <v>8</v>
      </c>
      <c r="E2534">
        <f>VLOOKUP(tblTargetMedicos[[#This Row],[codigo_id]],[1]DIM_REPRESENTANTE_MEDICO!$C:$F,3,0)</f>
        <v>9</v>
      </c>
      <c r="F2534" s="27" t="s">
        <v>5796</v>
      </c>
      <c r="G2534" s="27" t="s">
        <v>5784</v>
      </c>
      <c r="H2534" s="27" t="s">
        <v>97</v>
      </c>
      <c r="I2534">
        <v>1</v>
      </c>
    </row>
    <row r="2535" spans="1:9">
      <c r="A2535" t="s">
        <v>2950</v>
      </c>
      <c r="B2535" s="27" t="s">
        <v>3230</v>
      </c>
      <c r="C2535" s="27" t="s">
        <v>5776</v>
      </c>
      <c r="D2535">
        <f>VLOOKUP(tblTargetMedicos[[#This Row],[codigo_id]],[1]DIM_REPRESENTANTE_MEDICO!$C:$F,4,0)</f>
        <v>8</v>
      </c>
      <c r="E2535">
        <f>VLOOKUP(tblTargetMedicos[[#This Row],[codigo_id]],[1]DIM_REPRESENTANTE_MEDICO!$C:$F,3,0)</f>
        <v>9</v>
      </c>
      <c r="F2535" s="27" t="s">
        <v>5796</v>
      </c>
      <c r="G2535" s="27" t="s">
        <v>5783</v>
      </c>
      <c r="H2535" s="27" t="s">
        <v>97</v>
      </c>
      <c r="I2535">
        <v>1</v>
      </c>
    </row>
    <row r="2536" spans="1:9">
      <c r="A2536" t="s">
        <v>2951</v>
      </c>
      <c r="B2536" s="27" t="s">
        <v>3230</v>
      </c>
      <c r="C2536" s="27" t="s">
        <v>5776</v>
      </c>
      <c r="D2536">
        <f>VLOOKUP(tblTargetMedicos[[#This Row],[codigo_id]],[1]DIM_REPRESENTANTE_MEDICO!$C:$F,4,0)</f>
        <v>8</v>
      </c>
      <c r="E2536">
        <f>VLOOKUP(tblTargetMedicos[[#This Row],[codigo_id]],[1]DIM_REPRESENTANTE_MEDICO!$C:$F,3,0)</f>
        <v>9</v>
      </c>
      <c r="F2536" s="27" t="s">
        <v>5796</v>
      </c>
      <c r="G2536" s="27" t="s">
        <v>5783</v>
      </c>
      <c r="H2536" s="27" t="s">
        <v>96</v>
      </c>
      <c r="I2536">
        <v>1</v>
      </c>
    </row>
    <row r="2537" spans="1:9">
      <c r="A2537" t="s">
        <v>2952</v>
      </c>
      <c r="B2537" s="27" t="s">
        <v>3230</v>
      </c>
      <c r="C2537" s="27" t="s">
        <v>5776</v>
      </c>
      <c r="D2537">
        <f>VLOOKUP(tblTargetMedicos[[#This Row],[codigo_id]],[1]DIM_REPRESENTANTE_MEDICO!$C:$F,4,0)</f>
        <v>8</v>
      </c>
      <c r="E2537">
        <f>VLOOKUP(tblTargetMedicos[[#This Row],[codigo_id]],[1]DIM_REPRESENTANTE_MEDICO!$C:$F,3,0)</f>
        <v>9</v>
      </c>
      <c r="F2537" s="27" t="s">
        <v>5796</v>
      </c>
      <c r="G2537" s="27" t="s">
        <v>5784</v>
      </c>
      <c r="H2537" s="27" t="s">
        <v>96</v>
      </c>
      <c r="I2537">
        <v>1</v>
      </c>
    </row>
    <row r="2538" spans="1:9">
      <c r="A2538" t="s">
        <v>2953</v>
      </c>
      <c r="B2538" s="27" t="s">
        <v>3230</v>
      </c>
      <c r="C2538" s="27" t="s">
        <v>5776</v>
      </c>
      <c r="D2538">
        <f>VLOOKUP(tblTargetMedicos[[#This Row],[codigo_id]],[1]DIM_REPRESENTANTE_MEDICO!$C:$F,4,0)</f>
        <v>8</v>
      </c>
      <c r="E2538">
        <f>VLOOKUP(tblTargetMedicos[[#This Row],[codigo_id]],[1]DIM_REPRESENTANTE_MEDICO!$C:$F,3,0)</f>
        <v>9</v>
      </c>
      <c r="F2538" s="27" t="s">
        <v>5796</v>
      </c>
      <c r="G2538" s="27" t="s">
        <v>5782</v>
      </c>
      <c r="H2538" s="27" t="s">
        <v>96</v>
      </c>
      <c r="I2538">
        <v>1</v>
      </c>
    </row>
    <row r="2539" spans="1:9">
      <c r="A2539" t="s">
        <v>2954</v>
      </c>
      <c r="B2539" s="27" t="s">
        <v>3230</v>
      </c>
      <c r="C2539" s="27" t="s">
        <v>5776</v>
      </c>
      <c r="D2539">
        <f>VLOOKUP(tblTargetMedicos[[#This Row],[codigo_id]],[1]DIM_REPRESENTANTE_MEDICO!$C:$F,4,0)</f>
        <v>8</v>
      </c>
      <c r="E2539">
        <f>VLOOKUP(tblTargetMedicos[[#This Row],[codigo_id]],[1]DIM_REPRESENTANTE_MEDICO!$C:$F,3,0)</f>
        <v>9</v>
      </c>
      <c r="F2539" s="27" t="s">
        <v>5796</v>
      </c>
      <c r="G2539" s="27" t="s">
        <v>5786</v>
      </c>
      <c r="H2539" s="27" t="s">
        <v>96</v>
      </c>
      <c r="I2539">
        <v>1</v>
      </c>
    </row>
    <row r="2540" spans="1:9">
      <c r="A2540" t="s">
        <v>2955</v>
      </c>
      <c r="B2540" s="27" t="s">
        <v>3230</v>
      </c>
      <c r="C2540" s="27" t="s">
        <v>5776</v>
      </c>
      <c r="D2540">
        <f>VLOOKUP(tblTargetMedicos[[#This Row],[codigo_id]],[1]DIM_REPRESENTANTE_MEDICO!$C:$F,4,0)</f>
        <v>8</v>
      </c>
      <c r="E2540">
        <f>VLOOKUP(tblTargetMedicos[[#This Row],[codigo_id]],[1]DIM_REPRESENTANTE_MEDICO!$C:$F,3,0)</f>
        <v>9</v>
      </c>
      <c r="F2540" s="27" t="s">
        <v>5796</v>
      </c>
      <c r="G2540" s="27" t="s">
        <v>5786</v>
      </c>
      <c r="H2540" s="27" t="s">
        <v>96</v>
      </c>
      <c r="I2540">
        <v>1</v>
      </c>
    </row>
    <row r="2541" spans="1:9">
      <c r="A2541" t="s">
        <v>2956</v>
      </c>
      <c r="B2541" s="27" t="s">
        <v>3230</v>
      </c>
      <c r="C2541" s="27" t="s">
        <v>5776</v>
      </c>
      <c r="D2541">
        <f>VLOOKUP(tblTargetMedicos[[#This Row],[codigo_id]],[1]DIM_REPRESENTANTE_MEDICO!$C:$F,4,0)</f>
        <v>8</v>
      </c>
      <c r="E2541">
        <f>VLOOKUP(tblTargetMedicos[[#This Row],[codigo_id]],[1]DIM_REPRESENTANTE_MEDICO!$C:$F,3,0)</f>
        <v>9</v>
      </c>
      <c r="F2541" s="27" t="s">
        <v>5796</v>
      </c>
      <c r="G2541" s="27" t="s">
        <v>5786</v>
      </c>
      <c r="H2541" s="27" t="s">
        <v>97</v>
      </c>
      <c r="I2541">
        <v>1</v>
      </c>
    </row>
    <row r="2542" spans="1:9">
      <c r="A2542" t="s">
        <v>2957</v>
      </c>
      <c r="B2542" s="27" t="s">
        <v>3230</v>
      </c>
      <c r="C2542" s="27" t="s">
        <v>5776</v>
      </c>
      <c r="D2542">
        <f>VLOOKUP(tblTargetMedicos[[#This Row],[codigo_id]],[1]DIM_REPRESENTANTE_MEDICO!$C:$F,4,0)</f>
        <v>8</v>
      </c>
      <c r="E2542">
        <f>VLOOKUP(tblTargetMedicos[[#This Row],[codigo_id]],[1]DIM_REPRESENTANTE_MEDICO!$C:$F,3,0)</f>
        <v>9</v>
      </c>
      <c r="F2542" s="27" t="s">
        <v>5796</v>
      </c>
      <c r="G2542" s="27" t="s">
        <v>5790</v>
      </c>
      <c r="H2542" s="27" t="s">
        <v>96</v>
      </c>
      <c r="I2542">
        <v>1</v>
      </c>
    </row>
    <row r="2543" spans="1:9">
      <c r="A2543" t="s">
        <v>2958</v>
      </c>
      <c r="B2543" s="27" t="s">
        <v>3230</v>
      </c>
      <c r="C2543" s="27" t="s">
        <v>5776</v>
      </c>
      <c r="D2543">
        <f>VLOOKUP(tblTargetMedicos[[#This Row],[codigo_id]],[1]DIM_REPRESENTANTE_MEDICO!$C:$F,4,0)</f>
        <v>8</v>
      </c>
      <c r="E2543">
        <f>VLOOKUP(tblTargetMedicos[[#This Row],[codigo_id]],[1]DIM_REPRESENTANTE_MEDICO!$C:$F,3,0)</f>
        <v>9</v>
      </c>
      <c r="F2543" s="27" t="s">
        <v>5796</v>
      </c>
      <c r="G2543" s="27" t="s">
        <v>5783</v>
      </c>
      <c r="H2543" s="27" t="s">
        <v>96</v>
      </c>
      <c r="I2543">
        <v>1</v>
      </c>
    </row>
    <row r="2544" spans="1:9">
      <c r="A2544" t="s">
        <v>2959</v>
      </c>
      <c r="B2544" s="27" t="s">
        <v>3230</v>
      </c>
      <c r="C2544" s="27" t="s">
        <v>5776</v>
      </c>
      <c r="D2544">
        <f>VLOOKUP(tblTargetMedicos[[#This Row],[codigo_id]],[1]DIM_REPRESENTANTE_MEDICO!$C:$F,4,0)</f>
        <v>8</v>
      </c>
      <c r="E2544">
        <f>VLOOKUP(tblTargetMedicos[[#This Row],[codigo_id]],[1]DIM_REPRESENTANTE_MEDICO!$C:$F,3,0)</f>
        <v>9</v>
      </c>
      <c r="F2544" s="27" t="s">
        <v>5796</v>
      </c>
      <c r="G2544" s="27" t="s">
        <v>5784</v>
      </c>
      <c r="H2544" s="27" t="s">
        <v>96</v>
      </c>
      <c r="I2544">
        <v>1</v>
      </c>
    </row>
    <row r="2545" spans="1:9">
      <c r="A2545" t="s">
        <v>2960</v>
      </c>
      <c r="B2545" s="27" t="s">
        <v>3230</v>
      </c>
      <c r="C2545" s="27" t="s">
        <v>5776</v>
      </c>
      <c r="D2545">
        <f>VLOOKUP(tblTargetMedicos[[#This Row],[codigo_id]],[1]DIM_REPRESENTANTE_MEDICO!$C:$F,4,0)</f>
        <v>8</v>
      </c>
      <c r="E2545">
        <f>VLOOKUP(tblTargetMedicos[[#This Row],[codigo_id]],[1]DIM_REPRESENTANTE_MEDICO!$C:$F,3,0)</f>
        <v>9</v>
      </c>
      <c r="F2545" s="27" t="s">
        <v>5796</v>
      </c>
      <c r="G2545" s="27" t="s">
        <v>5784</v>
      </c>
      <c r="H2545" s="27" t="s">
        <v>96</v>
      </c>
      <c r="I2545">
        <v>1</v>
      </c>
    </row>
    <row r="2546" spans="1:9">
      <c r="A2546" t="s">
        <v>2961</v>
      </c>
      <c r="B2546" s="27" t="s">
        <v>3230</v>
      </c>
      <c r="C2546" s="27" t="s">
        <v>5776</v>
      </c>
      <c r="D2546">
        <f>VLOOKUP(tblTargetMedicos[[#This Row],[codigo_id]],[1]DIM_REPRESENTANTE_MEDICO!$C:$F,4,0)</f>
        <v>8</v>
      </c>
      <c r="E2546">
        <f>VLOOKUP(tblTargetMedicos[[#This Row],[codigo_id]],[1]DIM_REPRESENTANTE_MEDICO!$C:$F,3,0)</f>
        <v>9</v>
      </c>
      <c r="F2546" s="27" t="s">
        <v>5796</v>
      </c>
      <c r="G2546" s="27" t="s">
        <v>5783</v>
      </c>
      <c r="H2546" s="27" t="s">
        <v>96</v>
      </c>
      <c r="I2546">
        <v>1</v>
      </c>
    </row>
    <row r="2547" spans="1:9">
      <c r="A2547" t="s">
        <v>2962</v>
      </c>
      <c r="B2547" s="27" t="s">
        <v>3230</v>
      </c>
      <c r="C2547" s="27" t="s">
        <v>5776</v>
      </c>
      <c r="D2547">
        <f>VLOOKUP(tblTargetMedicos[[#This Row],[codigo_id]],[1]DIM_REPRESENTANTE_MEDICO!$C:$F,4,0)</f>
        <v>8</v>
      </c>
      <c r="E2547">
        <f>VLOOKUP(tblTargetMedicos[[#This Row],[codigo_id]],[1]DIM_REPRESENTANTE_MEDICO!$C:$F,3,0)</f>
        <v>9</v>
      </c>
      <c r="F2547" s="27" t="s">
        <v>5796</v>
      </c>
      <c r="G2547" s="27" t="s">
        <v>5787</v>
      </c>
      <c r="H2547" s="27" t="s">
        <v>96</v>
      </c>
      <c r="I2547">
        <v>1</v>
      </c>
    </row>
    <row r="2548" spans="1:9">
      <c r="A2548" t="s">
        <v>2963</v>
      </c>
      <c r="B2548" s="27" t="s">
        <v>3230</v>
      </c>
      <c r="C2548" s="27" t="s">
        <v>5776</v>
      </c>
      <c r="D2548">
        <f>VLOOKUP(tblTargetMedicos[[#This Row],[codigo_id]],[1]DIM_REPRESENTANTE_MEDICO!$C:$F,4,0)</f>
        <v>8</v>
      </c>
      <c r="E2548">
        <f>VLOOKUP(tblTargetMedicos[[#This Row],[codigo_id]],[1]DIM_REPRESENTANTE_MEDICO!$C:$F,3,0)</f>
        <v>9</v>
      </c>
      <c r="F2548" s="27" t="s">
        <v>5796</v>
      </c>
      <c r="G2548" s="27" t="s">
        <v>5782</v>
      </c>
      <c r="H2548" s="27" t="s">
        <v>96</v>
      </c>
      <c r="I2548">
        <v>1</v>
      </c>
    </row>
    <row r="2549" spans="1:9">
      <c r="A2549" t="s">
        <v>2964</v>
      </c>
      <c r="B2549" s="27" t="s">
        <v>3230</v>
      </c>
      <c r="C2549" s="27" t="s">
        <v>5776</v>
      </c>
      <c r="D2549">
        <f>VLOOKUP(tblTargetMedicos[[#This Row],[codigo_id]],[1]DIM_REPRESENTANTE_MEDICO!$C:$F,4,0)</f>
        <v>8</v>
      </c>
      <c r="E2549">
        <f>VLOOKUP(tblTargetMedicos[[#This Row],[codigo_id]],[1]DIM_REPRESENTANTE_MEDICO!$C:$F,3,0)</f>
        <v>9</v>
      </c>
      <c r="F2549" s="27" t="s">
        <v>5796</v>
      </c>
      <c r="G2549" s="27" t="s">
        <v>5784</v>
      </c>
      <c r="H2549" s="27" t="s">
        <v>96</v>
      </c>
      <c r="I2549">
        <v>1</v>
      </c>
    </row>
    <row r="2550" spans="1:9">
      <c r="A2550" t="s">
        <v>2965</v>
      </c>
      <c r="B2550" s="27" t="s">
        <v>3230</v>
      </c>
      <c r="C2550" s="27" t="s">
        <v>5776</v>
      </c>
      <c r="D2550">
        <f>VLOOKUP(tblTargetMedicos[[#This Row],[codigo_id]],[1]DIM_REPRESENTANTE_MEDICO!$C:$F,4,0)</f>
        <v>8</v>
      </c>
      <c r="E2550">
        <f>VLOOKUP(tblTargetMedicos[[#This Row],[codigo_id]],[1]DIM_REPRESENTANTE_MEDICO!$C:$F,3,0)</f>
        <v>9</v>
      </c>
      <c r="F2550" s="27" t="s">
        <v>5796</v>
      </c>
      <c r="G2550" s="27" t="s">
        <v>5787</v>
      </c>
      <c r="H2550" s="27" t="s">
        <v>97</v>
      </c>
      <c r="I2550">
        <v>1</v>
      </c>
    </row>
    <row r="2551" spans="1:9">
      <c r="A2551" t="s">
        <v>2966</v>
      </c>
      <c r="B2551" s="27" t="s">
        <v>3230</v>
      </c>
      <c r="C2551" s="27" t="s">
        <v>5776</v>
      </c>
      <c r="D2551">
        <f>VLOOKUP(tblTargetMedicos[[#This Row],[codigo_id]],[1]DIM_REPRESENTANTE_MEDICO!$C:$F,4,0)</f>
        <v>8</v>
      </c>
      <c r="E2551">
        <f>VLOOKUP(tblTargetMedicos[[#This Row],[codigo_id]],[1]DIM_REPRESENTANTE_MEDICO!$C:$F,3,0)</f>
        <v>9</v>
      </c>
      <c r="F2551" s="27" t="s">
        <v>5796</v>
      </c>
      <c r="G2551" s="27" t="s">
        <v>5783</v>
      </c>
      <c r="H2551" s="27" t="s">
        <v>97</v>
      </c>
      <c r="I2551">
        <v>1</v>
      </c>
    </row>
    <row r="2552" spans="1:9">
      <c r="A2552" t="s">
        <v>2967</v>
      </c>
      <c r="B2552" s="27" t="s">
        <v>3230</v>
      </c>
      <c r="C2552" s="27" t="s">
        <v>5776</v>
      </c>
      <c r="D2552">
        <f>VLOOKUP(tblTargetMedicos[[#This Row],[codigo_id]],[1]DIM_REPRESENTANTE_MEDICO!$C:$F,4,0)</f>
        <v>8</v>
      </c>
      <c r="E2552">
        <f>VLOOKUP(tblTargetMedicos[[#This Row],[codigo_id]],[1]DIM_REPRESENTANTE_MEDICO!$C:$F,3,0)</f>
        <v>9</v>
      </c>
      <c r="F2552" s="27" t="s">
        <v>5796</v>
      </c>
      <c r="G2552" s="27" t="s">
        <v>5782</v>
      </c>
      <c r="H2552" s="27" t="s">
        <v>97</v>
      </c>
      <c r="I2552">
        <v>1</v>
      </c>
    </row>
    <row r="2553" spans="1:9">
      <c r="A2553" t="s">
        <v>2968</v>
      </c>
      <c r="B2553" s="27" t="s">
        <v>3230</v>
      </c>
      <c r="C2553" s="27" t="s">
        <v>5776</v>
      </c>
      <c r="D2553">
        <f>VLOOKUP(tblTargetMedicos[[#This Row],[codigo_id]],[1]DIM_REPRESENTANTE_MEDICO!$C:$F,4,0)</f>
        <v>8</v>
      </c>
      <c r="E2553">
        <f>VLOOKUP(tblTargetMedicos[[#This Row],[codigo_id]],[1]DIM_REPRESENTANTE_MEDICO!$C:$F,3,0)</f>
        <v>9</v>
      </c>
      <c r="F2553" s="27" t="s">
        <v>5796</v>
      </c>
      <c r="G2553" s="27" t="s">
        <v>5784</v>
      </c>
      <c r="H2553" s="27" t="s">
        <v>97</v>
      </c>
      <c r="I2553">
        <v>1</v>
      </c>
    </row>
    <row r="2554" spans="1:9">
      <c r="A2554" t="s">
        <v>2969</v>
      </c>
      <c r="B2554" s="27" t="s">
        <v>3230</v>
      </c>
      <c r="C2554" s="27" t="s">
        <v>5776</v>
      </c>
      <c r="D2554">
        <f>VLOOKUP(tblTargetMedicos[[#This Row],[codigo_id]],[1]DIM_REPRESENTANTE_MEDICO!$C:$F,4,0)</f>
        <v>8</v>
      </c>
      <c r="E2554">
        <f>VLOOKUP(tblTargetMedicos[[#This Row],[codigo_id]],[1]DIM_REPRESENTANTE_MEDICO!$C:$F,3,0)</f>
        <v>9</v>
      </c>
      <c r="F2554" s="27" t="s">
        <v>5796</v>
      </c>
      <c r="G2554" s="27" t="s">
        <v>5784</v>
      </c>
      <c r="H2554" s="27" t="s">
        <v>96</v>
      </c>
      <c r="I2554">
        <v>1</v>
      </c>
    </row>
    <row r="2555" spans="1:9">
      <c r="A2555" t="s">
        <v>2970</v>
      </c>
      <c r="B2555" s="27" t="s">
        <v>3230</v>
      </c>
      <c r="C2555" s="27" t="s">
        <v>5776</v>
      </c>
      <c r="D2555">
        <f>VLOOKUP(tblTargetMedicos[[#This Row],[codigo_id]],[1]DIM_REPRESENTANTE_MEDICO!$C:$F,4,0)</f>
        <v>8</v>
      </c>
      <c r="E2555">
        <f>VLOOKUP(tblTargetMedicos[[#This Row],[codigo_id]],[1]DIM_REPRESENTANTE_MEDICO!$C:$F,3,0)</f>
        <v>9</v>
      </c>
      <c r="F2555" s="27" t="s">
        <v>5796</v>
      </c>
      <c r="G2555" s="27" t="s">
        <v>5781</v>
      </c>
      <c r="H2555" s="27" t="s">
        <v>97</v>
      </c>
      <c r="I2555">
        <v>1</v>
      </c>
    </row>
    <row r="2556" spans="1:9">
      <c r="A2556" t="s">
        <v>2971</v>
      </c>
      <c r="B2556" s="27" t="s">
        <v>3230</v>
      </c>
      <c r="C2556" s="27" t="s">
        <v>5776</v>
      </c>
      <c r="D2556">
        <f>VLOOKUP(tblTargetMedicos[[#This Row],[codigo_id]],[1]DIM_REPRESENTANTE_MEDICO!$C:$F,4,0)</f>
        <v>8</v>
      </c>
      <c r="E2556">
        <f>VLOOKUP(tblTargetMedicos[[#This Row],[codigo_id]],[1]DIM_REPRESENTANTE_MEDICO!$C:$F,3,0)</f>
        <v>9</v>
      </c>
      <c r="F2556" s="27" t="s">
        <v>5796</v>
      </c>
      <c r="G2556" s="27" t="s">
        <v>5783</v>
      </c>
      <c r="H2556" s="27" t="s">
        <v>96</v>
      </c>
      <c r="I2556">
        <v>1</v>
      </c>
    </row>
    <row r="2557" spans="1:9">
      <c r="A2557" t="s">
        <v>2972</v>
      </c>
      <c r="B2557" s="27" t="s">
        <v>3230</v>
      </c>
      <c r="C2557" s="27" t="s">
        <v>5776</v>
      </c>
      <c r="D2557">
        <f>VLOOKUP(tblTargetMedicos[[#This Row],[codigo_id]],[1]DIM_REPRESENTANTE_MEDICO!$C:$F,4,0)</f>
        <v>8</v>
      </c>
      <c r="E2557">
        <f>VLOOKUP(tblTargetMedicos[[#This Row],[codigo_id]],[1]DIM_REPRESENTANTE_MEDICO!$C:$F,3,0)</f>
        <v>9</v>
      </c>
      <c r="F2557" s="27" t="s">
        <v>5796</v>
      </c>
      <c r="G2557" s="27" t="s">
        <v>5786</v>
      </c>
      <c r="H2557" s="27" t="s">
        <v>96</v>
      </c>
      <c r="I2557">
        <v>1</v>
      </c>
    </row>
    <row r="2558" spans="1:9">
      <c r="A2558" t="s">
        <v>2973</v>
      </c>
      <c r="B2558" s="27" t="s">
        <v>3230</v>
      </c>
      <c r="C2558" s="27" t="s">
        <v>5776</v>
      </c>
      <c r="D2558">
        <f>VLOOKUP(tblTargetMedicos[[#This Row],[codigo_id]],[1]DIM_REPRESENTANTE_MEDICO!$C:$F,4,0)</f>
        <v>8</v>
      </c>
      <c r="E2558">
        <f>VLOOKUP(tblTargetMedicos[[#This Row],[codigo_id]],[1]DIM_REPRESENTANTE_MEDICO!$C:$F,3,0)</f>
        <v>9</v>
      </c>
      <c r="F2558" s="27" t="s">
        <v>5796</v>
      </c>
      <c r="G2558" s="27" t="s">
        <v>5786</v>
      </c>
      <c r="H2558" s="27" t="s">
        <v>97</v>
      </c>
      <c r="I2558">
        <v>1</v>
      </c>
    </row>
    <row r="2559" spans="1:9">
      <c r="A2559" t="s">
        <v>2974</v>
      </c>
      <c r="B2559" s="27" t="s">
        <v>3230</v>
      </c>
      <c r="C2559" s="27" t="s">
        <v>5776</v>
      </c>
      <c r="D2559">
        <f>VLOOKUP(tblTargetMedicos[[#This Row],[codigo_id]],[1]DIM_REPRESENTANTE_MEDICO!$C:$F,4,0)</f>
        <v>8</v>
      </c>
      <c r="E2559">
        <f>VLOOKUP(tblTargetMedicos[[#This Row],[codigo_id]],[1]DIM_REPRESENTANTE_MEDICO!$C:$F,3,0)</f>
        <v>9</v>
      </c>
      <c r="F2559" s="27" t="s">
        <v>5796</v>
      </c>
      <c r="G2559" s="27" t="s">
        <v>5781</v>
      </c>
      <c r="H2559" s="27" t="s">
        <v>96</v>
      </c>
      <c r="I2559">
        <v>1</v>
      </c>
    </row>
    <row r="2560" spans="1:9">
      <c r="A2560" t="s">
        <v>2975</v>
      </c>
      <c r="B2560" s="27" t="s">
        <v>3230</v>
      </c>
      <c r="C2560" s="27" t="s">
        <v>5776</v>
      </c>
      <c r="D2560">
        <f>VLOOKUP(tblTargetMedicos[[#This Row],[codigo_id]],[1]DIM_REPRESENTANTE_MEDICO!$C:$F,4,0)</f>
        <v>8</v>
      </c>
      <c r="E2560">
        <f>VLOOKUP(tblTargetMedicos[[#This Row],[codigo_id]],[1]DIM_REPRESENTANTE_MEDICO!$C:$F,3,0)</f>
        <v>9</v>
      </c>
      <c r="F2560" s="27" t="s">
        <v>5796</v>
      </c>
      <c r="G2560" s="27" t="s">
        <v>5781</v>
      </c>
      <c r="H2560" s="27" t="s">
        <v>97</v>
      </c>
      <c r="I2560">
        <v>1</v>
      </c>
    </row>
    <row r="2561" spans="1:9">
      <c r="A2561" t="s">
        <v>2976</v>
      </c>
      <c r="B2561" s="27" t="s">
        <v>3230</v>
      </c>
      <c r="C2561" s="27" t="s">
        <v>5776</v>
      </c>
      <c r="D2561">
        <f>VLOOKUP(tblTargetMedicos[[#This Row],[codigo_id]],[1]DIM_REPRESENTANTE_MEDICO!$C:$F,4,0)</f>
        <v>8</v>
      </c>
      <c r="E2561">
        <f>VLOOKUP(tblTargetMedicos[[#This Row],[codigo_id]],[1]DIM_REPRESENTANTE_MEDICO!$C:$F,3,0)</f>
        <v>9</v>
      </c>
      <c r="F2561" s="27" t="s">
        <v>5796</v>
      </c>
      <c r="G2561" s="27" t="s">
        <v>5781</v>
      </c>
      <c r="H2561" s="27" t="s">
        <v>96</v>
      </c>
      <c r="I2561">
        <v>1</v>
      </c>
    </row>
    <row r="2562" spans="1:9">
      <c r="A2562" t="s">
        <v>2977</v>
      </c>
      <c r="B2562" s="27" t="s">
        <v>3230</v>
      </c>
      <c r="C2562" s="27" t="s">
        <v>5776</v>
      </c>
      <c r="D2562">
        <f>VLOOKUP(tblTargetMedicos[[#This Row],[codigo_id]],[1]DIM_REPRESENTANTE_MEDICO!$C:$F,4,0)</f>
        <v>8</v>
      </c>
      <c r="E2562">
        <f>VLOOKUP(tblTargetMedicos[[#This Row],[codigo_id]],[1]DIM_REPRESENTANTE_MEDICO!$C:$F,3,0)</f>
        <v>9</v>
      </c>
      <c r="F2562" s="27" t="s">
        <v>5796</v>
      </c>
      <c r="G2562" s="27" t="s">
        <v>5784</v>
      </c>
      <c r="H2562" s="27" t="s">
        <v>96</v>
      </c>
      <c r="I2562">
        <v>1</v>
      </c>
    </row>
    <row r="2563" spans="1:9">
      <c r="A2563" t="s">
        <v>2978</v>
      </c>
      <c r="B2563" s="27" t="s">
        <v>3230</v>
      </c>
      <c r="C2563" s="27" t="s">
        <v>5776</v>
      </c>
      <c r="D2563">
        <f>VLOOKUP(tblTargetMedicos[[#This Row],[codigo_id]],[1]DIM_REPRESENTANTE_MEDICO!$C:$F,4,0)</f>
        <v>8</v>
      </c>
      <c r="E2563">
        <f>VLOOKUP(tblTargetMedicos[[#This Row],[codigo_id]],[1]DIM_REPRESENTANTE_MEDICO!$C:$F,3,0)</f>
        <v>9</v>
      </c>
      <c r="F2563" s="27" t="s">
        <v>5796</v>
      </c>
      <c r="G2563" s="27" t="s">
        <v>5783</v>
      </c>
      <c r="H2563" s="27" t="s">
        <v>97</v>
      </c>
      <c r="I2563">
        <v>1</v>
      </c>
    </row>
    <row r="2564" spans="1:9">
      <c r="A2564" t="s">
        <v>2979</v>
      </c>
      <c r="B2564" s="27" t="s">
        <v>3230</v>
      </c>
      <c r="C2564" s="27" t="s">
        <v>5776</v>
      </c>
      <c r="D2564">
        <f>VLOOKUP(tblTargetMedicos[[#This Row],[codigo_id]],[1]DIM_REPRESENTANTE_MEDICO!$C:$F,4,0)</f>
        <v>8</v>
      </c>
      <c r="E2564">
        <f>VLOOKUP(tblTargetMedicos[[#This Row],[codigo_id]],[1]DIM_REPRESENTANTE_MEDICO!$C:$F,3,0)</f>
        <v>9</v>
      </c>
      <c r="F2564" s="27" t="s">
        <v>5796</v>
      </c>
      <c r="G2564" s="27" t="s">
        <v>5783</v>
      </c>
      <c r="H2564" s="27" t="s">
        <v>96</v>
      </c>
      <c r="I2564">
        <v>1</v>
      </c>
    </row>
    <row r="2565" spans="1:9">
      <c r="A2565" t="s">
        <v>2980</v>
      </c>
      <c r="B2565" s="27" t="s">
        <v>3230</v>
      </c>
      <c r="C2565" s="27" t="s">
        <v>5776</v>
      </c>
      <c r="D2565">
        <f>VLOOKUP(tblTargetMedicos[[#This Row],[codigo_id]],[1]DIM_REPRESENTANTE_MEDICO!$C:$F,4,0)</f>
        <v>8</v>
      </c>
      <c r="E2565">
        <f>VLOOKUP(tblTargetMedicos[[#This Row],[codigo_id]],[1]DIM_REPRESENTANTE_MEDICO!$C:$F,3,0)</f>
        <v>9</v>
      </c>
      <c r="F2565" s="27" t="s">
        <v>5796</v>
      </c>
      <c r="G2565" s="27" t="s">
        <v>5784</v>
      </c>
      <c r="H2565" s="27" t="s">
        <v>97</v>
      </c>
      <c r="I2565">
        <v>1</v>
      </c>
    </row>
    <row r="2566" spans="1:9">
      <c r="A2566" t="s">
        <v>2981</v>
      </c>
      <c r="B2566" s="27" t="s">
        <v>3230</v>
      </c>
      <c r="C2566" s="27" t="s">
        <v>5776</v>
      </c>
      <c r="D2566">
        <f>VLOOKUP(tblTargetMedicos[[#This Row],[codigo_id]],[1]DIM_REPRESENTANTE_MEDICO!$C:$F,4,0)</f>
        <v>8</v>
      </c>
      <c r="E2566">
        <f>VLOOKUP(tblTargetMedicos[[#This Row],[codigo_id]],[1]DIM_REPRESENTANTE_MEDICO!$C:$F,3,0)</f>
        <v>9</v>
      </c>
      <c r="F2566" s="27" t="s">
        <v>5796</v>
      </c>
      <c r="G2566" s="27" t="s">
        <v>5784</v>
      </c>
      <c r="H2566" s="27" t="s">
        <v>97</v>
      </c>
      <c r="I2566">
        <v>1</v>
      </c>
    </row>
    <row r="2567" spans="1:9">
      <c r="A2567" t="s">
        <v>2982</v>
      </c>
      <c r="B2567" s="27" t="s">
        <v>3230</v>
      </c>
      <c r="C2567" s="27" t="s">
        <v>5776</v>
      </c>
      <c r="D2567">
        <f>VLOOKUP(tblTargetMedicos[[#This Row],[codigo_id]],[1]DIM_REPRESENTANTE_MEDICO!$C:$F,4,0)</f>
        <v>8</v>
      </c>
      <c r="E2567">
        <f>VLOOKUP(tblTargetMedicos[[#This Row],[codigo_id]],[1]DIM_REPRESENTANTE_MEDICO!$C:$F,3,0)</f>
        <v>9</v>
      </c>
      <c r="F2567" s="27" t="s">
        <v>5796</v>
      </c>
      <c r="G2567" s="27" t="s">
        <v>5784</v>
      </c>
      <c r="H2567" s="27" t="s">
        <v>96</v>
      </c>
      <c r="I2567">
        <v>1</v>
      </c>
    </row>
    <row r="2568" spans="1:9">
      <c r="A2568" t="s">
        <v>2983</v>
      </c>
      <c r="B2568" s="27" t="s">
        <v>3230</v>
      </c>
      <c r="C2568" s="27" t="s">
        <v>5776</v>
      </c>
      <c r="D2568">
        <f>VLOOKUP(tblTargetMedicos[[#This Row],[codigo_id]],[1]DIM_REPRESENTANTE_MEDICO!$C:$F,4,0)</f>
        <v>8</v>
      </c>
      <c r="E2568">
        <f>VLOOKUP(tblTargetMedicos[[#This Row],[codigo_id]],[1]DIM_REPRESENTANTE_MEDICO!$C:$F,3,0)</f>
        <v>9</v>
      </c>
      <c r="F2568" s="27" t="s">
        <v>5796</v>
      </c>
      <c r="G2568" s="27" t="s">
        <v>5784</v>
      </c>
      <c r="H2568" s="27" t="s">
        <v>97</v>
      </c>
      <c r="I2568">
        <v>1</v>
      </c>
    </row>
    <row r="2569" spans="1:9">
      <c r="A2569" t="s">
        <v>2984</v>
      </c>
      <c r="B2569" s="27" t="s">
        <v>3230</v>
      </c>
      <c r="C2569" s="27" t="s">
        <v>5776</v>
      </c>
      <c r="D2569">
        <f>VLOOKUP(tblTargetMedicos[[#This Row],[codigo_id]],[1]DIM_REPRESENTANTE_MEDICO!$C:$F,4,0)</f>
        <v>8</v>
      </c>
      <c r="E2569">
        <f>VLOOKUP(tblTargetMedicos[[#This Row],[codigo_id]],[1]DIM_REPRESENTANTE_MEDICO!$C:$F,3,0)</f>
        <v>9</v>
      </c>
      <c r="F2569" s="27" t="s">
        <v>5796</v>
      </c>
      <c r="G2569" s="27" t="s">
        <v>5784</v>
      </c>
      <c r="H2569" s="27" t="s">
        <v>96</v>
      </c>
      <c r="I2569">
        <v>1</v>
      </c>
    </row>
    <row r="2570" spans="1:9">
      <c r="A2570" t="s">
        <v>2985</v>
      </c>
      <c r="B2570" s="27" t="s">
        <v>3230</v>
      </c>
      <c r="C2570" s="27" t="s">
        <v>5776</v>
      </c>
      <c r="D2570">
        <f>VLOOKUP(tblTargetMedicos[[#This Row],[codigo_id]],[1]DIM_REPRESENTANTE_MEDICO!$C:$F,4,0)</f>
        <v>8</v>
      </c>
      <c r="E2570">
        <f>VLOOKUP(tblTargetMedicos[[#This Row],[codigo_id]],[1]DIM_REPRESENTANTE_MEDICO!$C:$F,3,0)</f>
        <v>9</v>
      </c>
      <c r="F2570" s="27" t="s">
        <v>5796</v>
      </c>
      <c r="G2570" s="27" t="s">
        <v>5784</v>
      </c>
      <c r="H2570" s="27" t="s">
        <v>97</v>
      </c>
      <c r="I2570">
        <v>1</v>
      </c>
    </row>
    <row r="2571" spans="1:9">
      <c r="A2571" t="s">
        <v>2986</v>
      </c>
      <c r="B2571" s="27" t="s">
        <v>3230</v>
      </c>
      <c r="C2571" s="27" t="s">
        <v>5776</v>
      </c>
      <c r="D2571">
        <f>VLOOKUP(tblTargetMedicos[[#This Row],[codigo_id]],[1]DIM_REPRESENTANTE_MEDICO!$C:$F,4,0)</f>
        <v>8</v>
      </c>
      <c r="E2571">
        <f>VLOOKUP(tblTargetMedicos[[#This Row],[codigo_id]],[1]DIM_REPRESENTANTE_MEDICO!$C:$F,3,0)</f>
        <v>9</v>
      </c>
      <c r="F2571" s="27" t="s">
        <v>5796</v>
      </c>
      <c r="G2571" s="27" t="s">
        <v>5784</v>
      </c>
      <c r="H2571" s="27" t="s">
        <v>97</v>
      </c>
      <c r="I2571">
        <v>1</v>
      </c>
    </row>
    <row r="2572" spans="1:9">
      <c r="A2572" t="s">
        <v>2987</v>
      </c>
      <c r="B2572" s="27" t="s">
        <v>3230</v>
      </c>
      <c r="C2572" s="27" t="s">
        <v>5776</v>
      </c>
      <c r="D2572">
        <f>VLOOKUP(tblTargetMedicos[[#This Row],[codigo_id]],[1]DIM_REPRESENTANTE_MEDICO!$C:$F,4,0)</f>
        <v>8</v>
      </c>
      <c r="E2572">
        <f>VLOOKUP(tblTargetMedicos[[#This Row],[codigo_id]],[1]DIM_REPRESENTANTE_MEDICO!$C:$F,3,0)</f>
        <v>9</v>
      </c>
      <c r="F2572" s="27" t="s">
        <v>5796</v>
      </c>
      <c r="G2572" s="27" t="s">
        <v>5784</v>
      </c>
      <c r="H2572" s="27" t="s">
        <v>97</v>
      </c>
      <c r="I2572">
        <v>1</v>
      </c>
    </row>
    <row r="2573" spans="1:9">
      <c r="A2573" t="s">
        <v>2988</v>
      </c>
      <c r="B2573" s="27" t="s">
        <v>3230</v>
      </c>
      <c r="C2573" s="27" t="s">
        <v>5776</v>
      </c>
      <c r="D2573">
        <f>VLOOKUP(tblTargetMedicos[[#This Row],[codigo_id]],[1]DIM_REPRESENTANTE_MEDICO!$C:$F,4,0)</f>
        <v>8</v>
      </c>
      <c r="E2573">
        <f>VLOOKUP(tblTargetMedicos[[#This Row],[codigo_id]],[1]DIM_REPRESENTANTE_MEDICO!$C:$F,3,0)</f>
        <v>9</v>
      </c>
      <c r="F2573" s="27" t="s">
        <v>5796</v>
      </c>
      <c r="G2573" s="27" t="s">
        <v>5784</v>
      </c>
      <c r="H2573" s="27" t="s">
        <v>97</v>
      </c>
      <c r="I2573">
        <v>1</v>
      </c>
    </row>
    <row r="2574" spans="1:9">
      <c r="A2574" t="s">
        <v>2989</v>
      </c>
      <c r="B2574" s="27" t="s">
        <v>3230</v>
      </c>
      <c r="C2574" s="27" t="s">
        <v>5776</v>
      </c>
      <c r="D2574">
        <f>VLOOKUP(tblTargetMedicos[[#This Row],[codigo_id]],[1]DIM_REPRESENTANTE_MEDICO!$C:$F,4,0)</f>
        <v>8</v>
      </c>
      <c r="E2574">
        <f>VLOOKUP(tblTargetMedicos[[#This Row],[codigo_id]],[1]DIM_REPRESENTANTE_MEDICO!$C:$F,3,0)</f>
        <v>9</v>
      </c>
      <c r="F2574" s="27" t="s">
        <v>5796</v>
      </c>
      <c r="G2574" s="27" t="s">
        <v>5784</v>
      </c>
      <c r="H2574" s="27" t="s">
        <v>97</v>
      </c>
      <c r="I2574">
        <v>1</v>
      </c>
    </row>
    <row r="2575" spans="1:9">
      <c r="A2575" t="s">
        <v>2990</v>
      </c>
      <c r="B2575" s="27" t="s">
        <v>3230</v>
      </c>
      <c r="C2575" s="27" t="s">
        <v>5776</v>
      </c>
      <c r="D2575">
        <f>VLOOKUP(tblTargetMedicos[[#This Row],[codigo_id]],[1]DIM_REPRESENTANTE_MEDICO!$C:$F,4,0)</f>
        <v>8</v>
      </c>
      <c r="E2575">
        <f>VLOOKUP(tblTargetMedicos[[#This Row],[codigo_id]],[1]DIM_REPRESENTANTE_MEDICO!$C:$F,3,0)</f>
        <v>9</v>
      </c>
      <c r="F2575" s="27" t="s">
        <v>5796</v>
      </c>
      <c r="G2575" s="27" t="s">
        <v>5784</v>
      </c>
      <c r="H2575" s="27" t="s">
        <v>97</v>
      </c>
      <c r="I2575">
        <v>1</v>
      </c>
    </row>
    <row r="2576" spans="1:9">
      <c r="A2576" t="s">
        <v>2991</v>
      </c>
      <c r="B2576" s="27" t="s">
        <v>3230</v>
      </c>
      <c r="C2576" s="27" t="s">
        <v>5776</v>
      </c>
      <c r="D2576">
        <f>VLOOKUP(tblTargetMedicos[[#This Row],[codigo_id]],[1]DIM_REPRESENTANTE_MEDICO!$C:$F,4,0)</f>
        <v>8</v>
      </c>
      <c r="E2576">
        <f>VLOOKUP(tblTargetMedicos[[#This Row],[codigo_id]],[1]DIM_REPRESENTANTE_MEDICO!$C:$F,3,0)</f>
        <v>9</v>
      </c>
      <c r="F2576" s="27" t="s">
        <v>5796</v>
      </c>
      <c r="G2576" s="27" t="s">
        <v>5783</v>
      </c>
      <c r="H2576" s="27" t="s">
        <v>97</v>
      </c>
      <c r="I2576">
        <v>1</v>
      </c>
    </row>
    <row r="2577" spans="1:9">
      <c r="A2577" t="s">
        <v>2992</v>
      </c>
      <c r="B2577" s="27" t="s">
        <v>3230</v>
      </c>
      <c r="C2577" s="27" t="s">
        <v>5776</v>
      </c>
      <c r="D2577">
        <f>VLOOKUP(tblTargetMedicos[[#This Row],[codigo_id]],[1]DIM_REPRESENTANTE_MEDICO!$C:$F,4,0)</f>
        <v>8</v>
      </c>
      <c r="E2577">
        <f>VLOOKUP(tblTargetMedicos[[#This Row],[codigo_id]],[1]DIM_REPRESENTANTE_MEDICO!$C:$F,3,0)</f>
        <v>9</v>
      </c>
      <c r="F2577" s="27" t="s">
        <v>5796</v>
      </c>
      <c r="G2577" s="27" t="s">
        <v>5784</v>
      </c>
      <c r="H2577" s="27" t="s">
        <v>96</v>
      </c>
      <c r="I2577">
        <v>1</v>
      </c>
    </row>
    <row r="2578" spans="1:9">
      <c r="A2578" t="s">
        <v>2993</v>
      </c>
      <c r="B2578" s="27" t="s">
        <v>3230</v>
      </c>
      <c r="C2578" s="27" t="s">
        <v>5776</v>
      </c>
      <c r="D2578">
        <f>VLOOKUP(tblTargetMedicos[[#This Row],[codigo_id]],[1]DIM_REPRESENTANTE_MEDICO!$C:$F,4,0)</f>
        <v>8</v>
      </c>
      <c r="E2578">
        <f>VLOOKUP(tblTargetMedicos[[#This Row],[codigo_id]],[1]DIM_REPRESENTANTE_MEDICO!$C:$F,3,0)</f>
        <v>9</v>
      </c>
      <c r="F2578" s="27" t="s">
        <v>5796</v>
      </c>
      <c r="G2578" s="27" t="s">
        <v>5784</v>
      </c>
      <c r="H2578" s="27" t="s">
        <v>96</v>
      </c>
      <c r="I2578">
        <v>1</v>
      </c>
    </row>
    <row r="2579" spans="1:9">
      <c r="A2579" t="s">
        <v>2994</v>
      </c>
      <c r="B2579" s="27" t="s">
        <v>3230</v>
      </c>
      <c r="C2579" s="27" t="s">
        <v>5776</v>
      </c>
      <c r="D2579">
        <f>VLOOKUP(tblTargetMedicos[[#This Row],[codigo_id]],[1]DIM_REPRESENTANTE_MEDICO!$C:$F,4,0)</f>
        <v>8</v>
      </c>
      <c r="E2579">
        <f>VLOOKUP(tblTargetMedicos[[#This Row],[codigo_id]],[1]DIM_REPRESENTANTE_MEDICO!$C:$F,3,0)</f>
        <v>9</v>
      </c>
      <c r="F2579" s="27" t="s">
        <v>5796</v>
      </c>
      <c r="G2579" s="27" t="s">
        <v>5780</v>
      </c>
      <c r="H2579" s="27" t="s">
        <v>96</v>
      </c>
      <c r="I2579">
        <v>1</v>
      </c>
    </row>
    <row r="2580" spans="1:9">
      <c r="A2580" t="s">
        <v>2995</v>
      </c>
      <c r="B2580" s="27" t="s">
        <v>3230</v>
      </c>
      <c r="C2580" s="27" t="s">
        <v>5776</v>
      </c>
      <c r="D2580">
        <f>VLOOKUP(tblTargetMedicos[[#This Row],[codigo_id]],[1]DIM_REPRESENTANTE_MEDICO!$C:$F,4,0)</f>
        <v>8</v>
      </c>
      <c r="E2580">
        <f>VLOOKUP(tblTargetMedicos[[#This Row],[codigo_id]],[1]DIM_REPRESENTANTE_MEDICO!$C:$F,3,0)</f>
        <v>9</v>
      </c>
      <c r="F2580" s="27" t="s">
        <v>5796</v>
      </c>
      <c r="G2580" s="27" t="s">
        <v>5786</v>
      </c>
      <c r="H2580" s="27" t="s">
        <v>96</v>
      </c>
      <c r="I2580">
        <v>1</v>
      </c>
    </row>
    <row r="2581" spans="1:9">
      <c r="A2581" t="s">
        <v>2996</v>
      </c>
      <c r="B2581" s="27" t="s">
        <v>3230</v>
      </c>
      <c r="C2581" s="27" t="s">
        <v>5776</v>
      </c>
      <c r="D2581">
        <f>VLOOKUP(tblTargetMedicos[[#This Row],[codigo_id]],[1]DIM_REPRESENTANTE_MEDICO!$C:$F,4,0)</f>
        <v>8</v>
      </c>
      <c r="E2581">
        <f>VLOOKUP(tblTargetMedicos[[#This Row],[codigo_id]],[1]DIM_REPRESENTANTE_MEDICO!$C:$F,3,0)</f>
        <v>9</v>
      </c>
      <c r="F2581" s="27" t="s">
        <v>5796</v>
      </c>
      <c r="G2581" s="27" t="s">
        <v>5784</v>
      </c>
      <c r="H2581" s="27" t="s">
        <v>96</v>
      </c>
      <c r="I2581">
        <v>1</v>
      </c>
    </row>
    <row r="2582" spans="1:9">
      <c r="A2582" t="s">
        <v>2997</v>
      </c>
      <c r="B2582" s="27" t="s">
        <v>3230</v>
      </c>
      <c r="C2582" s="27" t="s">
        <v>5776</v>
      </c>
      <c r="D2582">
        <f>VLOOKUP(tblTargetMedicos[[#This Row],[codigo_id]],[1]DIM_REPRESENTANTE_MEDICO!$C:$F,4,0)</f>
        <v>8</v>
      </c>
      <c r="E2582">
        <f>VLOOKUP(tblTargetMedicos[[#This Row],[codigo_id]],[1]DIM_REPRESENTANTE_MEDICO!$C:$F,3,0)</f>
        <v>9</v>
      </c>
      <c r="F2582" s="27" t="s">
        <v>5796</v>
      </c>
      <c r="G2582" s="27" t="s">
        <v>5785</v>
      </c>
      <c r="H2582" s="27" t="s">
        <v>96</v>
      </c>
      <c r="I2582">
        <v>1</v>
      </c>
    </row>
    <row r="2583" spans="1:9">
      <c r="A2583" t="s">
        <v>2998</v>
      </c>
      <c r="B2583" s="27" t="s">
        <v>3230</v>
      </c>
      <c r="C2583" s="27" t="s">
        <v>5776</v>
      </c>
      <c r="D2583">
        <f>VLOOKUP(tblTargetMedicos[[#This Row],[codigo_id]],[1]DIM_REPRESENTANTE_MEDICO!$C:$F,4,0)</f>
        <v>8</v>
      </c>
      <c r="E2583">
        <f>VLOOKUP(tblTargetMedicos[[#This Row],[codigo_id]],[1]DIM_REPRESENTANTE_MEDICO!$C:$F,3,0)</f>
        <v>9</v>
      </c>
      <c r="F2583" s="27" t="s">
        <v>5796</v>
      </c>
      <c r="G2583" s="27" t="s">
        <v>5784</v>
      </c>
      <c r="H2583" s="27" t="s">
        <v>97</v>
      </c>
      <c r="I2583">
        <v>1</v>
      </c>
    </row>
    <row r="2584" spans="1:9">
      <c r="A2584" t="s">
        <v>2999</v>
      </c>
      <c r="B2584" s="27" t="s">
        <v>3230</v>
      </c>
      <c r="C2584" s="27" t="s">
        <v>5776</v>
      </c>
      <c r="D2584">
        <f>VLOOKUP(tblTargetMedicos[[#This Row],[codigo_id]],[1]DIM_REPRESENTANTE_MEDICO!$C:$F,4,0)</f>
        <v>8</v>
      </c>
      <c r="E2584">
        <f>VLOOKUP(tblTargetMedicos[[#This Row],[codigo_id]],[1]DIM_REPRESENTANTE_MEDICO!$C:$F,3,0)</f>
        <v>9</v>
      </c>
      <c r="F2584" s="27" t="s">
        <v>5796</v>
      </c>
      <c r="G2584" s="27" t="s">
        <v>5784</v>
      </c>
      <c r="H2584" s="27" t="s">
        <v>96</v>
      </c>
      <c r="I2584">
        <v>1</v>
      </c>
    </row>
    <row r="2585" spans="1:9">
      <c r="A2585" t="s">
        <v>3000</v>
      </c>
      <c r="B2585" s="27" t="s">
        <v>3230</v>
      </c>
      <c r="C2585" s="27" t="s">
        <v>5776</v>
      </c>
      <c r="D2585">
        <f>VLOOKUP(tblTargetMedicos[[#This Row],[codigo_id]],[1]DIM_REPRESENTANTE_MEDICO!$C:$F,4,0)</f>
        <v>8</v>
      </c>
      <c r="E2585">
        <f>VLOOKUP(tblTargetMedicos[[#This Row],[codigo_id]],[1]DIM_REPRESENTANTE_MEDICO!$C:$F,3,0)</f>
        <v>9</v>
      </c>
      <c r="F2585" s="27" t="s">
        <v>5796</v>
      </c>
      <c r="G2585" s="27" t="s">
        <v>5782</v>
      </c>
      <c r="H2585" s="27" t="s">
        <v>96</v>
      </c>
      <c r="I2585">
        <v>1</v>
      </c>
    </row>
    <row r="2586" spans="1:9">
      <c r="A2586" t="s">
        <v>3001</v>
      </c>
      <c r="B2586" s="27" t="s">
        <v>3230</v>
      </c>
      <c r="C2586" s="27" t="s">
        <v>5776</v>
      </c>
      <c r="D2586">
        <f>VLOOKUP(tblTargetMedicos[[#This Row],[codigo_id]],[1]DIM_REPRESENTANTE_MEDICO!$C:$F,4,0)</f>
        <v>8</v>
      </c>
      <c r="E2586">
        <f>VLOOKUP(tblTargetMedicos[[#This Row],[codigo_id]],[1]DIM_REPRESENTANTE_MEDICO!$C:$F,3,0)</f>
        <v>9</v>
      </c>
      <c r="F2586" s="27" t="s">
        <v>5796</v>
      </c>
      <c r="G2586" s="27" t="s">
        <v>5784</v>
      </c>
      <c r="H2586" s="27" t="s">
        <v>97</v>
      </c>
      <c r="I2586">
        <v>1</v>
      </c>
    </row>
    <row r="2587" spans="1:9">
      <c r="A2587" t="s">
        <v>3002</v>
      </c>
      <c r="B2587" s="27" t="s">
        <v>3230</v>
      </c>
      <c r="C2587" s="27" t="s">
        <v>5776</v>
      </c>
      <c r="D2587">
        <f>VLOOKUP(tblTargetMedicos[[#This Row],[codigo_id]],[1]DIM_REPRESENTANTE_MEDICO!$C:$F,4,0)</f>
        <v>8</v>
      </c>
      <c r="E2587">
        <f>VLOOKUP(tblTargetMedicos[[#This Row],[codigo_id]],[1]DIM_REPRESENTANTE_MEDICO!$C:$F,3,0)</f>
        <v>9</v>
      </c>
      <c r="F2587" s="27" t="s">
        <v>5796</v>
      </c>
      <c r="G2587" s="27" t="s">
        <v>5783</v>
      </c>
      <c r="H2587" s="27" t="s">
        <v>97</v>
      </c>
      <c r="I2587">
        <v>1</v>
      </c>
    </row>
    <row r="2588" spans="1:9">
      <c r="A2588" t="s">
        <v>3003</v>
      </c>
      <c r="B2588" s="27" t="s">
        <v>3230</v>
      </c>
      <c r="C2588" s="27" t="s">
        <v>5776</v>
      </c>
      <c r="D2588">
        <f>VLOOKUP(tblTargetMedicos[[#This Row],[codigo_id]],[1]DIM_REPRESENTANTE_MEDICO!$C:$F,4,0)</f>
        <v>8</v>
      </c>
      <c r="E2588">
        <f>VLOOKUP(tblTargetMedicos[[#This Row],[codigo_id]],[1]DIM_REPRESENTANTE_MEDICO!$C:$F,3,0)</f>
        <v>9</v>
      </c>
      <c r="F2588" s="27" t="s">
        <v>5796</v>
      </c>
      <c r="G2588" s="27" t="s">
        <v>5784</v>
      </c>
      <c r="H2588" s="27" t="s">
        <v>97</v>
      </c>
      <c r="I2588">
        <v>1</v>
      </c>
    </row>
    <row r="2589" spans="1:9">
      <c r="A2589" t="s">
        <v>3004</v>
      </c>
      <c r="B2589" s="27" t="s">
        <v>3230</v>
      </c>
      <c r="C2589" s="27" t="s">
        <v>5776</v>
      </c>
      <c r="D2589">
        <f>VLOOKUP(tblTargetMedicos[[#This Row],[codigo_id]],[1]DIM_REPRESENTANTE_MEDICO!$C:$F,4,0)</f>
        <v>8</v>
      </c>
      <c r="E2589">
        <f>VLOOKUP(tblTargetMedicos[[#This Row],[codigo_id]],[1]DIM_REPRESENTANTE_MEDICO!$C:$F,3,0)</f>
        <v>9</v>
      </c>
      <c r="F2589" s="27" t="s">
        <v>5796</v>
      </c>
      <c r="G2589" s="27" t="s">
        <v>5782</v>
      </c>
      <c r="H2589" s="27" t="s">
        <v>97</v>
      </c>
      <c r="I2589">
        <v>1</v>
      </c>
    </row>
    <row r="2590" spans="1:9">
      <c r="A2590" t="s">
        <v>3005</v>
      </c>
      <c r="B2590" s="27" t="s">
        <v>3230</v>
      </c>
      <c r="C2590" s="27" t="s">
        <v>5776</v>
      </c>
      <c r="D2590">
        <f>VLOOKUP(tblTargetMedicos[[#This Row],[codigo_id]],[1]DIM_REPRESENTANTE_MEDICO!$C:$F,4,0)</f>
        <v>8</v>
      </c>
      <c r="E2590">
        <f>VLOOKUP(tblTargetMedicos[[#This Row],[codigo_id]],[1]DIM_REPRESENTANTE_MEDICO!$C:$F,3,0)</f>
        <v>9</v>
      </c>
      <c r="F2590" s="27" t="s">
        <v>5796</v>
      </c>
      <c r="G2590" s="27" t="s">
        <v>5779</v>
      </c>
      <c r="H2590" s="27" t="s">
        <v>97</v>
      </c>
      <c r="I2590">
        <v>1</v>
      </c>
    </row>
    <row r="2591" spans="1:9">
      <c r="A2591" t="s">
        <v>3006</v>
      </c>
      <c r="B2591" s="27" t="s">
        <v>3230</v>
      </c>
      <c r="C2591" s="27" t="s">
        <v>5776</v>
      </c>
      <c r="D2591">
        <f>VLOOKUP(tblTargetMedicos[[#This Row],[codigo_id]],[1]DIM_REPRESENTANTE_MEDICO!$C:$F,4,0)</f>
        <v>8</v>
      </c>
      <c r="E2591">
        <f>VLOOKUP(tblTargetMedicos[[#This Row],[codigo_id]],[1]DIM_REPRESENTANTE_MEDICO!$C:$F,3,0)</f>
        <v>9</v>
      </c>
      <c r="F2591" s="27" t="s">
        <v>5796</v>
      </c>
      <c r="G2591" s="27" t="s">
        <v>5784</v>
      </c>
      <c r="H2591" s="27" t="s">
        <v>97</v>
      </c>
      <c r="I2591">
        <v>1</v>
      </c>
    </row>
    <row r="2592" spans="1:9">
      <c r="A2592" t="s">
        <v>3007</v>
      </c>
      <c r="B2592" s="27" t="s">
        <v>3230</v>
      </c>
      <c r="C2592" s="27" t="s">
        <v>5776</v>
      </c>
      <c r="D2592">
        <f>VLOOKUP(tblTargetMedicos[[#This Row],[codigo_id]],[1]DIM_REPRESENTANTE_MEDICO!$C:$F,4,0)</f>
        <v>8</v>
      </c>
      <c r="E2592">
        <f>VLOOKUP(tblTargetMedicos[[#This Row],[codigo_id]],[1]DIM_REPRESENTANTE_MEDICO!$C:$F,3,0)</f>
        <v>9</v>
      </c>
      <c r="F2592" s="27" t="s">
        <v>5796</v>
      </c>
      <c r="G2592" s="27" t="s">
        <v>5781</v>
      </c>
      <c r="H2592" s="27" t="s">
        <v>97</v>
      </c>
      <c r="I2592">
        <v>1</v>
      </c>
    </row>
    <row r="2593" spans="1:9">
      <c r="A2593" t="s">
        <v>3008</v>
      </c>
      <c r="B2593" s="27" t="s">
        <v>3230</v>
      </c>
      <c r="C2593" s="27" t="s">
        <v>5776</v>
      </c>
      <c r="D2593">
        <f>VLOOKUP(tblTargetMedicos[[#This Row],[codigo_id]],[1]DIM_REPRESENTANTE_MEDICO!$C:$F,4,0)</f>
        <v>8</v>
      </c>
      <c r="E2593">
        <f>VLOOKUP(tblTargetMedicos[[#This Row],[codigo_id]],[1]DIM_REPRESENTANTE_MEDICO!$C:$F,3,0)</f>
        <v>9</v>
      </c>
      <c r="F2593" s="27" t="s">
        <v>5796</v>
      </c>
      <c r="G2593" s="27" t="s">
        <v>5779</v>
      </c>
      <c r="H2593" s="27" t="s">
        <v>97</v>
      </c>
      <c r="I2593">
        <v>1</v>
      </c>
    </row>
    <row r="2594" spans="1:9">
      <c r="A2594" t="s">
        <v>3009</v>
      </c>
      <c r="B2594" s="27" t="s">
        <v>3230</v>
      </c>
      <c r="C2594" s="27" t="s">
        <v>5776</v>
      </c>
      <c r="D2594">
        <f>VLOOKUP(tblTargetMedicos[[#This Row],[codigo_id]],[1]DIM_REPRESENTANTE_MEDICO!$C:$F,4,0)</f>
        <v>8</v>
      </c>
      <c r="E2594">
        <f>VLOOKUP(tblTargetMedicos[[#This Row],[codigo_id]],[1]DIM_REPRESENTANTE_MEDICO!$C:$F,3,0)</f>
        <v>9</v>
      </c>
      <c r="F2594" s="27" t="s">
        <v>5796</v>
      </c>
      <c r="G2594" s="27" t="s">
        <v>5784</v>
      </c>
      <c r="H2594" s="27" t="s">
        <v>96</v>
      </c>
      <c r="I2594">
        <v>1</v>
      </c>
    </row>
    <row r="2595" spans="1:9">
      <c r="A2595" t="s">
        <v>3010</v>
      </c>
      <c r="B2595" s="27" t="s">
        <v>3230</v>
      </c>
      <c r="C2595" s="27" t="s">
        <v>5776</v>
      </c>
      <c r="D2595">
        <f>VLOOKUP(tblTargetMedicos[[#This Row],[codigo_id]],[1]DIM_REPRESENTANTE_MEDICO!$C:$F,4,0)</f>
        <v>8</v>
      </c>
      <c r="E2595">
        <f>VLOOKUP(tblTargetMedicos[[#This Row],[codigo_id]],[1]DIM_REPRESENTANTE_MEDICO!$C:$F,3,0)</f>
        <v>9</v>
      </c>
      <c r="F2595" s="27" t="s">
        <v>5796</v>
      </c>
      <c r="G2595" s="27" t="s">
        <v>5786</v>
      </c>
      <c r="H2595" s="27" t="s">
        <v>97</v>
      </c>
      <c r="I2595">
        <v>1</v>
      </c>
    </row>
    <row r="2596" spans="1:9">
      <c r="A2596" t="s">
        <v>3011</v>
      </c>
      <c r="B2596" s="27" t="s">
        <v>3230</v>
      </c>
      <c r="C2596" s="27" t="s">
        <v>5776</v>
      </c>
      <c r="D2596">
        <f>VLOOKUP(tblTargetMedicos[[#This Row],[codigo_id]],[1]DIM_REPRESENTANTE_MEDICO!$C:$F,4,0)</f>
        <v>8</v>
      </c>
      <c r="E2596">
        <f>VLOOKUP(tblTargetMedicos[[#This Row],[codigo_id]],[1]DIM_REPRESENTANTE_MEDICO!$C:$F,3,0)</f>
        <v>9</v>
      </c>
      <c r="F2596" s="27" t="s">
        <v>5796</v>
      </c>
      <c r="G2596" s="27" t="s">
        <v>5783</v>
      </c>
      <c r="H2596" s="27" t="s">
        <v>97</v>
      </c>
      <c r="I2596">
        <v>1</v>
      </c>
    </row>
    <row r="2597" spans="1:9">
      <c r="A2597" t="s">
        <v>3012</v>
      </c>
      <c r="B2597" s="27" t="s">
        <v>3230</v>
      </c>
      <c r="C2597" s="27" t="s">
        <v>5776</v>
      </c>
      <c r="D2597">
        <f>VLOOKUP(tblTargetMedicos[[#This Row],[codigo_id]],[1]DIM_REPRESENTANTE_MEDICO!$C:$F,4,0)</f>
        <v>8</v>
      </c>
      <c r="E2597">
        <f>VLOOKUP(tblTargetMedicos[[#This Row],[codigo_id]],[1]DIM_REPRESENTANTE_MEDICO!$C:$F,3,0)</f>
        <v>9</v>
      </c>
      <c r="F2597" s="27" t="s">
        <v>5796</v>
      </c>
      <c r="G2597" s="27" t="s">
        <v>5783</v>
      </c>
      <c r="H2597" s="27" t="s">
        <v>97</v>
      </c>
      <c r="I2597">
        <v>1</v>
      </c>
    </row>
    <row r="2598" spans="1:9">
      <c r="A2598" t="s">
        <v>3013</v>
      </c>
      <c r="B2598" s="27" t="s">
        <v>3230</v>
      </c>
      <c r="C2598" s="27" t="s">
        <v>5776</v>
      </c>
      <c r="D2598">
        <f>VLOOKUP(tblTargetMedicos[[#This Row],[codigo_id]],[1]DIM_REPRESENTANTE_MEDICO!$C:$F,4,0)</f>
        <v>8</v>
      </c>
      <c r="E2598">
        <f>VLOOKUP(tblTargetMedicos[[#This Row],[codigo_id]],[1]DIM_REPRESENTANTE_MEDICO!$C:$F,3,0)</f>
        <v>9</v>
      </c>
      <c r="F2598" s="27" t="s">
        <v>5796</v>
      </c>
      <c r="G2598" s="27" t="s">
        <v>5783</v>
      </c>
      <c r="H2598" s="27" t="s">
        <v>97</v>
      </c>
      <c r="I2598">
        <v>1</v>
      </c>
    </row>
    <row r="2599" spans="1:9">
      <c r="A2599" t="s">
        <v>3014</v>
      </c>
      <c r="B2599" s="27" t="s">
        <v>3230</v>
      </c>
      <c r="C2599" s="27" t="s">
        <v>5776</v>
      </c>
      <c r="D2599">
        <f>VLOOKUP(tblTargetMedicos[[#This Row],[codigo_id]],[1]DIM_REPRESENTANTE_MEDICO!$C:$F,4,0)</f>
        <v>8</v>
      </c>
      <c r="E2599">
        <f>VLOOKUP(tblTargetMedicos[[#This Row],[codigo_id]],[1]DIM_REPRESENTANTE_MEDICO!$C:$F,3,0)</f>
        <v>9</v>
      </c>
      <c r="F2599" s="27" t="s">
        <v>5796</v>
      </c>
      <c r="G2599" s="27" t="s">
        <v>5784</v>
      </c>
      <c r="H2599" s="27" t="s">
        <v>97</v>
      </c>
      <c r="I2599">
        <v>1</v>
      </c>
    </row>
    <row r="2600" spans="1:9">
      <c r="A2600" t="s">
        <v>3015</v>
      </c>
      <c r="B2600" s="27" t="s">
        <v>3230</v>
      </c>
      <c r="C2600" s="27" t="s">
        <v>5776</v>
      </c>
      <c r="D2600">
        <f>VLOOKUP(tblTargetMedicos[[#This Row],[codigo_id]],[1]DIM_REPRESENTANTE_MEDICO!$C:$F,4,0)</f>
        <v>8</v>
      </c>
      <c r="E2600">
        <f>VLOOKUP(tblTargetMedicos[[#This Row],[codigo_id]],[1]DIM_REPRESENTANTE_MEDICO!$C:$F,3,0)</f>
        <v>9</v>
      </c>
      <c r="F2600" s="27" t="s">
        <v>5796</v>
      </c>
      <c r="G2600" s="27" t="s">
        <v>5781</v>
      </c>
      <c r="H2600" s="27" t="s">
        <v>97</v>
      </c>
      <c r="I2600">
        <v>1</v>
      </c>
    </row>
    <row r="2601" spans="1:9">
      <c r="A2601" t="s">
        <v>3016</v>
      </c>
      <c r="B2601" s="27" t="s">
        <v>3230</v>
      </c>
      <c r="C2601" s="27" t="s">
        <v>5776</v>
      </c>
      <c r="D2601">
        <f>VLOOKUP(tblTargetMedicos[[#This Row],[codigo_id]],[1]DIM_REPRESENTANTE_MEDICO!$C:$F,4,0)</f>
        <v>8</v>
      </c>
      <c r="E2601">
        <f>VLOOKUP(tblTargetMedicos[[#This Row],[codigo_id]],[1]DIM_REPRESENTANTE_MEDICO!$C:$F,3,0)</f>
        <v>9</v>
      </c>
      <c r="F2601" s="27" t="s">
        <v>5796</v>
      </c>
      <c r="G2601" s="27" t="s">
        <v>5783</v>
      </c>
      <c r="H2601" s="27" t="s">
        <v>97</v>
      </c>
      <c r="I2601">
        <v>1</v>
      </c>
    </row>
    <row r="2602" spans="1:9">
      <c r="A2602" t="s">
        <v>3017</v>
      </c>
      <c r="B2602" s="27" t="s">
        <v>3230</v>
      </c>
      <c r="C2602" s="27" t="s">
        <v>5776</v>
      </c>
      <c r="D2602">
        <f>VLOOKUP(tblTargetMedicos[[#This Row],[codigo_id]],[1]DIM_REPRESENTANTE_MEDICO!$C:$F,4,0)</f>
        <v>8</v>
      </c>
      <c r="E2602">
        <f>VLOOKUP(tblTargetMedicos[[#This Row],[codigo_id]],[1]DIM_REPRESENTANTE_MEDICO!$C:$F,3,0)</f>
        <v>9</v>
      </c>
      <c r="F2602" s="27" t="s">
        <v>5796</v>
      </c>
      <c r="G2602" s="27" t="s">
        <v>5783</v>
      </c>
      <c r="H2602" s="27" t="s">
        <v>97</v>
      </c>
      <c r="I2602">
        <v>1</v>
      </c>
    </row>
    <row r="2603" spans="1:9">
      <c r="A2603" t="s">
        <v>3018</v>
      </c>
      <c r="B2603" s="27" t="s">
        <v>3230</v>
      </c>
      <c r="C2603" s="27" t="s">
        <v>5776</v>
      </c>
      <c r="D2603">
        <f>VLOOKUP(tblTargetMedicos[[#This Row],[codigo_id]],[1]DIM_REPRESENTANTE_MEDICO!$C:$F,4,0)</f>
        <v>8</v>
      </c>
      <c r="E2603">
        <f>VLOOKUP(tblTargetMedicos[[#This Row],[codigo_id]],[1]DIM_REPRESENTANTE_MEDICO!$C:$F,3,0)</f>
        <v>9</v>
      </c>
      <c r="F2603" s="27" t="s">
        <v>5796</v>
      </c>
      <c r="G2603" s="27" t="s">
        <v>5783</v>
      </c>
      <c r="H2603" s="27" t="s">
        <v>97</v>
      </c>
      <c r="I2603">
        <v>1</v>
      </c>
    </row>
    <row r="2604" spans="1:9">
      <c r="A2604" t="s">
        <v>3019</v>
      </c>
      <c r="B2604" s="27" t="s">
        <v>3230</v>
      </c>
      <c r="C2604" s="27" t="s">
        <v>5776</v>
      </c>
      <c r="D2604">
        <f>VLOOKUP(tblTargetMedicos[[#This Row],[codigo_id]],[1]DIM_REPRESENTANTE_MEDICO!$C:$F,4,0)</f>
        <v>8</v>
      </c>
      <c r="E2604">
        <f>VLOOKUP(tblTargetMedicos[[#This Row],[codigo_id]],[1]DIM_REPRESENTANTE_MEDICO!$C:$F,3,0)</f>
        <v>9</v>
      </c>
      <c r="F2604" s="27" t="s">
        <v>5796</v>
      </c>
      <c r="G2604" s="27" t="s">
        <v>5779</v>
      </c>
      <c r="H2604" s="27" t="s">
        <v>97</v>
      </c>
      <c r="I2604">
        <v>1</v>
      </c>
    </row>
    <row r="2605" spans="1:9">
      <c r="A2605" t="s">
        <v>3020</v>
      </c>
      <c r="B2605" s="27" t="s">
        <v>3230</v>
      </c>
      <c r="C2605" s="27" t="s">
        <v>5776</v>
      </c>
      <c r="D2605">
        <f>VLOOKUP(tblTargetMedicos[[#This Row],[codigo_id]],[1]DIM_REPRESENTANTE_MEDICO!$C:$F,4,0)</f>
        <v>8</v>
      </c>
      <c r="E2605">
        <f>VLOOKUP(tblTargetMedicos[[#This Row],[codigo_id]],[1]DIM_REPRESENTANTE_MEDICO!$C:$F,3,0)</f>
        <v>9</v>
      </c>
      <c r="F2605" s="27" t="s">
        <v>5796</v>
      </c>
      <c r="G2605" s="27" t="s">
        <v>5784</v>
      </c>
      <c r="H2605" s="27" t="s">
        <v>97</v>
      </c>
      <c r="I2605">
        <v>1</v>
      </c>
    </row>
    <row r="2606" spans="1:9">
      <c r="A2606" t="s">
        <v>3021</v>
      </c>
      <c r="B2606" s="27" t="s">
        <v>3230</v>
      </c>
      <c r="C2606" s="27" t="s">
        <v>5776</v>
      </c>
      <c r="D2606">
        <f>VLOOKUP(tblTargetMedicos[[#This Row],[codigo_id]],[1]DIM_REPRESENTANTE_MEDICO!$C:$F,4,0)</f>
        <v>8</v>
      </c>
      <c r="E2606">
        <f>VLOOKUP(tblTargetMedicos[[#This Row],[codigo_id]],[1]DIM_REPRESENTANTE_MEDICO!$C:$F,3,0)</f>
        <v>9</v>
      </c>
      <c r="F2606" s="27" t="s">
        <v>5796</v>
      </c>
      <c r="G2606" s="27" t="s">
        <v>5786</v>
      </c>
      <c r="H2606" s="27" t="s">
        <v>96</v>
      </c>
      <c r="I2606">
        <v>1</v>
      </c>
    </row>
    <row r="2607" spans="1:9">
      <c r="A2607" t="s">
        <v>3022</v>
      </c>
      <c r="B2607" s="27" t="s">
        <v>3230</v>
      </c>
      <c r="C2607" s="27" t="s">
        <v>5776</v>
      </c>
      <c r="D2607">
        <f>VLOOKUP(tblTargetMedicos[[#This Row],[codigo_id]],[1]DIM_REPRESENTANTE_MEDICO!$C:$F,4,0)</f>
        <v>8</v>
      </c>
      <c r="E2607">
        <f>VLOOKUP(tblTargetMedicos[[#This Row],[codigo_id]],[1]DIM_REPRESENTANTE_MEDICO!$C:$F,3,0)</f>
        <v>9</v>
      </c>
      <c r="F2607" s="27" t="s">
        <v>5796</v>
      </c>
      <c r="G2607" s="27" t="s">
        <v>5786</v>
      </c>
      <c r="H2607" s="27" t="s">
        <v>97</v>
      </c>
      <c r="I2607">
        <v>1</v>
      </c>
    </row>
    <row r="2608" spans="1:9">
      <c r="A2608" t="s">
        <v>3023</v>
      </c>
      <c r="B2608" s="27" t="s">
        <v>3230</v>
      </c>
      <c r="C2608" s="27" t="s">
        <v>5776</v>
      </c>
      <c r="D2608">
        <f>VLOOKUP(tblTargetMedicos[[#This Row],[codigo_id]],[1]DIM_REPRESENTANTE_MEDICO!$C:$F,4,0)</f>
        <v>8</v>
      </c>
      <c r="E2608">
        <f>VLOOKUP(tblTargetMedicos[[#This Row],[codigo_id]],[1]DIM_REPRESENTANTE_MEDICO!$C:$F,3,0)</f>
        <v>9</v>
      </c>
      <c r="F2608" s="27" t="s">
        <v>5796</v>
      </c>
      <c r="G2608" s="27" t="s">
        <v>5783</v>
      </c>
      <c r="H2608" s="27" t="s">
        <v>97</v>
      </c>
      <c r="I2608">
        <v>1</v>
      </c>
    </row>
    <row r="2609" spans="1:9">
      <c r="A2609" t="s">
        <v>3024</v>
      </c>
      <c r="B2609" s="27" t="s">
        <v>3230</v>
      </c>
      <c r="C2609" s="27" t="s">
        <v>5776</v>
      </c>
      <c r="D2609">
        <f>VLOOKUP(tblTargetMedicos[[#This Row],[codigo_id]],[1]DIM_REPRESENTANTE_MEDICO!$C:$F,4,0)</f>
        <v>8</v>
      </c>
      <c r="E2609">
        <f>VLOOKUP(tblTargetMedicos[[#This Row],[codigo_id]],[1]DIM_REPRESENTANTE_MEDICO!$C:$F,3,0)</f>
        <v>9</v>
      </c>
      <c r="F2609" s="27" t="s">
        <v>5796</v>
      </c>
      <c r="G2609" s="27" t="s">
        <v>5784</v>
      </c>
      <c r="H2609" s="27" t="s">
        <v>97</v>
      </c>
      <c r="I2609">
        <v>1</v>
      </c>
    </row>
    <row r="2610" spans="1:9">
      <c r="A2610" t="s">
        <v>3025</v>
      </c>
      <c r="B2610" s="27" t="s">
        <v>3230</v>
      </c>
      <c r="C2610" s="27" t="s">
        <v>5776</v>
      </c>
      <c r="D2610">
        <f>VLOOKUP(tblTargetMedicos[[#This Row],[codigo_id]],[1]DIM_REPRESENTANTE_MEDICO!$C:$F,4,0)</f>
        <v>8</v>
      </c>
      <c r="E2610">
        <f>VLOOKUP(tblTargetMedicos[[#This Row],[codigo_id]],[1]DIM_REPRESENTANTE_MEDICO!$C:$F,3,0)</f>
        <v>9</v>
      </c>
      <c r="F2610" s="27" t="s">
        <v>5796</v>
      </c>
      <c r="G2610" s="27" t="s">
        <v>5790</v>
      </c>
      <c r="H2610" s="27" t="s">
        <v>97</v>
      </c>
      <c r="I2610">
        <v>1</v>
      </c>
    </row>
    <row r="2611" spans="1:9">
      <c r="A2611" t="s">
        <v>3026</v>
      </c>
      <c r="B2611" s="27" t="s">
        <v>3231</v>
      </c>
      <c r="C2611" s="27" t="s">
        <v>5777</v>
      </c>
      <c r="D2611">
        <f>VLOOKUP(tblTargetMedicos[[#This Row],[codigo_id]],[1]DIM_REPRESENTANTE_MEDICO!$C:$F,4,0)</f>
        <v>8</v>
      </c>
      <c r="E2611">
        <f>VLOOKUP(tblTargetMedicos[[#This Row],[codigo_id]],[1]DIM_REPRESENTANTE_MEDICO!$C:$F,3,0)</f>
        <v>8</v>
      </c>
      <c r="F2611" s="27" t="s">
        <v>5796</v>
      </c>
      <c r="G2611" s="27" t="s">
        <v>5785</v>
      </c>
      <c r="H2611" s="27" t="s">
        <v>96</v>
      </c>
      <c r="I2611">
        <v>1</v>
      </c>
    </row>
    <row r="2612" spans="1:9">
      <c r="A2612" t="s">
        <v>3027</v>
      </c>
      <c r="B2612" s="27" t="s">
        <v>3231</v>
      </c>
      <c r="C2612" s="27" t="s">
        <v>5777</v>
      </c>
      <c r="D2612">
        <f>VLOOKUP(tblTargetMedicos[[#This Row],[codigo_id]],[1]DIM_REPRESENTANTE_MEDICO!$C:$F,4,0)</f>
        <v>8</v>
      </c>
      <c r="E2612">
        <f>VLOOKUP(tblTargetMedicos[[#This Row],[codigo_id]],[1]DIM_REPRESENTANTE_MEDICO!$C:$F,3,0)</f>
        <v>8</v>
      </c>
      <c r="F2612" s="27" t="s">
        <v>5796</v>
      </c>
      <c r="G2612" s="27" t="s">
        <v>5779</v>
      </c>
      <c r="H2612" s="27" t="s">
        <v>96</v>
      </c>
      <c r="I2612">
        <v>1</v>
      </c>
    </row>
    <row r="2613" spans="1:9">
      <c r="A2613" t="s">
        <v>3028</v>
      </c>
      <c r="B2613" s="27" t="s">
        <v>3231</v>
      </c>
      <c r="C2613" s="27" t="s">
        <v>5777</v>
      </c>
      <c r="D2613">
        <f>VLOOKUP(tblTargetMedicos[[#This Row],[codigo_id]],[1]DIM_REPRESENTANTE_MEDICO!$C:$F,4,0)</f>
        <v>8</v>
      </c>
      <c r="E2613">
        <f>VLOOKUP(tblTargetMedicos[[#This Row],[codigo_id]],[1]DIM_REPRESENTANTE_MEDICO!$C:$F,3,0)</f>
        <v>8</v>
      </c>
      <c r="F2613" s="27" t="s">
        <v>5796</v>
      </c>
      <c r="G2613" s="27" t="s">
        <v>5786</v>
      </c>
      <c r="H2613" s="27" t="s">
        <v>96</v>
      </c>
      <c r="I2613">
        <v>1</v>
      </c>
    </row>
    <row r="2614" spans="1:9">
      <c r="A2614" t="s">
        <v>3029</v>
      </c>
      <c r="B2614" s="27" t="s">
        <v>3231</v>
      </c>
      <c r="C2614" s="27" t="s">
        <v>5777</v>
      </c>
      <c r="D2614">
        <f>VLOOKUP(tblTargetMedicos[[#This Row],[codigo_id]],[1]DIM_REPRESENTANTE_MEDICO!$C:$F,4,0)</f>
        <v>8</v>
      </c>
      <c r="E2614">
        <f>VLOOKUP(tblTargetMedicos[[#This Row],[codigo_id]],[1]DIM_REPRESENTANTE_MEDICO!$C:$F,3,0)</f>
        <v>8</v>
      </c>
      <c r="F2614" s="27" t="s">
        <v>5796</v>
      </c>
      <c r="G2614" s="27" t="s">
        <v>5784</v>
      </c>
      <c r="H2614" s="27" t="s">
        <v>96</v>
      </c>
      <c r="I2614">
        <v>1</v>
      </c>
    </row>
    <row r="2615" spans="1:9">
      <c r="A2615" t="s">
        <v>3030</v>
      </c>
      <c r="B2615" s="27" t="s">
        <v>3231</v>
      </c>
      <c r="C2615" s="27" t="s">
        <v>5777</v>
      </c>
      <c r="D2615">
        <f>VLOOKUP(tblTargetMedicos[[#This Row],[codigo_id]],[1]DIM_REPRESENTANTE_MEDICO!$C:$F,4,0)</f>
        <v>8</v>
      </c>
      <c r="E2615">
        <f>VLOOKUP(tblTargetMedicos[[#This Row],[codigo_id]],[1]DIM_REPRESENTANTE_MEDICO!$C:$F,3,0)</f>
        <v>8</v>
      </c>
      <c r="F2615" s="27" t="s">
        <v>5796</v>
      </c>
      <c r="G2615" s="27" t="s">
        <v>5780</v>
      </c>
      <c r="H2615" s="27" t="s">
        <v>97</v>
      </c>
      <c r="I2615">
        <v>1</v>
      </c>
    </row>
    <row r="2616" spans="1:9">
      <c r="A2616" t="s">
        <v>3031</v>
      </c>
      <c r="B2616" s="27" t="s">
        <v>3231</v>
      </c>
      <c r="C2616" s="27" t="s">
        <v>5777</v>
      </c>
      <c r="D2616">
        <f>VLOOKUP(tblTargetMedicos[[#This Row],[codigo_id]],[1]DIM_REPRESENTANTE_MEDICO!$C:$F,4,0)</f>
        <v>8</v>
      </c>
      <c r="E2616">
        <f>VLOOKUP(tblTargetMedicos[[#This Row],[codigo_id]],[1]DIM_REPRESENTANTE_MEDICO!$C:$F,3,0)</f>
        <v>8</v>
      </c>
      <c r="F2616" s="27" t="s">
        <v>5796</v>
      </c>
      <c r="G2616" s="27" t="s">
        <v>5785</v>
      </c>
      <c r="H2616" s="27" t="s">
        <v>96</v>
      </c>
      <c r="I2616">
        <v>1</v>
      </c>
    </row>
    <row r="2617" spans="1:9">
      <c r="A2617" t="s">
        <v>3032</v>
      </c>
      <c r="B2617" s="27" t="s">
        <v>3231</v>
      </c>
      <c r="C2617" s="27" t="s">
        <v>5777</v>
      </c>
      <c r="D2617">
        <f>VLOOKUP(tblTargetMedicos[[#This Row],[codigo_id]],[1]DIM_REPRESENTANTE_MEDICO!$C:$F,4,0)</f>
        <v>8</v>
      </c>
      <c r="E2617">
        <f>VLOOKUP(tblTargetMedicos[[#This Row],[codigo_id]],[1]DIM_REPRESENTANTE_MEDICO!$C:$F,3,0)</f>
        <v>8</v>
      </c>
      <c r="F2617" s="27" t="s">
        <v>5796</v>
      </c>
      <c r="G2617" s="27" t="s">
        <v>5783</v>
      </c>
      <c r="H2617" s="27" t="s">
        <v>96</v>
      </c>
      <c r="I2617">
        <v>1</v>
      </c>
    </row>
    <row r="2618" spans="1:9">
      <c r="A2618" t="s">
        <v>3033</v>
      </c>
      <c r="B2618" s="27" t="s">
        <v>3231</v>
      </c>
      <c r="C2618" s="27" t="s">
        <v>5777</v>
      </c>
      <c r="D2618">
        <f>VLOOKUP(tblTargetMedicos[[#This Row],[codigo_id]],[1]DIM_REPRESENTANTE_MEDICO!$C:$F,4,0)</f>
        <v>8</v>
      </c>
      <c r="E2618">
        <f>VLOOKUP(tblTargetMedicos[[#This Row],[codigo_id]],[1]DIM_REPRESENTANTE_MEDICO!$C:$F,3,0)</f>
        <v>8</v>
      </c>
      <c r="F2618" s="27" t="s">
        <v>5796</v>
      </c>
      <c r="G2618" s="27" t="s">
        <v>5786</v>
      </c>
      <c r="H2618" s="27" t="s">
        <v>96</v>
      </c>
      <c r="I2618">
        <v>1</v>
      </c>
    </row>
    <row r="2619" spans="1:9">
      <c r="A2619" t="s">
        <v>3034</v>
      </c>
      <c r="B2619" s="27" t="s">
        <v>3231</v>
      </c>
      <c r="C2619" s="27" t="s">
        <v>5777</v>
      </c>
      <c r="D2619">
        <f>VLOOKUP(tblTargetMedicos[[#This Row],[codigo_id]],[1]DIM_REPRESENTANTE_MEDICO!$C:$F,4,0)</f>
        <v>8</v>
      </c>
      <c r="E2619">
        <f>VLOOKUP(tblTargetMedicos[[#This Row],[codigo_id]],[1]DIM_REPRESENTANTE_MEDICO!$C:$F,3,0)</f>
        <v>8</v>
      </c>
      <c r="F2619" s="27" t="s">
        <v>5796</v>
      </c>
      <c r="G2619" s="27" t="s">
        <v>5782</v>
      </c>
      <c r="H2619" s="27" t="s">
        <v>96</v>
      </c>
      <c r="I2619">
        <v>1</v>
      </c>
    </row>
    <row r="2620" spans="1:9">
      <c r="A2620" t="s">
        <v>3035</v>
      </c>
      <c r="B2620" s="27" t="s">
        <v>3231</v>
      </c>
      <c r="C2620" s="27" t="s">
        <v>5777</v>
      </c>
      <c r="D2620">
        <f>VLOOKUP(tblTargetMedicos[[#This Row],[codigo_id]],[1]DIM_REPRESENTANTE_MEDICO!$C:$F,4,0)</f>
        <v>8</v>
      </c>
      <c r="E2620">
        <f>VLOOKUP(tblTargetMedicos[[#This Row],[codigo_id]],[1]DIM_REPRESENTANTE_MEDICO!$C:$F,3,0)</f>
        <v>8</v>
      </c>
      <c r="F2620" s="27" t="s">
        <v>5796</v>
      </c>
      <c r="G2620" s="27" t="s">
        <v>5779</v>
      </c>
      <c r="H2620" s="27" t="s">
        <v>96</v>
      </c>
      <c r="I2620">
        <v>1</v>
      </c>
    </row>
    <row r="2621" spans="1:9">
      <c r="A2621" t="s">
        <v>3036</v>
      </c>
      <c r="B2621" s="27" t="s">
        <v>3231</v>
      </c>
      <c r="C2621" s="27" t="s">
        <v>5777</v>
      </c>
      <c r="D2621">
        <f>VLOOKUP(tblTargetMedicos[[#This Row],[codigo_id]],[1]DIM_REPRESENTANTE_MEDICO!$C:$F,4,0)</f>
        <v>8</v>
      </c>
      <c r="E2621">
        <f>VLOOKUP(tblTargetMedicos[[#This Row],[codigo_id]],[1]DIM_REPRESENTANTE_MEDICO!$C:$F,3,0)</f>
        <v>8</v>
      </c>
      <c r="F2621" s="27" t="s">
        <v>5796</v>
      </c>
      <c r="G2621" s="27" t="s">
        <v>5783</v>
      </c>
      <c r="H2621" s="27" t="s">
        <v>97</v>
      </c>
      <c r="I2621">
        <v>1</v>
      </c>
    </row>
    <row r="2622" spans="1:9">
      <c r="A2622" t="s">
        <v>3037</v>
      </c>
      <c r="B2622" s="27" t="s">
        <v>3231</v>
      </c>
      <c r="C2622" s="27" t="s">
        <v>5777</v>
      </c>
      <c r="D2622">
        <f>VLOOKUP(tblTargetMedicos[[#This Row],[codigo_id]],[1]DIM_REPRESENTANTE_MEDICO!$C:$F,4,0)</f>
        <v>8</v>
      </c>
      <c r="E2622">
        <f>VLOOKUP(tblTargetMedicos[[#This Row],[codigo_id]],[1]DIM_REPRESENTANTE_MEDICO!$C:$F,3,0)</f>
        <v>8</v>
      </c>
      <c r="F2622" s="27" t="s">
        <v>5796</v>
      </c>
      <c r="G2622" s="27" t="s">
        <v>5782</v>
      </c>
      <c r="H2622" s="27" t="s">
        <v>96</v>
      </c>
      <c r="I2622">
        <v>1</v>
      </c>
    </row>
    <row r="2623" spans="1:9">
      <c r="A2623" t="s">
        <v>3038</v>
      </c>
      <c r="B2623" s="27" t="s">
        <v>3231</v>
      </c>
      <c r="C2623" s="27" t="s">
        <v>5777</v>
      </c>
      <c r="D2623">
        <f>VLOOKUP(tblTargetMedicos[[#This Row],[codigo_id]],[1]DIM_REPRESENTANTE_MEDICO!$C:$F,4,0)</f>
        <v>8</v>
      </c>
      <c r="E2623">
        <f>VLOOKUP(tblTargetMedicos[[#This Row],[codigo_id]],[1]DIM_REPRESENTANTE_MEDICO!$C:$F,3,0)</f>
        <v>8</v>
      </c>
      <c r="F2623" s="27" t="s">
        <v>5796</v>
      </c>
      <c r="G2623" s="27" t="s">
        <v>5783</v>
      </c>
      <c r="H2623" s="27" t="s">
        <v>97</v>
      </c>
      <c r="I2623">
        <v>1</v>
      </c>
    </row>
    <row r="2624" spans="1:9">
      <c r="A2624" t="s">
        <v>3039</v>
      </c>
      <c r="B2624" s="27" t="s">
        <v>3231</v>
      </c>
      <c r="C2624" s="27" t="s">
        <v>5777</v>
      </c>
      <c r="D2624">
        <f>VLOOKUP(tblTargetMedicos[[#This Row],[codigo_id]],[1]DIM_REPRESENTANTE_MEDICO!$C:$F,4,0)</f>
        <v>8</v>
      </c>
      <c r="E2624">
        <f>VLOOKUP(tblTargetMedicos[[#This Row],[codigo_id]],[1]DIM_REPRESENTANTE_MEDICO!$C:$F,3,0)</f>
        <v>8</v>
      </c>
      <c r="F2624" s="27" t="s">
        <v>5796</v>
      </c>
      <c r="G2624" s="27" t="s">
        <v>5786</v>
      </c>
      <c r="H2624" s="27" t="s">
        <v>97</v>
      </c>
      <c r="I2624">
        <v>1</v>
      </c>
    </row>
    <row r="2625" spans="1:9">
      <c r="A2625" t="s">
        <v>3040</v>
      </c>
      <c r="B2625" s="27" t="s">
        <v>3231</v>
      </c>
      <c r="C2625" s="27" t="s">
        <v>5777</v>
      </c>
      <c r="D2625">
        <f>VLOOKUP(tblTargetMedicos[[#This Row],[codigo_id]],[1]DIM_REPRESENTANTE_MEDICO!$C:$F,4,0)</f>
        <v>8</v>
      </c>
      <c r="E2625">
        <f>VLOOKUP(tblTargetMedicos[[#This Row],[codigo_id]],[1]DIM_REPRESENTANTE_MEDICO!$C:$F,3,0)</f>
        <v>8</v>
      </c>
      <c r="F2625" s="27" t="s">
        <v>5796</v>
      </c>
      <c r="G2625" s="27" t="s">
        <v>5785</v>
      </c>
      <c r="H2625" s="27" t="s">
        <v>96</v>
      </c>
      <c r="I2625">
        <v>1</v>
      </c>
    </row>
    <row r="2626" spans="1:9">
      <c r="A2626" t="s">
        <v>3041</v>
      </c>
      <c r="B2626" s="27" t="s">
        <v>3231</v>
      </c>
      <c r="C2626" s="27" t="s">
        <v>5777</v>
      </c>
      <c r="D2626">
        <f>VLOOKUP(tblTargetMedicos[[#This Row],[codigo_id]],[1]DIM_REPRESENTANTE_MEDICO!$C:$F,4,0)</f>
        <v>8</v>
      </c>
      <c r="E2626">
        <f>VLOOKUP(tblTargetMedicos[[#This Row],[codigo_id]],[1]DIM_REPRESENTANTE_MEDICO!$C:$F,3,0)</f>
        <v>8</v>
      </c>
      <c r="F2626" s="27" t="s">
        <v>5796</v>
      </c>
      <c r="G2626" s="27" t="s">
        <v>5786</v>
      </c>
      <c r="H2626" s="27" t="s">
        <v>96</v>
      </c>
      <c r="I2626">
        <v>1</v>
      </c>
    </row>
    <row r="2627" spans="1:9">
      <c r="A2627" t="s">
        <v>3042</v>
      </c>
      <c r="B2627" s="27" t="s">
        <v>3231</v>
      </c>
      <c r="C2627" s="27" t="s">
        <v>5777</v>
      </c>
      <c r="D2627">
        <f>VLOOKUP(tblTargetMedicos[[#This Row],[codigo_id]],[1]DIM_REPRESENTANTE_MEDICO!$C:$F,4,0)</f>
        <v>8</v>
      </c>
      <c r="E2627">
        <f>VLOOKUP(tblTargetMedicos[[#This Row],[codigo_id]],[1]DIM_REPRESENTANTE_MEDICO!$C:$F,3,0)</f>
        <v>8</v>
      </c>
      <c r="F2627" s="27" t="s">
        <v>5796</v>
      </c>
      <c r="G2627" s="27" t="s">
        <v>5785</v>
      </c>
      <c r="H2627" s="27" t="s">
        <v>96</v>
      </c>
      <c r="I2627">
        <v>1</v>
      </c>
    </row>
    <row r="2628" spans="1:9">
      <c r="A2628" t="s">
        <v>3043</v>
      </c>
      <c r="B2628" s="27" t="s">
        <v>3231</v>
      </c>
      <c r="C2628" s="27" t="s">
        <v>5777</v>
      </c>
      <c r="D2628">
        <f>VLOOKUP(tblTargetMedicos[[#This Row],[codigo_id]],[1]DIM_REPRESENTANTE_MEDICO!$C:$F,4,0)</f>
        <v>8</v>
      </c>
      <c r="E2628">
        <f>VLOOKUP(tblTargetMedicos[[#This Row],[codigo_id]],[1]DIM_REPRESENTANTE_MEDICO!$C:$F,3,0)</f>
        <v>8</v>
      </c>
      <c r="F2628" s="27" t="s">
        <v>5796</v>
      </c>
      <c r="G2628" s="27" t="s">
        <v>5786</v>
      </c>
      <c r="H2628" s="27" t="s">
        <v>96</v>
      </c>
      <c r="I2628">
        <v>1</v>
      </c>
    </row>
    <row r="2629" spans="1:9">
      <c r="A2629" t="s">
        <v>3044</v>
      </c>
      <c r="B2629" s="27" t="s">
        <v>3231</v>
      </c>
      <c r="C2629" s="27" t="s">
        <v>5777</v>
      </c>
      <c r="D2629">
        <f>VLOOKUP(tblTargetMedicos[[#This Row],[codigo_id]],[1]DIM_REPRESENTANTE_MEDICO!$C:$F,4,0)</f>
        <v>8</v>
      </c>
      <c r="E2629">
        <f>VLOOKUP(tblTargetMedicos[[#This Row],[codigo_id]],[1]DIM_REPRESENTANTE_MEDICO!$C:$F,3,0)</f>
        <v>8</v>
      </c>
      <c r="F2629" s="27" t="s">
        <v>5796</v>
      </c>
      <c r="G2629" s="27" t="s">
        <v>5780</v>
      </c>
      <c r="H2629" s="27" t="s">
        <v>96</v>
      </c>
      <c r="I2629">
        <v>1</v>
      </c>
    </row>
    <row r="2630" spans="1:9">
      <c r="A2630" t="s">
        <v>3045</v>
      </c>
      <c r="B2630" s="27" t="s">
        <v>3231</v>
      </c>
      <c r="C2630" s="27" t="s">
        <v>5777</v>
      </c>
      <c r="D2630">
        <f>VLOOKUP(tblTargetMedicos[[#This Row],[codigo_id]],[1]DIM_REPRESENTANTE_MEDICO!$C:$F,4,0)</f>
        <v>8</v>
      </c>
      <c r="E2630">
        <f>VLOOKUP(tblTargetMedicos[[#This Row],[codigo_id]],[1]DIM_REPRESENTANTE_MEDICO!$C:$F,3,0)</f>
        <v>8</v>
      </c>
      <c r="F2630" s="27" t="s">
        <v>5796</v>
      </c>
      <c r="G2630" s="27" t="s">
        <v>5788</v>
      </c>
      <c r="H2630" s="27" t="s">
        <v>96</v>
      </c>
      <c r="I2630">
        <v>1</v>
      </c>
    </row>
    <row r="2631" spans="1:9">
      <c r="A2631" t="s">
        <v>3046</v>
      </c>
      <c r="B2631" s="27" t="s">
        <v>3231</v>
      </c>
      <c r="C2631" s="27" t="s">
        <v>5777</v>
      </c>
      <c r="D2631">
        <f>VLOOKUP(tblTargetMedicos[[#This Row],[codigo_id]],[1]DIM_REPRESENTANTE_MEDICO!$C:$F,4,0)</f>
        <v>8</v>
      </c>
      <c r="E2631">
        <f>VLOOKUP(tblTargetMedicos[[#This Row],[codigo_id]],[1]DIM_REPRESENTANTE_MEDICO!$C:$F,3,0)</f>
        <v>8</v>
      </c>
      <c r="F2631" s="27" t="s">
        <v>5796</v>
      </c>
      <c r="G2631" s="27" t="s">
        <v>5780</v>
      </c>
      <c r="H2631" s="27" t="s">
        <v>97</v>
      </c>
      <c r="I2631">
        <v>1</v>
      </c>
    </row>
    <row r="2632" spans="1:9">
      <c r="A2632" t="s">
        <v>3047</v>
      </c>
      <c r="B2632" s="27" t="s">
        <v>3231</v>
      </c>
      <c r="C2632" s="27" t="s">
        <v>5777</v>
      </c>
      <c r="D2632">
        <f>VLOOKUP(tblTargetMedicos[[#This Row],[codigo_id]],[1]DIM_REPRESENTANTE_MEDICO!$C:$F,4,0)</f>
        <v>8</v>
      </c>
      <c r="E2632">
        <f>VLOOKUP(tblTargetMedicos[[#This Row],[codigo_id]],[1]DIM_REPRESENTANTE_MEDICO!$C:$F,3,0)</f>
        <v>8</v>
      </c>
      <c r="F2632" s="27" t="s">
        <v>5796</v>
      </c>
      <c r="G2632" s="27" t="s">
        <v>5784</v>
      </c>
      <c r="H2632" s="27" t="s">
        <v>96</v>
      </c>
      <c r="I2632">
        <v>1</v>
      </c>
    </row>
    <row r="2633" spans="1:9">
      <c r="A2633" t="s">
        <v>3048</v>
      </c>
      <c r="B2633" s="27" t="s">
        <v>3231</v>
      </c>
      <c r="C2633" s="27" t="s">
        <v>5777</v>
      </c>
      <c r="D2633">
        <f>VLOOKUP(tblTargetMedicos[[#This Row],[codigo_id]],[1]DIM_REPRESENTANTE_MEDICO!$C:$F,4,0)</f>
        <v>8</v>
      </c>
      <c r="E2633">
        <f>VLOOKUP(tblTargetMedicos[[#This Row],[codigo_id]],[1]DIM_REPRESENTANTE_MEDICO!$C:$F,3,0)</f>
        <v>8</v>
      </c>
      <c r="F2633" s="27" t="s">
        <v>5796</v>
      </c>
      <c r="G2633" s="27" t="s">
        <v>5779</v>
      </c>
      <c r="H2633" s="27" t="s">
        <v>96</v>
      </c>
      <c r="I2633">
        <v>1</v>
      </c>
    </row>
    <row r="2634" spans="1:9">
      <c r="A2634" t="s">
        <v>3049</v>
      </c>
      <c r="B2634" s="27" t="s">
        <v>3231</v>
      </c>
      <c r="C2634" s="27" t="s">
        <v>5777</v>
      </c>
      <c r="D2634">
        <f>VLOOKUP(tblTargetMedicos[[#This Row],[codigo_id]],[1]DIM_REPRESENTANTE_MEDICO!$C:$F,4,0)</f>
        <v>8</v>
      </c>
      <c r="E2634">
        <f>VLOOKUP(tblTargetMedicos[[#This Row],[codigo_id]],[1]DIM_REPRESENTANTE_MEDICO!$C:$F,3,0)</f>
        <v>8</v>
      </c>
      <c r="F2634" s="27" t="s">
        <v>5796</v>
      </c>
      <c r="G2634" s="27" t="s">
        <v>5783</v>
      </c>
      <c r="H2634" s="27" t="s">
        <v>96</v>
      </c>
      <c r="I2634">
        <v>1</v>
      </c>
    </row>
    <row r="2635" spans="1:9">
      <c r="A2635" t="s">
        <v>3050</v>
      </c>
      <c r="B2635" s="27" t="s">
        <v>3231</v>
      </c>
      <c r="C2635" s="27" t="s">
        <v>5777</v>
      </c>
      <c r="D2635">
        <f>VLOOKUP(tblTargetMedicos[[#This Row],[codigo_id]],[1]DIM_REPRESENTANTE_MEDICO!$C:$F,4,0)</f>
        <v>8</v>
      </c>
      <c r="E2635">
        <f>VLOOKUP(tblTargetMedicos[[#This Row],[codigo_id]],[1]DIM_REPRESENTANTE_MEDICO!$C:$F,3,0)</f>
        <v>8</v>
      </c>
      <c r="F2635" s="27" t="s">
        <v>5796</v>
      </c>
      <c r="G2635" s="27" t="s">
        <v>5784</v>
      </c>
      <c r="H2635" s="27" t="s">
        <v>96</v>
      </c>
      <c r="I2635">
        <v>1</v>
      </c>
    </row>
    <row r="2636" spans="1:9">
      <c r="A2636" t="s">
        <v>3051</v>
      </c>
      <c r="B2636" s="27" t="s">
        <v>3231</v>
      </c>
      <c r="C2636" s="27" t="s">
        <v>5777</v>
      </c>
      <c r="D2636">
        <f>VLOOKUP(tblTargetMedicos[[#This Row],[codigo_id]],[1]DIM_REPRESENTANTE_MEDICO!$C:$F,4,0)</f>
        <v>8</v>
      </c>
      <c r="E2636">
        <f>VLOOKUP(tblTargetMedicos[[#This Row],[codigo_id]],[1]DIM_REPRESENTANTE_MEDICO!$C:$F,3,0)</f>
        <v>8</v>
      </c>
      <c r="F2636" s="27" t="s">
        <v>5796</v>
      </c>
      <c r="G2636" s="27" t="s">
        <v>5780</v>
      </c>
      <c r="H2636" s="27" t="s">
        <v>96</v>
      </c>
      <c r="I2636">
        <v>1</v>
      </c>
    </row>
    <row r="2637" spans="1:9">
      <c r="A2637" t="s">
        <v>3052</v>
      </c>
      <c r="B2637" s="27" t="s">
        <v>3231</v>
      </c>
      <c r="C2637" s="27" t="s">
        <v>5777</v>
      </c>
      <c r="D2637">
        <f>VLOOKUP(tblTargetMedicos[[#This Row],[codigo_id]],[1]DIM_REPRESENTANTE_MEDICO!$C:$F,4,0)</f>
        <v>8</v>
      </c>
      <c r="E2637">
        <f>VLOOKUP(tblTargetMedicos[[#This Row],[codigo_id]],[1]DIM_REPRESENTANTE_MEDICO!$C:$F,3,0)</f>
        <v>8</v>
      </c>
      <c r="F2637" s="27" t="s">
        <v>5796</v>
      </c>
      <c r="G2637" s="27" t="s">
        <v>5783</v>
      </c>
      <c r="H2637" s="27" t="s">
        <v>96</v>
      </c>
      <c r="I2637">
        <v>1</v>
      </c>
    </row>
    <row r="2638" spans="1:9">
      <c r="A2638" t="s">
        <v>3053</v>
      </c>
      <c r="B2638" s="27" t="s">
        <v>3231</v>
      </c>
      <c r="C2638" s="27" t="s">
        <v>5777</v>
      </c>
      <c r="D2638">
        <f>VLOOKUP(tblTargetMedicos[[#This Row],[codigo_id]],[1]DIM_REPRESENTANTE_MEDICO!$C:$F,4,0)</f>
        <v>8</v>
      </c>
      <c r="E2638">
        <f>VLOOKUP(tblTargetMedicos[[#This Row],[codigo_id]],[1]DIM_REPRESENTANTE_MEDICO!$C:$F,3,0)</f>
        <v>8</v>
      </c>
      <c r="F2638" s="27" t="s">
        <v>5796</v>
      </c>
      <c r="G2638" s="27" t="s">
        <v>5783</v>
      </c>
      <c r="H2638" s="27" t="s">
        <v>95</v>
      </c>
      <c r="I2638">
        <v>1</v>
      </c>
    </row>
    <row r="2639" spans="1:9">
      <c r="A2639" t="s">
        <v>3054</v>
      </c>
      <c r="B2639" s="27" t="s">
        <v>3231</v>
      </c>
      <c r="C2639" s="27" t="s">
        <v>5777</v>
      </c>
      <c r="D2639">
        <f>VLOOKUP(tblTargetMedicos[[#This Row],[codigo_id]],[1]DIM_REPRESENTANTE_MEDICO!$C:$F,4,0)</f>
        <v>8</v>
      </c>
      <c r="E2639">
        <f>VLOOKUP(tblTargetMedicos[[#This Row],[codigo_id]],[1]DIM_REPRESENTANTE_MEDICO!$C:$F,3,0)</f>
        <v>8</v>
      </c>
      <c r="F2639" s="27" t="s">
        <v>5796</v>
      </c>
      <c r="G2639" s="27" t="s">
        <v>5787</v>
      </c>
      <c r="H2639" s="27" t="s">
        <v>96</v>
      </c>
      <c r="I2639">
        <v>1</v>
      </c>
    </row>
    <row r="2640" spans="1:9">
      <c r="A2640" t="s">
        <v>3055</v>
      </c>
      <c r="B2640" s="27" t="s">
        <v>3231</v>
      </c>
      <c r="C2640" s="27" t="s">
        <v>5777</v>
      </c>
      <c r="D2640">
        <f>VLOOKUP(tblTargetMedicos[[#This Row],[codigo_id]],[1]DIM_REPRESENTANTE_MEDICO!$C:$F,4,0)</f>
        <v>8</v>
      </c>
      <c r="E2640">
        <f>VLOOKUP(tblTargetMedicos[[#This Row],[codigo_id]],[1]DIM_REPRESENTANTE_MEDICO!$C:$F,3,0)</f>
        <v>8</v>
      </c>
      <c r="F2640" s="27" t="s">
        <v>5796</v>
      </c>
      <c r="G2640" s="27" t="s">
        <v>5785</v>
      </c>
      <c r="H2640" s="27" t="s">
        <v>95</v>
      </c>
      <c r="I2640">
        <v>1</v>
      </c>
    </row>
    <row r="2641" spans="1:9">
      <c r="A2641" t="s">
        <v>3056</v>
      </c>
      <c r="B2641" s="27" t="s">
        <v>3231</v>
      </c>
      <c r="C2641" s="27" t="s">
        <v>5777</v>
      </c>
      <c r="D2641">
        <f>VLOOKUP(tblTargetMedicos[[#This Row],[codigo_id]],[1]DIM_REPRESENTANTE_MEDICO!$C:$F,4,0)</f>
        <v>8</v>
      </c>
      <c r="E2641">
        <f>VLOOKUP(tblTargetMedicos[[#This Row],[codigo_id]],[1]DIM_REPRESENTANTE_MEDICO!$C:$F,3,0)</f>
        <v>8</v>
      </c>
      <c r="F2641" s="27" t="s">
        <v>5796</v>
      </c>
      <c r="G2641" s="27" t="s">
        <v>5784</v>
      </c>
      <c r="H2641" s="27" t="s">
        <v>96</v>
      </c>
      <c r="I2641">
        <v>1</v>
      </c>
    </row>
    <row r="2642" spans="1:9">
      <c r="A2642" t="s">
        <v>3057</v>
      </c>
      <c r="B2642" s="27" t="s">
        <v>3231</v>
      </c>
      <c r="C2642" s="27" t="s">
        <v>5777</v>
      </c>
      <c r="D2642">
        <f>VLOOKUP(tblTargetMedicos[[#This Row],[codigo_id]],[1]DIM_REPRESENTANTE_MEDICO!$C:$F,4,0)</f>
        <v>8</v>
      </c>
      <c r="E2642">
        <f>VLOOKUP(tblTargetMedicos[[#This Row],[codigo_id]],[1]DIM_REPRESENTANTE_MEDICO!$C:$F,3,0)</f>
        <v>8</v>
      </c>
      <c r="F2642" s="27" t="s">
        <v>5796</v>
      </c>
      <c r="G2642" s="27" t="s">
        <v>5784</v>
      </c>
      <c r="H2642" s="27" t="s">
        <v>96</v>
      </c>
      <c r="I2642">
        <v>1</v>
      </c>
    </row>
    <row r="2643" spans="1:9">
      <c r="A2643" t="s">
        <v>3058</v>
      </c>
      <c r="B2643" s="27" t="s">
        <v>3231</v>
      </c>
      <c r="C2643" s="27" t="s">
        <v>5777</v>
      </c>
      <c r="D2643">
        <f>VLOOKUP(tblTargetMedicos[[#This Row],[codigo_id]],[1]DIM_REPRESENTANTE_MEDICO!$C:$F,4,0)</f>
        <v>8</v>
      </c>
      <c r="E2643">
        <f>VLOOKUP(tblTargetMedicos[[#This Row],[codigo_id]],[1]DIM_REPRESENTANTE_MEDICO!$C:$F,3,0)</f>
        <v>8</v>
      </c>
      <c r="F2643" s="27" t="s">
        <v>5796</v>
      </c>
      <c r="G2643" s="27" t="s">
        <v>5787</v>
      </c>
      <c r="H2643" s="27" t="s">
        <v>96</v>
      </c>
      <c r="I2643">
        <v>1</v>
      </c>
    </row>
    <row r="2644" spans="1:9">
      <c r="A2644" t="s">
        <v>3059</v>
      </c>
      <c r="B2644" s="27" t="s">
        <v>3231</v>
      </c>
      <c r="C2644" s="27" t="s">
        <v>5777</v>
      </c>
      <c r="D2644">
        <f>VLOOKUP(tblTargetMedicos[[#This Row],[codigo_id]],[1]DIM_REPRESENTANTE_MEDICO!$C:$F,4,0)</f>
        <v>8</v>
      </c>
      <c r="E2644">
        <f>VLOOKUP(tblTargetMedicos[[#This Row],[codigo_id]],[1]DIM_REPRESENTANTE_MEDICO!$C:$F,3,0)</f>
        <v>8</v>
      </c>
      <c r="F2644" s="27" t="s">
        <v>5796</v>
      </c>
      <c r="G2644" s="27" t="s">
        <v>5785</v>
      </c>
      <c r="H2644" s="27" t="s">
        <v>97</v>
      </c>
      <c r="I2644">
        <v>1</v>
      </c>
    </row>
    <row r="2645" spans="1:9">
      <c r="A2645" t="s">
        <v>3060</v>
      </c>
      <c r="B2645" s="27" t="s">
        <v>3231</v>
      </c>
      <c r="C2645" s="27" t="s">
        <v>5777</v>
      </c>
      <c r="D2645">
        <f>VLOOKUP(tblTargetMedicos[[#This Row],[codigo_id]],[1]DIM_REPRESENTANTE_MEDICO!$C:$F,4,0)</f>
        <v>8</v>
      </c>
      <c r="E2645">
        <f>VLOOKUP(tblTargetMedicos[[#This Row],[codigo_id]],[1]DIM_REPRESENTANTE_MEDICO!$C:$F,3,0)</f>
        <v>8</v>
      </c>
      <c r="F2645" s="27" t="s">
        <v>5796</v>
      </c>
      <c r="G2645" s="27" t="s">
        <v>5784</v>
      </c>
      <c r="H2645" s="27" t="s">
        <v>97</v>
      </c>
      <c r="I2645">
        <v>1</v>
      </c>
    </row>
    <row r="2646" spans="1:9">
      <c r="A2646" t="s">
        <v>3061</v>
      </c>
      <c r="B2646" s="27" t="s">
        <v>3231</v>
      </c>
      <c r="C2646" s="27" t="s">
        <v>5777</v>
      </c>
      <c r="D2646">
        <f>VLOOKUP(tblTargetMedicos[[#This Row],[codigo_id]],[1]DIM_REPRESENTANTE_MEDICO!$C:$F,4,0)</f>
        <v>8</v>
      </c>
      <c r="E2646">
        <f>VLOOKUP(tblTargetMedicos[[#This Row],[codigo_id]],[1]DIM_REPRESENTANTE_MEDICO!$C:$F,3,0)</f>
        <v>8</v>
      </c>
      <c r="F2646" s="27" t="s">
        <v>5796</v>
      </c>
      <c r="G2646" s="27" t="s">
        <v>5782</v>
      </c>
      <c r="H2646" s="27" t="s">
        <v>97</v>
      </c>
      <c r="I2646">
        <v>1</v>
      </c>
    </row>
    <row r="2647" spans="1:9">
      <c r="A2647" t="s">
        <v>3062</v>
      </c>
      <c r="B2647" s="27" t="s">
        <v>3231</v>
      </c>
      <c r="C2647" s="27" t="s">
        <v>5777</v>
      </c>
      <c r="D2647">
        <f>VLOOKUP(tblTargetMedicos[[#This Row],[codigo_id]],[1]DIM_REPRESENTANTE_MEDICO!$C:$F,4,0)</f>
        <v>8</v>
      </c>
      <c r="E2647">
        <f>VLOOKUP(tblTargetMedicos[[#This Row],[codigo_id]],[1]DIM_REPRESENTANTE_MEDICO!$C:$F,3,0)</f>
        <v>8</v>
      </c>
      <c r="F2647" s="27" t="s">
        <v>5796</v>
      </c>
      <c r="G2647" s="27" t="s">
        <v>5784</v>
      </c>
      <c r="H2647" s="27" t="s">
        <v>95</v>
      </c>
      <c r="I2647">
        <v>1</v>
      </c>
    </row>
    <row r="2648" spans="1:9">
      <c r="A2648" t="s">
        <v>3063</v>
      </c>
      <c r="B2648" s="27" t="s">
        <v>3231</v>
      </c>
      <c r="C2648" s="27" t="s">
        <v>5777</v>
      </c>
      <c r="D2648">
        <f>VLOOKUP(tblTargetMedicos[[#This Row],[codigo_id]],[1]DIM_REPRESENTANTE_MEDICO!$C:$F,4,0)</f>
        <v>8</v>
      </c>
      <c r="E2648">
        <f>VLOOKUP(tblTargetMedicos[[#This Row],[codigo_id]],[1]DIM_REPRESENTANTE_MEDICO!$C:$F,3,0)</f>
        <v>8</v>
      </c>
      <c r="F2648" s="27" t="s">
        <v>5796</v>
      </c>
      <c r="G2648" s="27" t="s">
        <v>5785</v>
      </c>
      <c r="H2648" s="27" t="s">
        <v>96</v>
      </c>
      <c r="I2648">
        <v>1</v>
      </c>
    </row>
    <row r="2649" spans="1:9">
      <c r="A2649" t="s">
        <v>3064</v>
      </c>
      <c r="B2649" s="27" t="s">
        <v>3231</v>
      </c>
      <c r="C2649" s="27" t="s">
        <v>5777</v>
      </c>
      <c r="D2649">
        <f>VLOOKUP(tblTargetMedicos[[#This Row],[codigo_id]],[1]DIM_REPRESENTANTE_MEDICO!$C:$F,4,0)</f>
        <v>8</v>
      </c>
      <c r="E2649">
        <f>VLOOKUP(tblTargetMedicos[[#This Row],[codigo_id]],[1]DIM_REPRESENTANTE_MEDICO!$C:$F,3,0)</f>
        <v>8</v>
      </c>
      <c r="F2649" s="27" t="s">
        <v>5796</v>
      </c>
      <c r="G2649" s="27" t="s">
        <v>5783</v>
      </c>
      <c r="H2649" s="27" t="s">
        <v>96</v>
      </c>
      <c r="I2649">
        <v>1</v>
      </c>
    </row>
    <row r="2650" spans="1:9">
      <c r="A2650" t="s">
        <v>3065</v>
      </c>
      <c r="B2650" s="27" t="s">
        <v>3231</v>
      </c>
      <c r="C2650" s="27" t="s">
        <v>5777</v>
      </c>
      <c r="D2650">
        <f>VLOOKUP(tblTargetMedicos[[#This Row],[codigo_id]],[1]DIM_REPRESENTANTE_MEDICO!$C:$F,4,0)</f>
        <v>8</v>
      </c>
      <c r="E2650">
        <f>VLOOKUP(tblTargetMedicos[[#This Row],[codigo_id]],[1]DIM_REPRESENTANTE_MEDICO!$C:$F,3,0)</f>
        <v>8</v>
      </c>
      <c r="F2650" s="27" t="s">
        <v>5796</v>
      </c>
      <c r="G2650" s="27" t="s">
        <v>5784</v>
      </c>
      <c r="H2650" s="27" t="s">
        <v>95</v>
      </c>
      <c r="I2650">
        <v>1</v>
      </c>
    </row>
    <row r="2651" spans="1:9">
      <c r="A2651" t="s">
        <v>3066</v>
      </c>
      <c r="B2651" s="27" t="s">
        <v>3231</v>
      </c>
      <c r="C2651" s="27" t="s">
        <v>5777</v>
      </c>
      <c r="D2651">
        <f>VLOOKUP(tblTargetMedicos[[#This Row],[codigo_id]],[1]DIM_REPRESENTANTE_MEDICO!$C:$F,4,0)</f>
        <v>8</v>
      </c>
      <c r="E2651">
        <f>VLOOKUP(tblTargetMedicos[[#This Row],[codigo_id]],[1]DIM_REPRESENTANTE_MEDICO!$C:$F,3,0)</f>
        <v>8</v>
      </c>
      <c r="F2651" s="27" t="s">
        <v>5796</v>
      </c>
      <c r="G2651" s="27" t="s">
        <v>5784</v>
      </c>
      <c r="H2651" s="27" t="s">
        <v>97</v>
      </c>
      <c r="I2651">
        <v>1</v>
      </c>
    </row>
    <row r="2652" spans="1:9">
      <c r="A2652" t="s">
        <v>3067</v>
      </c>
      <c r="B2652" s="27" t="s">
        <v>3231</v>
      </c>
      <c r="C2652" s="27" t="s">
        <v>5777</v>
      </c>
      <c r="D2652">
        <f>VLOOKUP(tblTargetMedicos[[#This Row],[codigo_id]],[1]DIM_REPRESENTANTE_MEDICO!$C:$F,4,0)</f>
        <v>8</v>
      </c>
      <c r="E2652">
        <f>VLOOKUP(tblTargetMedicos[[#This Row],[codigo_id]],[1]DIM_REPRESENTANTE_MEDICO!$C:$F,3,0)</f>
        <v>8</v>
      </c>
      <c r="F2652" s="27" t="s">
        <v>5796</v>
      </c>
      <c r="G2652" s="27" t="s">
        <v>5783</v>
      </c>
      <c r="H2652" s="27" t="s">
        <v>96</v>
      </c>
      <c r="I2652">
        <v>1</v>
      </c>
    </row>
    <row r="2653" spans="1:9">
      <c r="A2653" t="s">
        <v>3068</v>
      </c>
      <c r="B2653" s="27" t="s">
        <v>3231</v>
      </c>
      <c r="C2653" s="27" t="s">
        <v>5777</v>
      </c>
      <c r="D2653">
        <f>VLOOKUP(tblTargetMedicos[[#This Row],[codigo_id]],[1]DIM_REPRESENTANTE_MEDICO!$C:$F,4,0)</f>
        <v>8</v>
      </c>
      <c r="E2653">
        <f>VLOOKUP(tblTargetMedicos[[#This Row],[codigo_id]],[1]DIM_REPRESENTANTE_MEDICO!$C:$F,3,0)</f>
        <v>8</v>
      </c>
      <c r="F2653" s="27" t="s">
        <v>5796</v>
      </c>
      <c r="G2653" s="27" t="s">
        <v>5783</v>
      </c>
      <c r="H2653" s="27" t="s">
        <v>96</v>
      </c>
      <c r="I2653">
        <v>1</v>
      </c>
    </row>
    <row r="2654" spans="1:9">
      <c r="A2654" t="s">
        <v>3069</v>
      </c>
      <c r="B2654" s="27" t="s">
        <v>3231</v>
      </c>
      <c r="C2654" s="27" t="s">
        <v>5777</v>
      </c>
      <c r="D2654">
        <f>VLOOKUP(tblTargetMedicos[[#This Row],[codigo_id]],[1]DIM_REPRESENTANTE_MEDICO!$C:$F,4,0)</f>
        <v>8</v>
      </c>
      <c r="E2654">
        <f>VLOOKUP(tblTargetMedicos[[#This Row],[codigo_id]],[1]DIM_REPRESENTANTE_MEDICO!$C:$F,3,0)</f>
        <v>8</v>
      </c>
      <c r="F2654" s="27" t="s">
        <v>5796</v>
      </c>
      <c r="G2654" s="27" t="s">
        <v>5783</v>
      </c>
      <c r="H2654" s="27" t="s">
        <v>96</v>
      </c>
      <c r="I2654">
        <v>1</v>
      </c>
    </row>
    <row r="2655" spans="1:9">
      <c r="A2655" t="s">
        <v>3070</v>
      </c>
      <c r="B2655" s="27" t="s">
        <v>3231</v>
      </c>
      <c r="C2655" s="27" t="s">
        <v>5777</v>
      </c>
      <c r="D2655">
        <f>VLOOKUP(tblTargetMedicos[[#This Row],[codigo_id]],[1]DIM_REPRESENTANTE_MEDICO!$C:$F,4,0)</f>
        <v>8</v>
      </c>
      <c r="E2655">
        <f>VLOOKUP(tblTargetMedicos[[#This Row],[codigo_id]],[1]DIM_REPRESENTANTE_MEDICO!$C:$F,3,0)</f>
        <v>8</v>
      </c>
      <c r="F2655" s="27" t="s">
        <v>5796</v>
      </c>
      <c r="G2655" s="27" t="s">
        <v>5783</v>
      </c>
      <c r="H2655" s="27" t="s">
        <v>97</v>
      </c>
      <c r="I2655">
        <v>1</v>
      </c>
    </row>
    <row r="2656" spans="1:9">
      <c r="A2656" t="s">
        <v>3071</v>
      </c>
      <c r="B2656" s="27" t="s">
        <v>3231</v>
      </c>
      <c r="C2656" s="27" t="s">
        <v>5777</v>
      </c>
      <c r="D2656">
        <f>VLOOKUP(tblTargetMedicos[[#This Row],[codigo_id]],[1]DIM_REPRESENTANTE_MEDICO!$C:$F,4,0)</f>
        <v>8</v>
      </c>
      <c r="E2656">
        <f>VLOOKUP(tblTargetMedicos[[#This Row],[codigo_id]],[1]DIM_REPRESENTANTE_MEDICO!$C:$F,3,0)</f>
        <v>8</v>
      </c>
      <c r="F2656" s="27" t="s">
        <v>5796</v>
      </c>
      <c r="G2656" s="27" t="s">
        <v>5784</v>
      </c>
      <c r="H2656" s="27" t="s">
        <v>96</v>
      </c>
      <c r="I2656">
        <v>1</v>
      </c>
    </row>
    <row r="2657" spans="1:9">
      <c r="A2657" t="s">
        <v>3072</v>
      </c>
      <c r="B2657" s="27" t="s">
        <v>3231</v>
      </c>
      <c r="C2657" s="27" t="s">
        <v>5777</v>
      </c>
      <c r="D2657">
        <f>VLOOKUP(tblTargetMedicos[[#This Row],[codigo_id]],[1]DIM_REPRESENTANTE_MEDICO!$C:$F,4,0)</f>
        <v>8</v>
      </c>
      <c r="E2657">
        <f>VLOOKUP(tblTargetMedicos[[#This Row],[codigo_id]],[1]DIM_REPRESENTANTE_MEDICO!$C:$F,3,0)</f>
        <v>8</v>
      </c>
      <c r="F2657" s="27" t="s">
        <v>5796</v>
      </c>
      <c r="G2657" s="27" t="s">
        <v>5785</v>
      </c>
      <c r="H2657" s="27" t="s">
        <v>96</v>
      </c>
      <c r="I2657">
        <v>1</v>
      </c>
    </row>
    <row r="2658" spans="1:9">
      <c r="A2658" t="s">
        <v>3073</v>
      </c>
      <c r="B2658" s="27" t="s">
        <v>3231</v>
      </c>
      <c r="C2658" s="27" t="s">
        <v>5777</v>
      </c>
      <c r="D2658">
        <f>VLOOKUP(tblTargetMedicos[[#This Row],[codigo_id]],[1]DIM_REPRESENTANTE_MEDICO!$C:$F,4,0)</f>
        <v>8</v>
      </c>
      <c r="E2658">
        <f>VLOOKUP(tblTargetMedicos[[#This Row],[codigo_id]],[1]DIM_REPRESENTANTE_MEDICO!$C:$F,3,0)</f>
        <v>8</v>
      </c>
      <c r="F2658" s="27" t="s">
        <v>5796</v>
      </c>
      <c r="G2658" s="27" t="s">
        <v>5783</v>
      </c>
      <c r="H2658" s="27" t="s">
        <v>96</v>
      </c>
      <c r="I2658">
        <v>1</v>
      </c>
    </row>
    <row r="2659" spans="1:9">
      <c r="A2659" t="s">
        <v>3074</v>
      </c>
      <c r="B2659" s="27" t="s">
        <v>3231</v>
      </c>
      <c r="C2659" s="27" t="s">
        <v>5777</v>
      </c>
      <c r="D2659">
        <f>VLOOKUP(tblTargetMedicos[[#This Row],[codigo_id]],[1]DIM_REPRESENTANTE_MEDICO!$C:$F,4,0)</f>
        <v>8</v>
      </c>
      <c r="E2659">
        <f>VLOOKUP(tblTargetMedicos[[#This Row],[codigo_id]],[1]DIM_REPRESENTANTE_MEDICO!$C:$F,3,0)</f>
        <v>8</v>
      </c>
      <c r="F2659" s="27" t="s">
        <v>5796</v>
      </c>
      <c r="G2659" s="27" t="s">
        <v>5782</v>
      </c>
      <c r="H2659" s="27" t="s">
        <v>96</v>
      </c>
      <c r="I2659">
        <v>1</v>
      </c>
    </row>
    <row r="2660" spans="1:9">
      <c r="A2660" t="s">
        <v>3075</v>
      </c>
      <c r="B2660" s="27" t="s">
        <v>3231</v>
      </c>
      <c r="C2660" s="27" t="s">
        <v>5777</v>
      </c>
      <c r="D2660">
        <f>VLOOKUP(tblTargetMedicos[[#This Row],[codigo_id]],[1]DIM_REPRESENTANTE_MEDICO!$C:$F,4,0)</f>
        <v>8</v>
      </c>
      <c r="E2660">
        <f>VLOOKUP(tblTargetMedicos[[#This Row],[codigo_id]],[1]DIM_REPRESENTANTE_MEDICO!$C:$F,3,0)</f>
        <v>8</v>
      </c>
      <c r="F2660" s="27" t="s">
        <v>5796</v>
      </c>
      <c r="G2660" s="27" t="s">
        <v>5780</v>
      </c>
      <c r="H2660" s="27" t="s">
        <v>97</v>
      </c>
      <c r="I2660">
        <v>1</v>
      </c>
    </row>
    <row r="2661" spans="1:9">
      <c r="A2661" t="s">
        <v>3076</v>
      </c>
      <c r="B2661" s="27" t="s">
        <v>3231</v>
      </c>
      <c r="C2661" s="27" t="s">
        <v>5777</v>
      </c>
      <c r="D2661">
        <f>VLOOKUP(tblTargetMedicos[[#This Row],[codigo_id]],[1]DIM_REPRESENTANTE_MEDICO!$C:$F,4,0)</f>
        <v>8</v>
      </c>
      <c r="E2661">
        <f>VLOOKUP(tblTargetMedicos[[#This Row],[codigo_id]],[1]DIM_REPRESENTANTE_MEDICO!$C:$F,3,0)</f>
        <v>8</v>
      </c>
      <c r="F2661" s="27" t="s">
        <v>5796</v>
      </c>
      <c r="G2661" s="27" t="s">
        <v>5786</v>
      </c>
      <c r="H2661" s="27" t="s">
        <v>96</v>
      </c>
      <c r="I2661">
        <v>1</v>
      </c>
    </row>
    <row r="2662" spans="1:9">
      <c r="A2662" t="s">
        <v>3077</v>
      </c>
      <c r="B2662" s="27" t="s">
        <v>3231</v>
      </c>
      <c r="C2662" s="27" t="s">
        <v>5777</v>
      </c>
      <c r="D2662">
        <f>VLOOKUP(tblTargetMedicos[[#This Row],[codigo_id]],[1]DIM_REPRESENTANTE_MEDICO!$C:$F,4,0)</f>
        <v>8</v>
      </c>
      <c r="E2662">
        <f>VLOOKUP(tblTargetMedicos[[#This Row],[codigo_id]],[1]DIM_REPRESENTANTE_MEDICO!$C:$F,3,0)</f>
        <v>8</v>
      </c>
      <c r="F2662" s="27" t="s">
        <v>5796</v>
      </c>
      <c r="G2662" s="27" t="s">
        <v>5783</v>
      </c>
      <c r="H2662" s="27" t="s">
        <v>96</v>
      </c>
      <c r="I2662">
        <v>1</v>
      </c>
    </row>
    <row r="2663" spans="1:9">
      <c r="A2663" t="s">
        <v>3078</v>
      </c>
      <c r="B2663" s="27" t="s">
        <v>3231</v>
      </c>
      <c r="C2663" s="27" t="s">
        <v>5777</v>
      </c>
      <c r="D2663">
        <f>VLOOKUP(tblTargetMedicos[[#This Row],[codigo_id]],[1]DIM_REPRESENTANTE_MEDICO!$C:$F,4,0)</f>
        <v>8</v>
      </c>
      <c r="E2663">
        <f>VLOOKUP(tblTargetMedicos[[#This Row],[codigo_id]],[1]DIM_REPRESENTANTE_MEDICO!$C:$F,3,0)</f>
        <v>8</v>
      </c>
      <c r="F2663" s="27" t="s">
        <v>5796</v>
      </c>
      <c r="G2663" s="27" t="s">
        <v>5783</v>
      </c>
      <c r="H2663" s="27" t="s">
        <v>96</v>
      </c>
      <c r="I2663">
        <v>1</v>
      </c>
    </row>
    <row r="2664" spans="1:9">
      <c r="A2664" t="s">
        <v>3079</v>
      </c>
      <c r="B2664" s="27" t="s">
        <v>3231</v>
      </c>
      <c r="C2664" s="27" t="s">
        <v>5777</v>
      </c>
      <c r="D2664">
        <f>VLOOKUP(tblTargetMedicos[[#This Row],[codigo_id]],[1]DIM_REPRESENTANTE_MEDICO!$C:$F,4,0)</f>
        <v>8</v>
      </c>
      <c r="E2664">
        <f>VLOOKUP(tblTargetMedicos[[#This Row],[codigo_id]],[1]DIM_REPRESENTANTE_MEDICO!$C:$F,3,0)</f>
        <v>8</v>
      </c>
      <c r="F2664" s="27" t="s">
        <v>5796</v>
      </c>
      <c r="G2664" s="27" t="s">
        <v>5784</v>
      </c>
      <c r="H2664" s="27" t="s">
        <v>96</v>
      </c>
      <c r="I2664">
        <v>1</v>
      </c>
    </row>
    <row r="2665" spans="1:9">
      <c r="A2665" t="s">
        <v>3080</v>
      </c>
      <c r="B2665" s="27" t="s">
        <v>3231</v>
      </c>
      <c r="C2665" s="27" t="s">
        <v>5777</v>
      </c>
      <c r="D2665">
        <f>VLOOKUP(tblTargetMedicos[[#This Row],[codigo_id]],[1]DIM_REPRESENTANTE_MEDICO!$C:$F,4,0)</f>
        <v>8</v>
      </c>
      <c r="E2665">
        <f>VLOOKUP(tblTargetMedicos[[#This Row],[codigo_id]],[1]DIM_REPRESENTANTE_MEDICO!$C:$F,3,0)</f>
        <v>8</v>
      </c>
      <c r="F2665" s="27" t="s">
        <v>5796</v>
      </c>
      <c r="G2665" s="27" t="s">
        <v>5783</v>
      </c>
      <c r="H2665" s="27" t="s">
        <v>96</v>
      </c>
      <c r="I2665">
        <v>1</v>
      </c>
    </row>
    <row r="2666" spans="1:9">
      <c r="A2666" t="s">
        <v>3081</v>
      </c>
      <c r="B2666" s="27" t="s">
        <v>3231</v>
      </c>
      <c r="C2666" s="27" t="s">
        <v>5777</v>
      </c>
      <c r="D2666">
        <f>VLOOKUP(tblTargetMedicos[[#This Row],[codigo_id]],[1]DIM_REPRESENTANTE_MEDICO!$C:$F,4,0)</f>
        <v>8</v>
      </c>
      <c r="E2666">
        <f>VLOOKUP(tblTargetMedicos[[#This Row],[codigo_id]],[1]DIM_REPRESENTANTE_MEDICO!$C:$F,3,0)</f>
        <v>8</v>
      </c>
      <c r="F2666" s="27" t="s">
        <v>5796</v>
      </c>
      <c r="G2666" s="27" t="s">
        <v>5784</v>
      </c>
      <c r="H2666" s="27" t="s">
        <v>96</v>
      </c>
      <c r="I2666">
        <v>1</v>
      </c>
    </row>
    <row r="2667" spans="1:9">
      <c r="A2667" t="s">
        <v>3082</v>
      </c>
      <c r="B2667" s="27" t="s">
        <v>3231</v>
      </c>
      <c r="C2667" s="27" t="s">
        <v>5777</v>
      </c>
      <c r="D2667">
        <f>VLOOKUP(tblTargetMedicos[[#This Row],[codigo_id]],[1]DIM_REPRESENTANTE_MEDICO!$C:$F,4,0)</f>
        <v>8</v>
      </c>
      <c r="E2667">
        <f>VLOOKUP(tblTargetMedicos[[#This Row],[codigo_id]],[1]DIM_REPRESENTANTE_MEDICO!$C:$F,3,0)</f>
        <v>8</v>
      </c>
      <c r="F2667" s="27" t="s">
        <v>5796</v>
      </c>
      <c r="G2667" s="27" t="s">
        <v>5783</v>
      </c>
      <c r="H2667" s="27" t="s">
        <v>97</v>
      </c>
      <c r="I2667">
        <v>1</v>
      </c>
    </row>
    <row r="2668" spans="1:9">
      <c r="A2668" t="s">
        <v>3083</v>
      </c>
      <c r="B2668" s="27" t="s">
        <v>3231</v>
      </c>
      <c r="C2668" s="27" t="s">
        <v>5777</v>
      </c>
      <c r="D2668">
        <f>VLOOKUP(tblTargetMedicos[[#This Row],[codigo_id]],[1]DIM_REPRESENTANTE_MEDICO!$C:$F,4,0)</f>
        <v>8</v>
      </c>
      <c r="E2668">
        <f>VLOOKUP(tblTargetMedicos[[#This Row],[codigo_id]],[1]DIM_REPRESENTANTE_MEDICO!$C:$F,3,0)</f>
        <v>8</v>
      </c>
      <c r="F2668" s="27" t="s">
        <v>5796</v>
      </c>
      <c r="G2668" s="27" t="s">
        <v>5784</v>
      </c>
      <c r="H2668" s="27" t="s">
        <v>97</v>
      </c>
      <c r="I2668">
        <v>1</v>
      </c>
    </row>
    <row r="2669" spans="1:9">
      <c r="A2669" t="s">
        <v>3084</v>
      </c>
      <c r="B2669" s="27" t="s">
        <v>3231</v>
      </c>
      <c r="C2669" s="27" t="s">
        <v>5777</v>
      </c>
      <c r="D2669">
        <f>VLOOKUP(tblTargetMedicos[[#This Row],[codigo_id]],[1]DIM_REPRESENTANTE_MEDICO!$C:$F,4,0)</f>
        <v>8</v>
      </c>
      <c r="E2669">
        <f>VLOOKUP(tblTargetMedicos[[#This Row],[codigo_id]],[1]DIM_REPRESENTANTE_MEDICO!$C:$F,3,0)</f>
        <v>8</v>
      </c>
      <c r="F2669" s="27" t="s">
        <v>5796</v>
      </c>
      <c r="G2669" s="27" t="s">
        <v>5784</v>
      </c>
      <c r="H2669" s="27" t="s">
        <v>96</v>
      </c>
      <c r="I2669">
        <v>1</v>
      </c>
    </row>
    <row r="2670" spans="1:9">
      <c r="A2670" t="s">
        <v>3085</v>
      </c>
      <c r="B2670" s="27" t="s">
        <v>3231</v>
      </c>
      <c r="C2670" s="27" t="s">
        <v>5777</v>
      </c>
      <c r="D2670">
        <f>VLOOKUP(tblTargetMedicos[[#This Row],[codigo_id]],[1]DIM_REPRESENTANTE_MEDICO!$C:$F,4,0)</f>
        <v>8</v>
      </c>
      <c r="E2670">
        <f>VLOOKUP(tblTargetMedicos[[#This Row],[codigo_id]],[1]DIM_REPRESENTANTE_MEDICO!$C:$F,3,0)</f>
        <v>8</v>
      </c>
      <c r="F2670" s="27" t="s">
        <v>5796</v>
      </c>
      <c r="G2670" s="27" t="s">
        <v>5783</v>
      </c>
      <c r="H2670" s="27" t="s">
        <v>96</v>
      </c>
      <c r="I2670">
        <v>1</v>
      </c>
    </row>
    <row r="2671" spans="1:9">
      <c r="A2671" t="s">
        <v>3086</v>
      </c>
      <c r="B2671" s="27" t="s">
        <v>3231</v>
      </c>
      <c r="C2671" s="27" t="s">
        <v>5777</v>
      </c>
      <c r="D2671">
        <f>VLOOKUP(tblTargetMedicos[[#This Row],[codigo_id]],[1]DIM_REPRESENTANTE_MEDICO!$C:$F,4,0)</f>
        <v>8</v>
      </c>
      <c r="E2671">
        <f>VLOOKUP(tblTargetMedicos[[#This Row],[codigo_id]],[1]DIM_REPRESENTANTE_MEDICO!$C:$F,3,0)</f>
        <v>8</v>
      </c>
      <c r="F2671" s="27" t="s">
        <v>5796</v>
      </c>
      <c r="G2671" s="27" t="s">
        <v>5786</v>
      </c>
      <c r="H2671" s="27" t="s">
        <v>97</v>
      </c>
      <c r="I2671">
        <v>1</v>
      </c>
    </row>
    <row r="2672" spans="1:9">
      <c r="A2672" t="s">
        <v>3087</v>
      </c>
      <c r="B2672" s="27" t="s">
        <v>3231</v>
      </c>
      <c r="C2672" s="27" t="s">
        <v>5777</v>
      </c>
      <c r="D2672">
        <f>VLOOKUP(tblTargetMedicos[[#This Row],[codigo_id]],[1]DIM_REPRESENTANTE_MEDICO!$C:$F,4,0)</f>
        <v>8</v>
      </c>
      <c r="E2672">
        <f>VLOOKUP(tblTargetMedicos[[#This Row],[codigo_id]],[1]DIM_REPRESENTANTE_MEDICO!$C:$F,3,0)</f>
        <v>8</v>
      </c>
      <c r="F2672" s="27" t="s">
        <v>5796</v>
      </c>
      <c r="G2672" s="27" t="s">
        <v>5785</v>
      </c>
      <c r="H2672" s="27" t="s">
        <v>96</v>
      </c>
      <c r="I2672">
        <v>1</v>
      </c>
    </row>
    <row r="2673" spans="1:9">
      <c r="A2673" t="s">
        <v>3088</v>
      </c>
      <c r="B2673" s="27" t="s">
        <v>3231</v>
      </c>
      <c r="C2673" s="27" t="s">
        <v>5777</v>
      </c>
      <c r="D2673">
        <f>VLOOKUP(tblTargetMedicos[[#This Row],[codigo_id]],[1]DIM_REPRESENTANTE_MEDICO!$C:$F,4,0)</f>
        <v>8</v>
      </c>
      <c r="E2673">
        <f>VLOOKUP(tblTargetMedicos[[#This Row],[codigo_id]],[1]DIM_REPRESENTANTE_MEDICO!$C:$F,3,0)</f>
        <v>8</v>
      </c>
      <c r="F2673" s="27" t="s">
        <v>5796</v>
      </c>
      <c r="G2673" s="27" t="s">
        <v>5784</v>
      </c>
      <c r="H2673" s="27" t="s">
        <v>96</v>
      </c>
      <c r="I2673">
        <v>1</v>
      </c>
    </row>
    <row r="2674" spans="1:9">
      <c r="A2674" t="s">
        <v>3089</v>
      </c>
      <c r="B2674" s="27" t="s">
        <v>3231</v>
      </c>
      <c r="C2674" s="27" t="s">
        <v>5777</v>
      </c>
      <c r="D2674">
        <f>VLOOKUP(tblTargetMedicos[[#This Row],[codigo_id]],[1]DIM_REPRESENTANTE_MEDICO!$C:$F,4,0)</f>
        <v>8</v>
      </c>
      <c r="E2674">
        <f>VLOOKUP(tblTargetMedicos[[#This Row],[codigo_id]],[1]DIM_REPRESENTANTE_MEDICO!$C:$F,3,0)</f>
        <v>8</v>
      </c>
      <c r="F2674" s="27" t="s">
        <v>5796</v>
      </c>
      <c r="G2674" s="27" t="s">
        <v>5783</v>
      </c>
      <c r="H2674" s="27" t="s">
        <v>96</v>
      </c>
      <c r="I2674">
        <v>1</v>
      </c>
    </row>
    <row r="2675" spans="1:9">
      <c r="A2675" t="s">
        <v>3090</v>
      </c>
      <c r="B2675" s="27" t="s">
        <v>3231</v>
      </c>
      <c r="C2675" s="27" t="s">
        <v>5777</v>
      </c>
      <c r="D2675">
        <f>VLOOKUP(tblTargetMedicos[[#This Row],[codigo_id]],[1]DIM_REPRESENTANTE_MEDICO!$C:$F,4,0)</f>
        <v>8</v>
      </c>
      <c r="E2675">
        <f>VLOOKUP(tblTargetMedicos[[#This Row],[codigo_id]],[1]DIM_REPRESENTANTE_MEDICO!$C:$F,3,0)</f>
        <v>8</v>
      </c>
      <c r="F2675" s="27" t="s">
        <v>5796</v>
      </c>
      <c r="G2675" s="27" t="s">
        <v>5783</v>
      </c>
      <c r="H2675" s="27" t="s">
        <v>96</v>
      </c>
      <c r="I2675">
        <v>1</v>
      </c>
    </row>
    <row r="2676" spans="1:9">
      <c r="A2676" t="s">
        <v>3091</v>
      </c>
      <c r="B2676" s="27" t="s">
        <v>3231</v>
      </c>
      <c r="C2676" s="27" t="s">
        <v>5777</v>
      </c>
      <c r="D2676">
        <f>VLOOKUP(tblTargetMedicos[[#This Row],[codigo_id]],[1]DIM_REPRESENTANTE_MEDICO!$C:$F,4,0)</f>
        <v>8</v>
      </c>
      <c r="E2676">
        <f>VLOOKUP(tblTargetMedicos[[#This Row],[codigo_id]],[1]DIM_REPRESENTANTE_MEDICO!$C:$F,3,0)</f>
        <v>8</v>
      </c>
      <c r="F2676" s="27" t="s">
        <v>5796</v>
      </c>
      <c r="G2676" s="27" t="s">
        <v>5786</v>
      </c>
      <c r="H2676" s="27" t="s">
        <v>96</v>
      </c>
      <c r="I2676">
        <v>1</v>
      </c>
    </row>
    <row r="2677" spans="1:9">
      <c r="A2677" t="s">
        <v>3092</v>
      </c>
      <c r="B2677" s="27" t="s">
        <v>3231</v>
      </c>
      <c r="C2677" s="27" t="s">
        <v>5777</v>
      </c>
      <c r="D2677">
        <f>VLOOKUP(tblTargetMedicos[[#This Row],[codigo_id]],[1]DIM_REPRESENTANTE_MEDICO!$C:$F,4,0)</f>
        <v>8</v>
      </c>
      <c r="E2677">
        <f>VLOOKUP(tblTargetMedicos[[#This Row],[codigo_id]],[1]DIM_REPRESENTANTE_MEDICO!$C:$F,3,0)</f>
        <v>8</v>
      </c>
      <c r="F2677" s="27" t="s">
        <v>5796</v>
      </c>
      <c r="G2677" s="27" t="s">
        <v>5786</v>
      </c>
      <c r="H2677" s="27" t="s">
        <v>96</v>
      </c>
      <c r="I2677">
        <v>1</v>
      </c>
    </row>
    <row r="2678" spans="1:9">
      <c r="A2678" t="s">
        <v>3093</v>
      </c>
      <c r="B2678" s="27" t="s">
        <v>3231</v>
      </c>
      <c r="C2678" s="27" t="s">
        <v>5777</v>
      </c>
      <c r="D2678">
        <f>VLOOKUP(tblTargetMedicos[[#This Row],[codigo_id]],[1]DIM_REPRESENTANTE_MEDICO!$C:$F,4,0)</f>
        <v>8</v>
      </c>
      <c r="E2678">
        <f>VLOOKUP(tblTargetMedicos[[#This Row],[codigo_id]],[1]DIM_REPRESENTANTE_MEDICO!$C:$F,3,0)</f>
        <v>8</v>
      </c>
      <c r="F2678" s="27" t="s">
        <v>5796</v>
      </c>
      <c r="G2678" s="27" t="s">
        <v>5784</v>
      </c>
      <c r="H2678" s="27" t="s">
        <v>96</v>
      </c>
      <c r="I2678">
        <v>1</v>
      </c>
    </row>
    <row r="2679" spans="1:9">
      <c r="A2679" t="s">
        <v>3094</v>
      </c>
      <c r="B2679" s="27" t="s">
        <v>3231</v>
      </c>
      <c r="C2679" s="27" t="s">
        <v>5777</v>
      </c>
      <c r="D2679">
        <f>VLOOKUP(tblTargetMedicos[[#This Row],[codigo_id]],[1]DIM_REPRESENTANTE_MEDICO!$C:$F,4,0)</f>
        <v>8</v>
      </c>
      <c r="E2679">
        <f>VLOOKUP(tblTargetMedicos[[#This Row],[codigo_id]],[1]DIM_REPRESENTANTE_MEDICO!$C:$F,3,0)</f>
        <v>8</v>
      </c>
      <c r="F2679" s="27" t="s">
        <v>5796</v>
      </c>
      <c r="G2679" s="27" t="s">
        <v>5784</v>
      </c>
      <c r="H2679" s="27" t="s">
        <v>96</v>
      </c>
      <c r="I2679">
        <v>1</v>
      </c>
    </row>
    <row r="2680" spans="1:9">
      <c r="A2680" t="s">
        <v>3095</v>
      </c>
      <c r="B2680" s="27" t="s">
        <v>3231</v>
      </c>
      <c r="C2680" s="27" t="s">
        <v>5777</v>
      </c>
      <c r="D2680">
        <f>VLOOKUP(tblTargetMedicos[[#This Row],[codigo_id]],[1]DIM_REPRESENTANTE_MEDICO!$C:$F,4,0)</f>
        <v>8</v>
      </c>
      <c r="E2680">
        <f>VLOOKUP(tblTargetMedicos[[#This Row],[codigo_id]],[1]DIM_REPRESENTANTE_MEDICO!$C:$F,3,0)</f>
        <v>8</v>
      </c>
      <c r="F2680" s="27" t="s">
        <v>5796</v>
      </c>
      <c r="G2680" s="27" t="s">
        <v>5783</v>
      </c>
      <c r="H2680" s="27" t="s">
        <v>96</v>
      </c>
      <c r="I2680">
        <v>1</v>
      </c>
    </row>
    <row r="2681" spans="1:9">
      <c r="A2681" t="s">
        <v>3096</v>
      </c>
      <c r="B2681" s="27" t="s">
        <v>3231</v>
      </c>
      <c r="C2681" s="27" t="s">
        <v>5777</v>
      </c>
      <c r="D2681">
        <f>VLOOKUP(tblTargetMedicos[[#This Row],[codigo_id]],[1]DIM_REPRESENTANTE_MEDICO!$C:$F,4,0)</f>
        <v>8</v>
      </c>
      <c r="E2681">
        <f>VLOOKUP(tblTargetMedicos[[#This Row],[codigo_id]],[1]DIM_REPRESENTANTE_MEDICO!$C:$F,3,0)</f>
        <v>8</v>
      </c>
      <c r="F2681" s="27" t="s">
        <v>5796</v>
      </c>
      <c r="G2681" s="27" t="s">
        <v>5779</v>
      </c>
      <c r="H2681" s="27" t="s">
        <v>96</v>
      </c>
      <c r="I2681">
        <v>1</v>
      </c>
    </row>
    <row r="2682" spans="1:9">
      <c r="A2682" t="s">
        <v>3097</v>
      </c>
      <c r="B2682" s="27" t="s">
        <v>3231</v>
      </c>
      <c r="C2682" s="27" t="s">
        <v>5777</v>
      </c>
      <c r="D2682">
        <f>VLOOKUP(tblTargetMedicos[[#This Row],[codigo_id]],[1]DIM_REPRESENTANTE_MEDICO!$C:$F,4,0)</f>
        <v>8</v>
      </c>
      <c r="E2682">
        <f>VLOOKUP(tblTargetMedicos[[#This Row],[codigo_id]],[1]DIM_REPRESENTANTE_MEDICO!$C:$F,3,0)</f>
        <v>8</v>
      </c>
      <c r="F2682" s="27" t="s">
        <v>5796</v>
      </c>
      <c r="G2682" s="27" t="s">
        <v>5782</v>
      </c>
      <c r="H2682" s="27" t="s">
        <v>97</v>
      </c>
      <c r="I2682">
        <v>1</v>
      </c>
    </row>
    <row r="2683" spans="1:9">
      <c r="A2683" t="s">
        <v>3098</v>
      </c>
      <c r="B2683" s="27" t="s">
        <v>3231</v>
      </c>
      <c r="C2683" s="27" t="s">
        <v>5777</v>
      </c>
      <c r="D2683">
        <f>VLOOKUP(tblTargetMedicos[[#This Row],[codigo_id]],[1]DIM_REPRESENTANTE_MEDICO!$C:$F,4,0)</f>
        <v>8</v>
      </c>
      <c r="E2683">
        <f>VLOOKUP(tblTargetMedicos[[#This Row],[codigo_id]],[1]DIM_REPRESENTANTE_MEDICO!$C:$F,3,0)</f>
        <v>8</v>
      </c>
      <c r="F2683" s="27" t="s">
        <v>5796</v>
      </c>
      <c r="G2683" s="27" t="s">
        <v>5785</v>
      </c>
      <c r="H2683" s="27" t="s">
        <v>95</v>
      </c>
      <c r="I2683">
        <v>1</v>
      </c>
    </row>
    <row r="2684" spans="1:9">
      <c r="A2684" t="s">
        <v>3099</v>
      </c>
      <c r="B2684" s="27" t="s">
        <v>3231</v>
      </c>
      <c r="C2684" s="27" t="s">
        <v>5777</v>
      </c>
      <c r="D2684">
        <f>VLOOKUP(tblTargetMedicos[[#This Row],[codigo_id]],[1]DIM_REPRESENTANTE_MEDICO!$C:$F,4,0)</f>
        <v>8</v>
      </c>
      <c r="E2684">
        <f>VLOOKUP(tblTargetMedicos[[#This Row],[codigo_id]],[1]DIM_REPRESENTANTE_MEDICO!$C:$F,3,0)</f>
        <v>8</v>
      </c>
      <c r="F2684" s="27" t="s">
        <v>5796</v>
      </c>
      <c r="G2684" s="27" t="s">
        <v>5786</v>
      </c>
      <c r="H2684" s="27" t="s">
        <v>96</v>
      </c>
      <c r="I2684">
        <v>1</v>
      </c>
    </row>
    <row r="2685" spans="1:9">
      <c r="A2685" t="s">
        <v>3100</v>
      </c>
      <c r="B2685" s="27" t="s">
        <v>3231</v>
      </c>
      <c r="C2685" s="27" t="s">
        <v>5777</v>
      </c>
      <c r="D2685">
        <f>VLOOKUP(tblTargetMedicos[[#This Row],[codigo_id]],[1]DIM_REPRESENTANTE_MEDICO!$C:$F,4,0)</f>
        <v>8</v>
      </c>
      <c r="E2685">
        <f>VLOOKUP(tblTargetMedicos[[#This Row],[codigo_id]],[1]DIM_REPRESENTANTE_MEDICO!$C:$F,3,0)</f>
        <v>8</v>
      </c>
      <c r="F2685" s="27" t="s">
        <v>5796</v>
      </c>
      <c r="G2685" s="27" t="s">
        <v>5783</v>
      </c>
      <c r="H2685" s="27" t="s">
        <v>96</v>
      </c>
      <c r="I2685">
        <v>1</v>
      </c>
    </row>
    <row r="2686" spans="1:9">
      <c r="A2686" t="s">
        <v>3101</v>
      </c>
      <c r="B2686" s="27" t="s">
        <v>3231</v>
      </c>
      <c r="C2686" s="27" t="s">
        <v>5777</v>
      </c>
      <c r="D2686">
        <f>VLOOKUP(tblTargetMedicos[[#This Row],[codigo_id]],[1]DIM_REPRESENTANTE_MEDICO!$C:$F,4,0)</f>
        <v>8</v>
      </c>
      <c r="E2686">
        <f>VLOOKUP(tblTargetMedicos[[#This Row],[codigo_id]],[1]DIM_REPRESENTANTE_MEDICO!$C:$F,3,0)</f>
        <v>8</v>
      </c>
      <c r="F2686" s="27" t="s">
        <v>5796</v>
      </c>
      <c r="G2686" s="27" t="s">
        <v>5780</v>
      </c>
      <c r="H2686" s="27" t="s">
        <v>96</v>
      </c>
      <c r="I2686">
        <v>1</v>
      </c>
    </row>
    <row r="2687" spans="1:9">
      <c r="A2687" t="s">
        <v>3102</v>
      </c>
      <c r="B2687" s="27" t="s">
        <v>3231</v>
      </c>
      <c r="C2687" s="27" t="s">
        <v>5777</v>
      </c>
      <c r="D2687">
        <f>VLOOKUP(tblTargetMedicos[[#This Row],[codigo_id]],[1]DIM_REPRESENTANTE_MEDICO!$C:$F,4,0)</f>
        <v>8</v>
      </c>
      <c r="E2687">
        <f>VLOOKUP(tblTargetMedicos[[#This Row],[codigo_id]],[1]DIM_REPRESENTANTE_MEDICO!$C:$F,3,0)</f>
        <v>8</v>
      </c>
      <c r="F2687" s="27" t="s">
        <v>5796</v>
      </c>
      <c r="G2687" s="27" t="s">
        <v>5786</v>
      </c>
      <c r="H2687" s="27" t="s">
        <v>96</v>
      </c>
      <c r="I2687">
        <v>1</v>
      </c>
    </row>
    <row r="2688" spans="1:9">
      <c r="A2688" t="s">
        <v>3103</v>
      </c>
      <c r="B2688" s="27" t="s">
        <v>3231</v>
      </c>
      <c r="C2688" s="27" t="s">
        <v>5777</v>
      </c>
      <c r="D2688">
        <f>VLOOKUP(tblTargetMedicos[[#This Row],[codigo_id]],[1]DIM_REPRESENTANTE_MEDICO!$C:$F,4,0)</f>
        <v>8</v>
      </c>
      <c r="E2688">
        <f>VLOOKUP(tblTargetMedicos[[#This Row],[codigo_id]],[1]DIM_REPRESENTANTE_MEDICO!$C:$F,3,0)</f>
        <v>8</v>
      </c>
      <c r="F2688" s="27" t="s">
        <v>5796</v>
      </c>
      <c r="G2688" s="27" t="s">
        <v>5785</v>
      </c>
      <c r="H2688" s="27" t="s">
        <v>96</v>
      </c>
      <c r="I2688">
        <v>1</v>
      </c>
    </row>
    <row r="2689" spans="1:9">
      <c r="A2689" t="s">
        <v>3104</v>
      </c>
      <c r="B2689" s="27" t="s">
        <v>3231</v>
      </c>
      <c r="C2689" s="27" t="s">
        <v>5777</v>
      </c>
      <c r="D2689">
        <f>VLOOKUP(tblTargetMedicos[[#This Row],[codigo_id]],[1]DIM_REPRESENTANTE_MEDICO!$C:$F,4,0)</f>
        <v>8</v>
      </c>
      <c r="E2689">
        <f>VLOOKUP(tblTargetMedicos[[#This Row],[codigo_id]],[1]DIM_REPRESENTANTE_MEDICO!$C:$F,3,0)</f>
        <v>8</v>
      </c>
      <c r="F2689" s="27" t="s">
        <v>5796</v>
      </c>
      <c r="G2689" s="27" t="s">
        <v>5784</v>
      </c>
      <c r="H2689" s="27" t="s">
        <v>96</v>
      </c>
      <c r="I2689">
        <v>1</v>
      </c>
    </row>
    <row r="2690" spans="1:9">
      <c r="A2690" t="s">
        <v>3105</v>
      </c>
      <c r="B2690" s="27" t="s">
        <v>3231</v>
      </c>
      <c r="C2690" s="27" t="s">
        <v>5777</v>
      </c>
      <c r="D2690">
        <f>VLOOKUP(tblTargetMedicos[[#This Row],[codigo_id]],[1]DIM_REPRESENTANTE_MEDICO!$C:$F,4,0)</f>
        <v>8</v>
      </c>
      <c r="E2690">
        <f>VLOOKUP(tblTargetMedicos[[#This Row],[codigo_id]],[1]DIM_REPRESENTANTE_MEDICO!$C:$F,3,0)</f>
        <v>8</v>
      </c>
      <c r="F2690" s="27" t="s">
        <v>5796</v>
      </c>
      <c r="G2690" s="27" t="s">
        <v>5786</v>
      </c>
      <c r="H2690" s="27" t="s">
        <v>97</v>
      </c>
      <c r="I2690">
        <v>1</v>
      </c>
    </row>
    <row r="2691" spans="1:9">
      <c r="A2691" t="s">
        <v>3106</v>
      </c>
      <c r="B2691" s="27" t="s">
        <v>3231</v>
      </c>
      <c r="C2691" s="27" t="s">
        <v>5777</v>
      </c>
      <c r="D2691">
        <f>VLOOKUP(tblTargetMedicos[[#This Row],[codigo_id]],[1]DIM_REPRESENTANTE_MEDICO!$C:$F,4,0)</f>
        <v>8</v>
      </c>
      <c r="E2691">
        <f>VLOOKUP(tblTargetMedicos[[#This Row],[codigo_id]],[1]DIM_REPRESENTANTE_MEDICO!$C:$F,3,0)</f>
        <v>8</v>
      </c>
      <c r="F2691" s="27" t="s">
        <v>5796</v>
      </c>
      <c r="G2691" s="27" t="s">
        <v>5784</v>
      </c>
      <c r="H2691" s="27" t="s">
        <v>96</v>
      </c>
      <c r="I2691">
        <v>1</v>
      </c>
    </row>
    <row r="2692" spans="1:9">
      <c r="A2692" t="s">
        <v>3107</v>
      </c>
      <c r="B2692" s="27" t="s">
        <v>3231</v>
      </c>
      <c r="C2692" s="27" t="s">
        <v>5777</v>
      </c>
      <c r="D2692">
        <f>VLOOKUP(tblTargetMedicos[[#This Row],[codigo_id]],[1]DIM_REPRESENTANTE_MEDICO!$C:$F,4,0)</f>
        <v>8</v>
      </c>
      <c r="E2692">
        <f>VLOOKUP(tblTargetMedicos[[#This Row],[codigo_id]],[1]DIM_REPRESENTANTE_MEDICO!$C:$F,3,0)</f>
        <v>8</v>
      </c>
      <c r="F2692" s="27" t="s">
        <v>5796</v>
      </c>
      <c r="G2692" s="27" t="s">
        <v>5783</v>
      </c>
      <c r="H2692" s="27" t="s">
        <v>97</v>
      </c>
      <c r="I2692">
        <v>1</v>
      </c>
    </row>
    <row r="2693" spans="1:9">
      <c r="A2693" t="s">
        <v>3108</v>
      </c>
      <c r="B2693" s="27" t="s">
        <v>3231</v>
      </c>
      <c r="C2693" s="27" t="s">
        <v>5777</v>
      </c>
      <c r="D2693">
        <f>VLOOKUP(tblTargetMedicos[[#This Row],[codigo_id]],[1]DIM_REPRESENTANTE_MEDICO!$C:$F,4,0)</f>
        <v>8</v>
      </c>
      <c r="E2693">
        <f>VLOOKUP(tblTargetMedicos[[#This Row],[codigo_id]],[1]DIM_REPRESENTANTE_MEDICO!$C:$F,3,0)</f>
        <v>8</v>
      </c>
      <c r="F2693" s="27" t="s">
        <v>5796</v>
      </c>
      <c r="G2693" s="27" t="s">
        <v>5783</v>
      </c>
      <c r="H2693" s="27" t="s">
        <v>96</v>
      </c>
      <c r="I2693">
        <v>1</v>
      </c>
    </row>
    <row r="2694" spans="1:9">
      <c r="A2694" t="s">
        <v>3109</v>
      </c>
      <c r="B2694" s="27" t="s">
        <v>3231</v>
      </c>
      <c r="C2694" s="27" t="s">
        <v>5777</v>
      </c>
      <c r="D2694">
        <f>VLOOKUP(tblTargetMedicos[[#This Row],[codigo_id]],[1]DIM_REPRESENTANTE_MEDICO!$C:$F,4,0)</f>
        <v>8</v>
      </c>
      <c r="E2694">
        <f>VLOOKUP(tblTargetMedicos[[#This Row],[codigo_id]],[1]DIM_REPRESENTANTE_MEDICO!$C:$F,3,0)</f>
        <v>8</v>
      </c>
      <c r="F2694" s="27" t="s">
        <v>5796</v>
      </c>
      <c r="G2694" s="27" t="s">
        <v>5784</v>
      </c>
      <c r="H2694" s="27" t="s">
        <v>96</v>
      </c>
      <c r="I2694">
        <v>1</v>
      </c>
    </row>
    <row r="2695" spans="1:9">
      <c r="A2695" t="s">
        <v>3110</v>
      </c>
      <c r="B2695" s="27" t="s">
        <v>3231</v>
      </c>
      <c r="C2695" s="27" t="s">
        <v>5777</v>
      </c>
      <c r="D2695">
        <f>VLOOKUP(tblTargetMedicos[[#This Row],[codigo_id]],[1]DIM_REPRESENTANTE_MEDICO!$C:$F,4,0)</f>
        <v>8</v>
      </c>
      <c r="E2695">
        <f>VLOOKUP(tblTargetMedicos[[#This Row],[codigo_id]],[1]DIM_REPRESENTANTE_MEDICO!$C:$F,3,0)</f>
        <v>8</v>
      </c>
      <c r="F2695" s="27" t="s">
        <v>5796</v>
      </c>
      <c r="G2695" s="27" t="s">
        <v>5779</v>
      </c>
      <c r="H2695" s="27" t="s">
        <v>96</v>
      </c>
      <c r="I2695">
        <v>1</v>
      </c>
    </row>
    <row r="2696" spans="1:9">
      <c r="A2696" t="s">
        <v>3111</v>
      </c>
      <c r="B2696" s="27" t="s">
        <v>3231</v>
      </c>
      <c r="C2696" s="27" t="s">
        <v>5777</v>
      </c>
      <c r="D2696">
        <f>VLOOKUP(tblTargetMedicos[[#This Row],[codigo_id]],[1]DIM_REPRESENTANTE_MEDICO!$C:$F,4,0)</f>
        <v>8</v>
      </c>
      <c r="E2696">
        <f>VLOOKUP(tblTargetMedicos[[#This Row],[codigo_id]],[1]DIM_REPRESENTANTE_MEDICO!$C:$F,3,0)</f>
        <v>8</v>
      </c>
      <c r="F2696" s="27" t="s">
        <v>5796</v>
      </c>
      <c r="G2696" s="27" t="s">
        <v>5784</v>
      </c>
      <c r="H2696" s="27" t="s">
        <v>96</v>
      </c>
      <c r="I2696">
        <v>1</v>
      </c>
    </row>
    <row r="2697" spans="1:9">
      <c r="A2697" t="s">
        <v>3112</v>
      </c>
      <c r="B2697" s="27" t="s">
        <v>3231</v>
      </c>
      <c r="C2697" s="27" t="s">
        <v>5777</v>
      </c>
      <c r="D2697">
        <f>VLOOKUP(tblTargetMedicos[[#This Row],[codigo_id]],[1]DIM_REPRESENTANTE_MEDICO!$C:$F,4,0)</f>
        <v>8</v>
      </c>
      <c r="E2697">
        <f>VLOOKUP(tblTargetMedicos[[#This Row],[codigo_id]],[1]DIM_REPRESENTANTE_MEDICO!$C:$F,3,0)</f>
        <v>8</v>
      </c>
      <c r="F2697" s="27" t="s">
        <v>5796</v>
      </c>
      <c r="G2697" s="27" t="s">
        <v>5784</v>
      </c>
      <c r="H2697" s="27" t="s">
        <v>96</v>
      </c>
      <c r="I2697">
        <v>1</v>
      </c>
    </row>
    <row r="2698" spans="1:9">
      <c r="A2698" t="s">
        <v>3113</v>
      </c>
      <c r="B2698" s="27" t="s">
        <v>3231</v>
      </c>
      <c r="C2698" s="27" t="s">
        <v>5777</v>
      </c>
      <c r="D2698">
        <f>VLOOKUP(tblTargetMedicos[[#This Row],[codigo_id]],[1]DIM_REPRESENTANTE_MEDICO!$C:$F,4,0)</f>
        <v>8</v>
      </c>
      <c r="E2698">
        <f>VLOOKUP(tblTargetMedicos[[#This Row],[codigo_id]],[1]DIM_REPRESENTANTE_MEDICO!$C:$F,3,0)</f>
        <v>8</v>
      </c>
      <c r="F2698" s="27" t="s">
        <v>5796</v>
      </c>
      <c r="G2698" s="27" t="s">
        <v>5784</v>
      </c>
      <c r="H2698" s="27" t="s">
        <v>95</v>
      </c>
      <c r="I2698">
        <v>1</v>
      </c>
    </row>
    <row r="2699" spans="1:9">
      <c r="A2699" t="s">
        <v>3114</v>
      </c>
      <c r="B2699" s="27" t="s">
        <v>3231</v>
      </c>
      <c r="C2699" s="27" t="s">
        <v>5777</v>
      </c>
      <c r="D2699">
        <f>VLOOKUP(tblTargetMedicos[[#This Row],[codigo_id]],[1]DIM_REPRESENTANTE_MEDICO!$C:$F,4,0)</f>
        <v>8</v>
      </c>
      <c r="E2699">
        <f>VLOOKUP(tblTargetMedicos[[#This Row],[codigo_id]],[1]DIM_REPRESENTANTE_MEDICO!$C:$F,3,0)</f>
        <v>8</v>
      </c>
      <c r="F2699" s="27" t="s">
        <v>5796</v>
      </c>
      <c r="G2699" s="27" t="s">
        <v>5784</v>
      </c>
      <c r="H2699" s="27" t="s">
        <v>96</v>
      </c>
      <c r="I2699">
        <v>1</v>
      </c>
    </row>
    <row r="2700" spans="1:9">
      <c r="A2700" t="s">
        <v>3115</v>
      </c>
      <c r="B2700" s="27" t="s">
        <v>3231</v>
      </c>
      <c r="C2700" s="27" t="s">
        <v>5777</v>
      </c>
      <c r="D2700">
        <f>VLOOKUP(tblTargetMedicos[[#This Row],[codigo_id]],[1]DIM_REPRESENTANTE_MEDICO!$C:$F,4,0)</f>
        <v>8</v>
      </c>
      <c r="E2700">
        <f>VLOOKUP(tblTargetMedicos[[#This Row],[codigo_id]],[1]DIM_REPRESENTANTE_MEDICO!$C:$F,3,0)</f>
        <v>8</v>
      </c>
      <c r="F2700" s="27" t="s">
        <v>5796</v>
      </c>
      <c r="G2700" s="27" t="s">
        <v>5784</v>
      </c>
      <c r="H2700" s="27" t="s">
        <v>96</v>
      </c>
      <c r="I2700">
        <v>1</v>
      </c>
    </row>
    <row r="2701" spans="1:9">
      <c r="A2701" t="s">
        <v>3116</v>
      </c>
      <c r="B2701" s="27" t="s">
        <v>3231</v>
      </c>
      <c r="C2701" s="27" t="s">
        <v>5777</v>
      </c>
      <c r="D2701">
        <f>VLOOKUP(tblTargetMedicos[[#This Row],[codigo_id]],[1]DIM_REPRESENTANTE_MEDICO!$C:$F,4,0)</f>
        <v>8</v>
      </c>
      <c r="E2701">
        <f>VLOOKUP(tblTargetMedicos[[#This Row],[codigo_id]],[1]DIM_REPRESENTANTE_MEDICO!$C:$F,3,0)</f>
        <v>8</v>
      </c>
      <c r="F2701" s="27" t="s">
        <v>5796</v>
      </c>
      <c r="G2701" s="27" t="s">
        <v>5782</v>
      </c>
      <c r="H2701" s="27" t="s">
        <v>96</v>
      </c>
      <c r="I2701">
        <v>1</v>
      </c>
    </row>
    <row r="2702" spans="1:9">
      <c r="A2702" t="s">
        <v>3117</v>
      </c>
      <c r="B2702" s="27" t="s">
        <v>3231</v>
      </c>
      <c r="C2702" s="27" t="s">
        <v>5777</v>
      </c>
      <c r="D2702">
        <f>VLOOKUP(tblTargetMedicos[[#This Row],[codigo_id]],[1]DIM_REPRESENTANTE_MEDICO!$C:$F,4,0)</f>
        <v>8</v>
      </c>
      <c r="E2702">
        <f>VLOOKUP(tblTargetMedicos[[#This Row],[codigo_id]],[1]DIM_REPRESENTANTE_MEDICO!$C:$F,3,0)</f>
        <v>8</v>
      </c>
      <c r="F2702" s="27" t="s">
        <v>5796</v>
      </c>
      <c r="G2702" s="27" t="s">
        <v>5783</v>
      </c>
      <c r="H2702" s="27" t="s">
        <v>96</v>
      </c>
      <c r="I2702">
        <v>1</v>
      </c>
    </row>
    <row r="2703" spans="1:9">
      <c r="A2703" t="s">
        <v>3118</v>
      </c>
      <c r="B2703" s="27" t="s">
        <v>3231</v>
      </c>
      <c r="C2703" s="27" t="s">
        <v>5777</v>
      </c>
      <c r="D2703">
        <f>VLOOKUP(tblTargetMedicos[[#This Row],[codigo_id]],[1]DIM_REPRESENTANTE_MEDICO!$C:$F,4,0)</f>
        <v>8</v>
      </c>
      <c r="E2703">
        <f>VLOOKUP(tblTargetMedicos[[#This Row],[codigo_id]],[1]DIM_REPRESENTANTE_MEDICO!$C:$F,3,0)</f>
        <v>8</v>
      </c>
      <c r="F2703" s="27" t="s">
        <v>5796</v>
      </c>
      <c r="G2703" s="27" t="s">
        <v>5786</v>
      </c>
      <c r="H2703" s="27" t="s">
        <v>96</v>
      </c>
      <c r="I2703">
        <v>1</v>
      </c>
    </row>
    <row r="2704" spans="1:9">
      <c r="A2704" t="s">
        <v>3119</v>
      </c>
      <c r="B2704" s="27" t="s">
        <v>3231</v>
      </c>
      <c r="C2704" s="27" t="s">
        <v>5777</v>
      </c>
      <c r="D2704">
        <f>VLOOKUP(tblTargetMedicos[[#This Row],[codigo_id]],[1]DIM_REPRESENTANTE_MEDICO!$C:$F,4,0)</f>
        <v>8</v>
      </c>
      <c r="E2704">
        <f>VLOOKUP(tblTargetMedicos[[#This Row],[codigo_id]],[1]DIM_REPRESENTANTE_MEDICO!$C:$F,3,0)</f>
        <v>8</v>
      </c>
      <c r="F2704" s="27" t="s">
        <v>5796</v>
      </c>
      <c r="G2704" s="27" t="s">
        <v>5786</v>
      </c>
      <c r="H2704" s="27" t="s">
        <v>96</v>
      </c>
      <c r="I2704">
        <v>1</v>
      </c>
    </row>
    <row r="2705" spans="1:9">
      <c r="A2705" t="s">
        <v>3120</v>
      </c>
      <c r="B2705" s="27" t="s">
        <v>3231</v>
      </c>
      <c r="C2705" s="27" t="s">
        <v>5777</v>
      </c>
      <c r="D2705">
        <f>VLOOKUP(tblTargetMedicos[[#This Row],[codigo_id]],[1]DIM_REPRESENTANTE_MEDICO!$C:$F,4,0)</f>
        <v>8</v>
      </c>
      <c r="E2705">
        <f>VLOOKUP(tblTargetMedicos[[#This Row],[codigo_id]],[1]DIM_REPRESENTANTE_MEDICO!$C:$F,3,0)</f>
        <v>8</v>
      </c>
      <c r="F2705" s="27" t="s">
        <v>5796</v>
      </c>
      <c r="G2705" s="27" t="s">
        <v>5784</v>
      </c>
      <c r="H2705" s="27" t="s">
        <v>95</v>
      </c>
      <c r="I2705">
        <v>1</v>
      </c>
    </row>
    <row r="2706" spans="1:9">
      <c r="A2706" t="s">
        <v>3121</v>
      </c>
      <c r="B2706" s="27" t="s">
        <v>3231</v>
      </c>
      <c r="C2706" s="27" t="s">
        <v>5777</v>
      </c>
      <c r="D2706">
        <f>VLOOKUP(tblTargetMedicos[[#This Row],[codigo_id]],[1]DIM_REPRESENTANTE_MEDICO!$C:$F,4,0)</f>
        <v>8</v>
      </c>
      <c r="E2706">
        <f>VLOOKUP(tblTargetMedicos[[#This Row],[codigo_id]],[1]DIM_REPRESENTANTE_MEDICO!$C:$F,3,0)</f>
        <v>8</v>
      </c>
      <c r="F2706" s="27" t="s">
        <v>5796</v>
      </c>
      <c r="G2706" s="27" t="s">
        <v>5784</v>
      </c>
      <c r="H2706" s="27" t="s">
        <v>96</v>
      </c>
      <c r="I2706">
        <v>1</v>
      </c>
    </row>
    <row r="2707" spans="1:9">
      <c r="A2707" t="s">
        <v>3122</v>
      </c>
      <c r="B2707" s="27" t="s">
        <v>3231</v>
      </c>
      <c r="C2707" s="27" t="s">
        <v>5777</v>
      </c>
      <c r="D2707">
        <f>VLOOKUP(tblTargetMedicos[[#This Row],[codigo_id]],[1]DIM_REPRESENTANTE_MEDICO!$C:$F,4,0)</f>
        <v>8</v>
      </c>
      <c r="E2707">
        <f>VLOOKUP(tblTargetMedicos[[#This Row],[codigo_id]],[1]DIM_REPRESENTANTE_MEDICO!$C:$F,3,0)</f>
        <v>8</v>
      </c>
      <c r="F2707" s="27" t="s">
        <v>5796</v>
      </c>
      <c r="G2707" s="27" t="s">
        <v>5779</v>
      </c>
      <c r="H2707" s="27" t="s">
        <v>95</v>
      </c>
      <c r="I2707">
        <v>1</v>
      </c>
    </row>
    <row r="2708" spans="1:9">
      <c r="A2708" t="s">
        <v>3123</v>
      </c>
      <c r="B2708" s="27" t="s">
        <v>3231</v>
      </c>
      <c r="C2708" s="27" t="s">
        <v>5777</v>
      </c>
      <c r="D2708">
        <f>VLOOKUP(tblTargetMedicos[[#This Row],[codigo_id]],[1]DIM_REPRESENTANTE_MEDICO!$C:$F,4,0)</f>
        <v>8</v>
      </c>
      <c r="E2708">
        <f>VLOOKUP(tblTargetMedicos[[#This Row],[codigo_id]],[1]DIM_REPRESENTANTE_MEDICO!$C:$F,3,0)</f>
        <v>8</v>
      </c>
      <c r="F2708" s="27" t="s">
        <v>5796</v>
      </c>
      <c r="G2708" s="27" t="s">
        <v>5779</v>
      </c>
      <c r="H2708" s="27" t="s">
        <v>96</v>
      </c>
      <c r="I2708">
        <v>1</v>
      </c>
    </row>
    <row r="2709" spans="1:9">
      <c r="A2709" t="s">
        <v>3124</v>
      </c>
      <c r="B2709" s="27" t="s">
        <v>3231</v>
      </c>
      <c r="C2709" s="27" t="s">
        <v>5777</v>
      </c>
      <c r="D2709">
        <f>VLOOKUP(tblTargetMedicos[[#This Row],[codigo_id]],[1]DIM_REPRESENTANTE_MEDICO!$C:$F,4,0)</f>
        <v>8</v>
      </c>
      <c r="E2709">
        <f>VLOOKUP(tblTargetMedicos[[#This Row],[codigo_id]],[1]DIM_REPRESENTANTE_MEDICO!$C:$F,3,0)</f>
        <v>8</v>
      </c>
      <c r="F2709" s="27" t="s">
        <v>5796</v>
      </c>
      <c r="G2709" s="27" t="s">
        <v>5779</v>
      </c>
      <c r="H2709" s="27" t="s">
        <v>96</v>
      </c>
      <c r="I2709">
        <v>1</v>
      </c>
    </row>
    <row r="2710" spans="1:9">
      <c r="A2710" t="s">
        <v>3125</v>
      </c>
      <c r="B2710" s="27" t="s">
        <v>3231</v>
      </c>
      <c r="C2710" s="27" t="s">
        <v>5777</v>
      </c>
      <c r="D2710">
        <f>VLOOKUP(tblTargetMedicos[[#This Row],[codigo_id]],[1]DIM_REPRESENTANTE_MEDICO!$C:$F,4,0)</f>
        <v>8</v>
      </c>
      <c r="E2710">
        <f>VLOOKUP(tblTargetMedicos[[#This Row],[codigo_id]],[1]DIM_REPRESENTANTE_MEDICO!$C:$F,3,0)</f>
        <v>8</v>
      </c>
      <c r="F2710" s="27" t="s">
        <v>5796</v>
      </c>
      <c r="G2710" s="27" t="s">
        <v>5783</v>
      </c>
      <c r="H2710" s="27" t="s">
        <v>96</v>
      </c>
      <c r="I2710">
        <v>1</v>
      </c>
    </row>
    <row r="2711" spans="1:9">
      <c r="A2711" t="s">
        <v>3126</v>
      </c>
      <c r="B2711" s="27" t="s">
        <v>3231</v>
      </c>
      <c r="C2711" s="27" t="s">
        <v>5777</v>
      </c>
      <c r="D2711">
        <f>VLOOKUP(tblTargetMedicos[[#This Row],[codigo_id]],[1]DIM_REPRESENTANTE_MEDICO!$C:$F,4,0)</f>
        <v>8</v>
      </c>
      <c r="E2711">
        <f>VLOOKUP(tblTargetMedicos[[#This Row],[codigo_id]],[1]DIM_REPRESENTANTE_MEDICO!$C:$F,3,0)</f>
        <v>8</v>
      </c>
      <c r="F2711" s="27" t="s">
        <v>5796</v>
      </c>
      <c r="G2711" s="27" t="s">
        <v>5783</v>
      </c>
      <c r="H2711" s="27" t="s">
        <v>96</v>
      </c>
      <c r="I2711">
        <v>1</v>
      </c>
    </row>
    <row r="2712" spans="1:9">
      <c r="A2712" t="s">
        <v>3127</v>
      </c>
      <c r="B2712" s="27" t="s">
        <v>3231</v>
      </c>
      <c r="C2712" s="27" t="s">
        <v>5777</v>
      </c>
      <c r="D2712">
        <f>VLOOKUP(tblTargetMedicos[[#This Row],[codigo_id]],[1]DIM_REPRESENTANTE_MEDICO!$C:$F,4,0)</f>
        <v>8</v>
      </c>
      <c r="E2712">
        <f>VLOOKUP(tblTargetMedicos[[#This Row],[codigo_id]],[1]DIM_REPRESENTANTE_MEDICO!$C:$F,3,0)</f>
        <v>8</v>
      </c>
      <c r="F2712" s="27" t="s">
        <v>5796</v>
      </c>
      <c r="G2712" s="27" t="s">
        <v>5783</v>
      </c>
      <c r="H2712" s="27" t="s">
        <v>96</v>
      </c>
      <c r="I2712">
        <v>1</v>
      </c>
    </row>
    <row r="2713" spans="1:9">
      <c r="A2713" t="s">
        <v>3128</v>
      </c>
      <c r="B2713" s="27" t="s">
        <v>3231</v>
      </c>
      <c r="C2713" s="27" t="s">
        <v>5777</v>
      </c>
      <c r="D2713">
        <f>VLOOKUP(tblTargetMedicos[[#This Row],[codigo_id]],[1]DIM_REPRESENTANTE_MEDICO!$C:$F,4,0)</f>
        <v>8</v>
      </c>
      <c r="E2713">
        <f>VLOOKUP(tblTargetMedicos[[#This Row],[codigo_id]],[1]DIM_REPRESENTANTE_MEDICO!$C:$F,3,0)</f>
        <v>8</v>
      </c>
      <c r="F2713" s="27" t="s">
        <v>5796</v>
      </c>
      <c r="G2713" s="27" t="s">
        <v>5784</v>
      </c>
      <c r="H2713" s="27" t="s">
        <v>96</v>
      </c>
      <c r="I2713">
        <v>1</v>
      </c>
    </row>
    <row r="2714" spans="1:9">
      <c r="A2714" t="s">
        <v>3129</v>
      </c>
      <c r="B2714" s="27" t="s">
        <v>3231</v>
      </c>
      <c r="C2714" s="27" t="s">
        <v>5777</v>
      </c>
      <c r="D2714">
        <f>VLOOKUP(tblTargetMedicos[[#This Row],[codigo_id]],[1]DIM_REPRESENTANTE_MEDICO!$C:$F,4,0)</f>
        <v>8</v>
      </c>
      <c r="E2714">
        <f>VLOOKUP(tblTargetMedicos[[#This Row],[codigo_id]],[1]DIM_REPRESENTANTE_MEDICO!$C:$F,3,0)</f>
        <v>8</v>
      </c>
      <c r="F2714" s="27" t="s">
        <v>5796</v>
      </c>
      <c r="G2714" s="27" t="s">
        <v>5786</v>
      </c>
      <c r="H2714" s="27" t="s">
        <v>96</v>
      </c>
      <c r="I2714">
        <v>1</v>
      </c>
    </row>
    <row r="2715" spans="1:9">
      <c r="A2715" t="s">
        <v>3130</v>
      </c>
      <c r="B2715" s="27" t="s">
        <v>3231</v>
      </c>
      <c r="C2715" s="27" t="s">
        <v>5777</v>
      </c>
      <c r="D2715">
        <f>VLOOKUP(tblTargetMedicos[[#This Row],[codigo_id]],[1]DIM_REPRESENTANTE_MEDICO!$C:$F,4,0)</f>
        <v>8</v>
      </c>
      <c r="E2715">
        <f>VLOOKUP(tblTargetMedicos[[#This Row],[codigo_id]],[1]DIM_REPRESENTANTE_MEDICO!$C:$F,3,0)</f>
        <v>8</v>
      </c>
      <c r="F2715" s="27" t="s">
        <v>5796</v>
      </c>
      <c r="G2715" s="27" t="s">
        <v>5784</v>
      </c>
      <c r="H2715" s="27" t="s">
        <v>95</v>
      </c>
      <c r="I2715">
        <v>1</v>
      </c>
    </row>
    <row r="2716" spans="1:9">
      <c r="A2716" t="s">
        <v>3131</v>
      </c>
      <c r="B2716" s="27" t="s">
        <v>3231</v>
      </c>
      <c r="C2716" s="27" t="s">
        <v>5777</v>
      </c>
      <c r="D2716">
        <f>VLOOKUP(tblTargetMedicos[[#This Row],[codigo_id]],[1]DIM_REPRESENTANTE_MEDICO!$C:$F,4,0)</f>
        <v>8</v>
      </c>
      <c r="E2716">
        <f>VLOOKUP(tblTargetMedicos[[#This Row],[codigo_id]],[1]DIM_REPRESENTANTE_MEDICO!$C:$F,3,0)</f>
        <v>8</v>
      </c>
      <c r="F2716" s="27" t="s">
        <v>5796</v>
      </c>
      <c r="G2716" s="27" t="s">
        <v>5783</v>
      </c>
      <c r="H2716" s="27" t="s">
        <v>97</v>
      </c>
      <c r="I2716">
        <v>1</v>
      </c>
    </row>
    <row r="2717" spans="1:9">
      <c r="A2717" t="s">
        <v>3132</v>
      </c>
      <c r="B2717" s="27" t="s">
        <v>3231</v>
      </c>
      <c r="C2717" s="27" t="s">
        <v>5777</v>
      </c>
      <c r="D2717">
        <f>VLOOKUP(tblTargetMedicos[[#This Row],[codigo_id]],[1]DIM_REPRESENTANTE_MEDICO!$C:$F,4,0)</f>
        <v>8</v>
      </c>
      <c r="E2717">
        <f>VLOOKUP(tblTargetMedicos[[#This Row],[codigo_id]],[1]DIM_REPRESENTANTE_MEDICO!$C:$F,3,0)</f>
        <v>8</v>
      </c>
      <c r="F2717" s="27" t="s">
        <v>5796</v>
      </c>
      <c r="G2717" s="27" t="s">
        <v>5783</v>
      </c>
      <c r="H2717" s="27" t="s">
        <v>97</v>
      </c>
      <c r="I2717">
        <v>1</v>
      </c>
    </row>
    <row r="2718" spans="1:9">
      <c r="A2718" t="s">
        <v>3133</v>
      </c>
      <c r="B2718" s="27" t="s">
        <v>3231</v>
      </c>
      <c r="C2718" s="27" t="s">
        <v>5777</v>
      </c>
      <c r="D2718">
        <f>VLOOKUP(tblTargetMedicos[[#This Row],[codigo_id]],[1]DIM_REPRESENTANTE_MEDICO!$C:$F,4,0)</f>
        <v>8</v>
      </c>
      <c r="E2718">
        <f>VLOOKUP(tblTargetMedicos[[#This Row],[codigo_id]],[1]DIM_REPRESENTANTE_MEDICO!$C:$F,3,0)</f>
        <v>8</v>
      </c>
      <c r="F2718" s="27" t="s">
        <v>5796</v>
      </c>
      <c r="G2718" s="27" t="s">
        <v>5784</v>
      </c>
      <c r="H2718" s="27" t="s">
        <v>96</v>
      </c>
      <c r="I2718">
        <v>1</v>
      </c>
    </row>
    <row r="2719" spans="1:9">
      <c r="A2719" t="s">
        <v>3134</v>
      </c>
      <c r="B2719" s="27" t="s">
        <v>3231</v>
      </c>
      <c r="C2719" s="27" t="s">
        <v>5777</v>
      </c>
      <c r="D2719">
        <f>VLOOKUP(tblTargetMedicos[[#This Row],[codigo_id]],[1]DIM_REPRESENTANTE_MEDICO!$C:$F,4,0)</f>
        <v>8</v>
      </c>
      <c r="E2719">
        <f>VLOOKUP(tblTargetMedicos[[#This Row],[codigo_id]],[1]DIM_REPRESENTANTE_MEDICO!$C:$F,3,0)</f>
        <v>8</v>
      </c>
      <c r="F2719" s="27" t="s">
        <v>5796</v>
      </c>
      <c r="G2719" s="27" t="s">
        <v>5787</v>
      </c>
      <c r="H2719" s="27" t="s">
        <v>96</v>
      </c>
      <c r="I2719">
        <v>1</v>
      </c>
    </row>
    <row r="2720" spans="1:9">
      <c r="A2720" t="s">
        <v>3135</v>
      </c>
      <c r="B2720" s="27" t="s">
        <v>3231</v>
      </c>
      <c r="C2720" s="27" t="s">
        <v>5777</v>
      </c>
      <c r="D2720">
        <f>VLOOKUP(tblTargetMedicos[[#This Row],[codigo_id]],[1]DIM_REPRESENTANTE_MEDICO!$C:$F,4,0)</f>
        <v>8</v>
      </c>
      <c r="E2720">
        <f>VLOOKUP(tblTargetMedicos[[#This Row],[codigo_id]],[1]DIM_REPRESENTANTE_MEDICO!$C:$F,3,0)</f>
        <v>8</v>
      </c>
      <c r="F2720" s="27" t="s">
        <v>5796</v>
      </c>
      <c r="G2720" s="27" t="s">
        <v>5783</v>
      </c>
      <c r="H2720" s="27" t="s">
        <v>96</v>
      </c>
      <c r="I2720">
        <v>1</v>
      </c>
    </row>
    <row r="2721" spans="1:9">
      <c r="A2721" t="s">
        <v>3136</v>
      </c>
      <c r="B2721" s="27" t="s">
        <v>3231</v>
      </c>
      <c r="C2721" s="27" t="s">
        <v>5777</v>
      </c>
      <c r="D2721">
        <f>VLOOKUP(tblTargetMedicos[[#This Row],[codigo_id]],[1]DIM_REPRESENTANTE_MEDICO!$C:$F,4,0)</f>
        <v>8</v>
      </c>
      <c r="E2721">
        <f>VLOOKUP(tblTargetMedicos[[#This Row],[codigo_id]],[1]DIM_REPRESENTANTE_MEDICO!$C:$F,3,0)</f>
        <v>8</v>
      </c>
      <c r="F2721" s="27" t="s">
        <v>5796</v>
      </c>
      <c r="G2721" s="27" t="s">
        <v>5783</v>
      </c>
      <c r="H2721" s="27" t="s">
        <v>97</v>
      </c>
      <c r="I2721">
        <v>1</v>
      </c>
    </row>
    <row r="2722" spans="1:9">
      <c r="A2722" t="s">
        <v>3137</v>
      </c>
      <c r="B2722" s="27" t="s">
        <v>3231</v>
      </c>
      <c r="C2722" s="27" t="s">
        <v>5777</v>
      </c>
      <c r="D2722">
        <f>VLOOKUP(tblTargetMedicos[[#This Row],[codigo_id]],[1]DIM_REPRESENTANTE_MEDICO!$C:$F,4,0)</f>
        <v>8</v>
      </c>
      <c r="E2722">
        <f>VLOOKUP(tblTargetMedicos[[#This Row],[codigo_id]],[1]DIM_REPRESENTANTE_MEDICO!$C:$F,3,0)</f>
        <v>8</v>
      </c>
      <c r="F2722" s="27" t="s">
        <v>5796</v>
      </c>
      <c r="G2722" s="27" t="s">
        <v>5785</v>
      </c>
      <c r="H2722" s="27" t="s">
        <v>96</v>
      </c>
      <c r="I2722">
        <v>1</v>
      </c>
    </row>
    <row r="2723" spans="1:9">
      <c r="A2723" t="s">
        <v>3138</v>
      </c>
      <c r="B2723" s="27" t="s">
        <v>3231</v>
      </c>
      <c r="C2723" s="27" t="s">
        <v>5777</v>
      </c>
      <c r="D2723">
        <f>VLOOKUP(tblTargetMedicos[[#This Row],[codigo_id]],[1]DIM_REPRESENTANTE_MEDICO!$C:$F,4,0)</f>
        <v>8</v>
      </c>
      <c r="E2723">
        <f>VLOOKUP(tblTargetMedicos[[#This Row],[codigo_id]],[1]DIM_REPRESENTANTE_MEDICO!$C:$F,3,0)</f>
        <v>8</v>
      </c>
      <c r="F2723" s="27" t="s">
        <v>5796</v>
      </c>
      <c r="G2723" s="27" t="s">
        <v>5784</v>
      </c>
      <c r="H2723" s="27" t="s">
        <v>96</v>
      </c>
      <c r="I2723">
        <v>1</v>
      </c>
    </row>
    <row r="2724" spans="1:9">
      <c r="A2724" t="s">
        <v>3139</v>
      </c>
      <c r="B2724" s="27" t="s">
        <v>3231</v>
      </c>
      <c r="C2724" s="27" t="s">
        <v>5777</v>
      </c>
      <c r="D2724">
        <f>VLOOKUP(tblTargetMedicos[[#This Row],[codigo_id]],[1]DIM_REPRESENTANTE_MEDICO!$C:$F,4,0)</f>
        <v>8</v>
      </c>
      <c r="E2724">
        <f>VLOOKUP(tblTargetMedicos[[#This Row],[codigo_id]],[1]DIM_REPRESENTANTE_MEDICO!$C:$F,3,0)</f>
        <v>8</v>
      </c>
      <c r="F2724" s="27" t="s">
        <v>5796</v>
      </c>
      <c r="G2724" s="27" t="s">
        <v>5779</v>
      </c>
      <c r="H2724" s="27" t="s">
        <v>96</v>
      </c>
      <c r="I2724">
        <v>1</v>
      </c>
    </row>
    <row r="2725" spans="1:9">
      <c r="A2725" t="s">
        <v>3140</v>
      </c>
      <c r="B2725" s="27" t="s">
        <v>3231</v>
      </c>
      <c r="C2725" s="27" t="s">
        <v>5777</v>
      </c>
      <c r="D2725">
        <f>VLOOKUP(tblTargetMedicos[[#This Row],[codigo_id]],[1]DIM_REPRESENTANTE_MEDICO!$C:$F,4,0)</f>
        <v>8</v>
      </c>
      <c r="E2725">
        <f>VLOOKUP(tblTargetMedicos[[#This Row],[codigo_id]],[1]DIM_REPRESENTANTE_MEDICO!$C:$F,3,0)</f>
        <v>8</v>
      </c>
      <c r="F2725" s="27" t="s">
        <v>5796</v>
      </c>
      <c r="G2725" s="27" t="s">
        <v>5783</v>
      </c>
      <c r="H2725" s="27" t="s">
        <v>96</v>
      </c>
      <c r="I2725">
        <v>1</v>
      </c>
    </row>
    <row r="2726" spans="1:9">
      <c r="A2726" t="s">
        <v>3141</v>
      </c>
      <c r="B2726" s="27" t="s">
        <v>3231</v>
      </c>
      <c r="C2726" s="27" t="s">
        <v>5777</v>
      </c>
      <c r="D2726">
        <f>VLOOKUP(tblTargetMedicos[[#This Row],[codigo_id]],[1]DIM_REPRESENTANTE_MEDICO!$C:$F,4,0)</f>
        <v>8</v>
      </c>
      <c r="E2726">
        <f>VLOOKUP(tblTargetMedicos[[#This Row],[codigo_id]],[1]DIM_REPRESENTANTE_MEDICO!$C:$F,3,0)</f>
        <v>8</v>
      </c>
      <c r="F2726" s="27" t="s">
        <v>5796</v>
      </c>
      <c r="G2726" s="27" t="s">
        <v>5781</v>
      </c>
      <c r="H2726" s="27" t="s">
        <v>96</v>
      </c>
      <c r="I2726">
        <v>1</v>
      </c>
    </row>
    <row r="2727" spans="1:9">
      <c r="A2727" t="s">
        <v>3142</v>
      </c>
      <c r="B2727" s="27" t="s">
        <v>3231</v>
      </c>
      <c r="C2727" s="27" t="s">
        <v>5777</v>
      </c>
      <c r="D2727">
        <f>VLOOKUP(tblTargetMedicos[[#This Row],[codigo_id]],[1]DIM_REPRESENTANTE_MEDICO!$C:$F,4,0)</f>
        <v>8</v>
      </c>
      <c r="E2727">
        <f>VLOOKUP(tblTargetMedicos[[#This Row],[codigo_id]],[1]DIM_REPRESENTANTE_MEDICO!$C:$F,3,0)</f>
        <v>8</v>
      </c>
      <c r="F2727" s="27" t="s">
        <v>5796</v>
      </c>
      <c r="G2727" s="27" t="s">
        <v>5779</v>
      </c>
      <c r="H2727" s="27" t="s">
        <v>96</v>
      </c>
      <c r="I2727">
        <v>1</v>
      </c>
    </row>
    <row r="2728" spans="1:9">
      <c r="A2728" t="s">
        <v>3143</v>
      </c>
      <c r="B2728" s="27" t="s">
        <v>3231</v>
      </c>
      <c r="C2728" s="27" t="s">
        <v>5777</v>
      </c>
      <c r="D2728">
        <f>VLOOKUP(tblTargetMedicos[[#This Row],[codigo_id]],[1]DIM_REPRESENTANTE_MEDICO!$C:$F,4,0)</f>
        <v>8</v>
      </c>
      <c r="E2728">
        <f>VLOOKUP(tblTargetMedicos[[#This Row],[codigo_id]],[1]DIM_REPRESENTANTE_MEDICO!$C:$F,3,0)</f>
        <v>8</v>
      </c>
      <c r="F2728" s="27" t="s">
        <v>5796</v>
      </c>
      <c r="G2728" s="27" t="s">
        <v>5786</v>
      </c>
      <c r="H2728" s="27" t="s">
        <v>96</v>
      </c>
      <c r="I2728">
        <v>1</v>
      </c>
    </row>
    <row r="2729" spans="1:9">
      <c r="A2729" t="s">
        <v>3144</v>
      </c>
      <c r="B2729" s="27" t="s">
        <v>3231</v>
      </c>
      <c r="C2729" s="27" t="s">
        <v>5777</v>
      </c>
      <c r="D2729">
        <f>VLOOKUP(tblTargetMedicos[[#This Row],[codigo_id]],[1]DIM_REPRESENTANTE_MEDICO!$C:$F,4,0)</f>
        <v>8</v>
      </c>
      <c r="E2729">
        <f>VLOOKUP(tblTargetMedicos[[#This Row],[codigo_id]],[1]DIM_REPRESENTANTE_MEDICO!$C:$F,3,0)</f>
        <v>8</v>
      </c>
      <c r="F2729" s="27" t="s">
        <v>5796</v>
      </c>
      <c r="G2729" s="27" t="s">
        <v>5785</v>
      </c>
      <c r="H2729" s="27" t="s">
        <v>96</v>
      </c>
      <c r="I2729">
        <v>1</v>
      </c>
    </row>
    <row r="2730" spans="1:9">
      <c r="A2730" t="s">
        <v>3145</v>
      </c>
      <c r="B2730" s="27" t="s">
        <v>3231</v>
      </c>
      <c r="C2730" s="27" t="s">
        <v>5777</v>
      </c>
      <c r="D2730">
        <f>VLOOKUP(tblTargetMedicos[[#This Row],[codigo_id]],[1]DIM_REPRESENTANTE_MEDICO!$C:$F,4,0)</f>
        <v>8</v>
      </c>
      <c r="E2730">
        <f>VLOOKUP(tblTargetMedicos[[#This Row],[codigo_id]],[1]DIM_REPRESENTANTE_MEDICO!$C:$F,3,0)</f>
        <v>8</v>
      </c>
      <c r="F2730" s="27" t="s">
        <v>5796</v>
      </c>
      <c r="G2730" s="27" t="s">
        <v>5779</v>
      </c>
      <c r="H2730" s="27" t="s">
        <v>96</v>
      </c>
      <c r="I2730">
        <v>1</v>
      </c>
    </row>
    <row r="2731" spans="1:9">
      <c r="A2731" t="s">
        <v>3146</v>
      </c>
      <c r="B2731" s="27" t="s">
        <v>3231</v>
      </c>
      <c r="C2731" s="27" t="s">
        <v>5777</v>
      </c>
      <c r="D2731">
        <f>VLOOKUP(tblTargetMedicos[[#This Row],[codigo_id]],[1]DIM_REPRESENTANTE_MEDICO!$C:$F,4,0)</f>
        <v>8</v>
      </c>
      <c r="E2731">
        <f>VLOOKUP(tblTargetMedicos[[#This Row],[codigo_id]],[1]DIM_REPRESENTANTE_MEDICO!$C:$F,3,0)</f>
        <v>8</v>
      </c>
      <c r="F2731" s="27" t="s">
        <v>5796</v>
      </c>
      <c r="G2731" s="27" t="s">
        <v>5780</v>
      </c>
      <c r="H2731" s="27" t="s">
        <v>97</v>
      </c>
      <c r="I2731">
        <v>1</v>
      </c>
    </row>
    <row r="2732" spans="1:9">
      <c r="A2732" t="s">
        <v>3147</v>
      </c>
      <c r="B2732" s="27" t="s">
        <v>3231</v>
      </c>
      <c r="C2732" s="27" t="s">
        <v>5777</v>
      </c>
      <c r="D2732">
        <f>VLOOKUP(tblTargetMedicos[[#This Row],[codigo_id]],[1]DIM_REPRESENTANTE_MEDICO!$C:$F,4,0)</f>
        <v>8</v>
      </c>
      <c r="E2732">
        <f>VLOOKUP(tblTargetMedicos[[#This Row],[codigo_id]],[1]DIM_REPRESENTANTE_MEDICO!$C:$F,3,0)</f>
        <v>8</v>
      </c>
      <c r="F2732" s="27" t="s">
        <v>5796</v>
      </c>
      <c r="G2732" s="27" t="s">
        <v>5783</v>
      </c>
      <c r="H2732" s="27" t="s">
        <v>97</v>
      </c>
      <c r="I2732">
        <v>1</v>
      </c>
    </row>
    <row r="2733" spans="1:9">
      <c r="A2733" t="s">
        <v>3148</v>
      </c>
      <c r="B2733" s="27" t="s">
        <v>3231</v>
      </c>
      <c r="C2733" s="27" t="s">
        <v>5777</v>
      </c>
      <c r="D2733">
        <f>VLOOKUP(tblTargetMedicos[[#This Row],[codigo_id]],[1]DIM_REPRESENTANTE_MEDICO!$C:$F,4,0)</f>
        <v>8</v>
      </c>
      <c r="E2733">
        <f>VLOOKUP(tblTargetMedicos[[#This Row],[codigo_id]],[1]DIM_REPRESENTANTE_MEDICO!$C:$F,3,0)</f>
        <v>8</v>
      </c>
      <c r="F2733" s="27" t="s">
        <v>5796</v>
      </c>
      <c r="G2733" s="27" t="s">
        <v>5783</v>
      </c>
      <c r="H2733" s="27" t="s">
        <v>96</v>
      </c>
      <c r="I2733">
        <v>1</v>
      </c>
    </row>
    <row r="2734" spans="1:9">
      <c r="A2734" t="s">
        <v>3149</v>
      </c>
      <c r="B2734" s="27" t="s">
        <v>3231</v>
      </c>
      <c r="C2734" s="27" t="s">
        <v>5777</v>
      </c>
      <c r="D2734">
        <f>VLOOKUP(tblTargetMedicos[[#This Row],[codigo_id]],[1]DIM_REPRESENTANTE_MEDICO!$C:$F,4,0)</f>
        <v>8</v>
      </c>
      <c r="E2734">
        <f>VLOOKUP(tblTargetMedicos[[#This Row],[codigo_id]],[1]DIM_REPRESENTANTE_MEDICO!$C:$F,3,0)</f>
        <v>8</v>
      </c>
      <c r="F2734" s="27" t="s">
        <v>5796</v>
      </c>
      <c r="G2734" s="27" t="s">
        <v>5779</v>
      </c>
      <c r="H2734" s="27" t="s">
        <v>95</v>
      </c>
      <c r="I2734">
        <v>1</v>
      </c>
    </row>
    <row r="2735" spans="1:9">
      <c r="A2735" t="s">
        <v>3150</v>
      </c>
      <c r="B2735" s="27" t="s">
        <v>3231</v>
      </c>
      <c r="C2735" s="27" t="s">
        <v>5777</v>
      </c>
      <c r="D2735">
        <f>VLOOKUP(tblTargetMedicos[[#This Row],[codigo_id]],[1]DIM_REPRESENTANTE_MEDICO!$C:$F,4,0)</f>
        <v>8</v>
      </c>
      <c r="E2735">
        <f>VLOOKUP(tblTargetMedicos[[#This Row],[codigo_id]],[1]DIM_REPRESENTANTE_MEDICO!$C:$F,3,0)</f>
        <v>8</v>
      </c>
      <c r="F2735" s="27" t="s">
        <v>5796</v>
      </c>
      <c r="G2735" s="27" t="s">
        <v>5784</v>
      </c>
      <c r="H2735" s="27" t="s">
        <v>96</v>
      </c>
      <c r="I2735">
        <v>1</v>
      </c>
    </row>
    <row r="2736" spans="1:9">
      <c r="A2736" t="s">
        <v>3151</v>
      </c>
      <c r="B2736" s="27" t="s">
        <v>3231</v>
      </c>
      <c r="C2736" s="27" t="s">
        <v>5777</v>
      </c>
      <c r="D2736">
        <f>VLOOKUP(tblTargetMedicos[[#This Row],[codigo_id]],[1]DIM_REPRESENTANTE_MEDICO!$C:$F,4,0)</f>
        <v>8</v>
      </c>
      <c r="E2736">
        <f>VLOOKUP(tblTargetMedicos[[#This Row],[codigo_id]],[1]DIM_REPRESENTANTE_MEDICO!$C:$F,3,0)</f>
        <v>8</v>
      </c>
      <c r="F2736" s="27" t="s">
        <v>5796</v>
      </c>
      <c r="G2736" s="27" t="s">
        <v>5783</v>
      </c>
      <c r="H2736" s="27" t="s">
        <v>96</v>
      </c>
      <c r="I2736">
        <v>1</v>
      </c>
    </row>
    <row r="2737" spans="1:9">
      <c r="A2737" t="s">
        <v>3152</v>
      </c>
      <c r="B2737" s="27" t="s">
        <v>3231</v>
      </c>
      <c r="C2737" s="27" t="s">
        <v>5777</v>
      </c>
      <c r="D2737">
        <f>VLOOKUP(tblTargetMedicos[[#This Row],[codigo_id]],[1]DIM_REPRESENTANTE_MEDICO!$C:$F,4,0)</f>
        <v>8</v>
      </c>
      <c r="E2737">
        <f>VLOOKUP(tblTargetMedicos[[#This Row],[codigo_id]],[1]DIM_REPRESENTANTE_MEDICO!$C:$F,3,0)</f>
        <v>8</v>
      </c>
      <c r="F2737" s="27" t="s">
        <v>5796</v>
      </c>
      <c r="G2737" s="27" t="s">
        <v>5785</v>
      </c>
      <c r="H2737" s="27" t="s">
        <v>96</v>
      </c>
      <c r="I2737">
        <v>1</v>
      </c>
    </row>
    <row r="2738" spans="1:9">
      <c r="A2738" t="s">
        <v>3153</v>
      </c>
      <c r="B2738" s="27" t="s">
        <v>3231</v>
      </c>
      <c r="C2738" s="27" t="s">
        <v>5777</v>
      </c>
      <c r="D2738">
        <f>VLOOKUP(tblTargetMedicos[[#This Row],[codigo_id]],[1]DIM_REPRESENTANTE_MEDICO!$C:$F,4,0)</f>
        <v>8</v>
      </c>
      <c r="E2738">
        <f>VLOOKUP(tblTargetMedicos[[#This Row],[codigo_id]],[1]DIM_REPRESENTANTE_MEDICO!$C:$F,3,0)</f>
        <v>8</v>
      </c>
      <c r="F2738" s="27" t="s">
        <v>5796</v>
      </c>
      <c r="G2738" s="27" t="s">
        <v>5783</v>
      </c>
      <c r="H2738" s="27" t="s">
        <v>96</v>
      </c>
      <c r="I2738">
        <v>1</v>
      </c>
    </row>
    <row r="2739" spans="1:9">
      <c r="A2739" t="s">
        <v>3154</v>
      </c>
      <c r="B2739" s="27" t="s">
        <v>3231</v>
      </c>
      <c r="C2739" s="27" t="s">
        <v>5777</v>
      </c>
      <c r="D2739">
        <f>VLOOKUP(tblTargetMedicos[[#This Row],[codigo_id]],[1]DIM_REPRESENTANTE_MEDICO!$C:$F,4,0)</f>
        <v>8</v>
      </c>
      <c r="E2739">
        <f>VLOOKUP(tblTargetMedicos[[#This Row],[codigo_id]],[1]DIM_REPRESENTANTE_MEDICO!$C:$F,3,0)</f>
        <v>8</v>
      </c>
      <c r="F2739" s="27" t="s">
        <v>5796</v>
      </c>
      <c r="G2739" s="27" t="s">
        <v>5780</v>
      </c>
      <c r="H2739" s="27" t="s">
        <v>96</v>
      </c>
      <c r="I2739">
        <v>1</v>
      </c>
    </row>
    <row r="2740" spans="1:9">
      <c r="A2740" t="s">
        <v>3155</v>
      </c>
      <c r="B2740" s="27" t="s">
        <v>3231</v>
      </c>
      <c r="C2740" s="27" t="s">
        <v>5777</v>
      </c>
      <c r="D2740">
        <f>VLOOKUP(tblTargetMedicos[[#This Row],[codigo_id]],[1]DIM_REPRESENTANTE_MEDICO!$C:$F,4,0)</f>
        <v>8</v>
      </c>
      <c r="E2740">
        <f>VLOOKUP(tblTargetMedicos[[#This Row],[codigo_id]],[1]DIM_REPRESENTANTE_MEDICO!$C:$F,3,0)</f>
        <v>8</v>
      </c>
      <c r="F2740" s="27" t="s">
        <v>5796</v>
      </c>
      <c r="G2740" s="27" t="s">
        <v>5783</v>
      </c>
      <c r="H2740" s="27" t="s">
        <v>96</v>
      </c>
      <c r="I2740">
        <v>1</v>
      </c>
    </row>
    <row r="2741" spans="1:9">
      <c r="A2741" t="s">
        <v>3156</v>
      </c>
      <c r="B2741" s="27" t="s">
        <v>3231</v>
      </c>
      <c r="C2741" s="27" t="s">
        <v>5777</v>
      </c>
      <c r="D2741">
        <f>VLOOKUP(tblTargetMedicos[[#This Row],[codigo_id]],[1]DIM_REPRESENTANTE_MEDICO!$C:$F,4,0)</f>
        <v>8</v>
      </c>
      <c r="E2741">
        <f>VLOOKUP(tblTargetMedicos[[#This Row],[codigo_id]],[1]DIM_REPRESENTANTE_MEDICO!$C:$F,3,0)</f>
        <v>8</v>
      </c>
      <c r="F2741" s="27" t="s">
        <v>5796</v>
      </c>
      <c r="G2741" s="27" t="s">
        <v>5786</v>
      </c>
      <c r="H2741" s="27" t="s">
        <v>96</v>
      </c>
      <c r="I2741">
        <v>1</v>
      </c>
    </row>
    <row r="2742" spans="1:9">
      <c r="A2742" t="s">
        <v>3157</v>
      </c>
      <c r="B2742" s="27" t="s">
        <v>3231</v>
      </c>
      <c r="C2742" s="27" t="s">
        <v>5777</v>
      </c>
      <c r="D2742">
        <f>VLOOKUP(tblTargetMedicos[[#This Row],[codigo_id]],[1]DIM_REPRESENTANTE_MEDICO!$C:$F,4,0)</f>
        <v>8</v>
      </c>
      <c r="E2742">
        <f>VLOOKUP(tblTargetMedicos[[#This Row],[codigo_id]],[1]DIM_REPRESENTANTE_MEDICO!$C:$F,3,0)</f>
        <v>8</v>
      </c>
      <c r="F2742" s="27" t="s">
        <v>5796</v>
      </c>
      <c r="G2742" s="27" t="s">
        <v>5783</v>
      </c>
      <c r="H2742" s="27" t="s">
        <v>97</v>
      </c>
      <c r="I2742">
        <v>1</v>
      </c>
    </row>
    <row r="2743" spans="1:9">
      <c r="A2743" t="s">
        <v>3158</v>
      </c>
      <c r="B2743" s="27" t="s">
        <v>3231</v>
      </c>
      <c r="C2743" s="27" t="s">
        <v>5777</v>
      </c>
      <c r="D2743">
        <f>VLOOKUP(tblTargetMedicos[[#This Row],[codigo_id]],[1]DIM_REPRESENTANTE_MEDICO!$C:$F,4,0)</f>
        <v>8</v>
      </c>
      <c r="E2743">
        <f>VLOOKUP(tblTargetMedicos[[#This Row],[codigo_id]],[1]DIM_REPRESENTANTE_MEDICO!$C:$F,3,0)</f>
        <v>8</v>
      </c>
      <c r="F2743" s="27" t="s">
        <v>5796</v>
      </c>
      <c r="G2743" s="27" t="s">
        <v>5779</v>
      </c>
      <c r="H2743" s="27" t="s">
        <v>96</v>
      </c>
      <c r="I2743">
        <v>1</v>
      </c>
    </row>
    <row r="2744" spans="1:9">
      <c r="A2744" t="s">
        <v>3159</v>
      </c>
      <c r="B2744" s="27" t="s">
        <v>3231</v>
      </c>
      <c r="C2744" s="27" t="s">
        <v>5777</v>
      </c>
      <c r="D2744">
        <f>VLOOKUP(tblTargetMedicos[[#This Row],[codigo_id]],[1]DIM_REPRESENTANTE_MEDICO!$C:$F,4,0)</f>
        <v>8</v>
      </c>
      <c r="E2744">
        <f>VLOOKUP(tblTargetMedicos[[#This Row],[codigo_id]],[1]DIM_REPRESENTANTE_MEDICO!$C:$F,3,0)</f>
        <v>8</v>
      </c>
      <c r="F2744" s="27" t="s">
        <v>5796</v>
      </c>
      <c r="G2744" s="27" t="s">
        <v>5779</v>
      </c>
      <c r="H2744" s="27" t="s">
        <v>96</v>
      </c>
      <c r="I2744">
        <v>1</v>
      </c>
    </row>
    <row r="2745" spans="1:9">
      <c r="A2745" t="s">
        <v>3160</v>
      </c>
      <c r="B2745" s="27" t="s">
        <v>3231</v>
      </c>
      <c r="C2745" s="27" t="s">
        <v>5777</v>
      </c>
      <c r="D2745">
        <f>VLOOKUP(tblTargetMedicos[[#This Row],[codigo_id]],[1]DIM_REPRESENTANTE_MEDICO!$C:$F,4,0)</f>
        <v>8</v>
      </c>
      <c r="E2745">
        <f>VLOOKUP(tblTargetMedicos[[#This Row],[codigo_id]],[1]DIM_REPRESENTANTE_MEDICO!$C:$F,3,0)</f>
        <v>8</v>
      </c>
      <c r="F2745" s="27" t="s">
        <v>5796</v>
      </c>
      <c r="G2745" s="27" t="s">
        <v>5785</v>
      </c>
      <c r="H2745" s="27" t="s">
        <v>96</v>
      </c>
      <c r="I2745">
        <v>1</v>
      </c>
    </row>
    <row r="2746" spans="1:9">
      <c r="A2746" t="s">
        <v>3161</v>
      </c>
      <c r="B2746" s="27" t="s">
        <v>3231</v>
      </c>
      <c r="C2746" s="27" t="s">
        <v>5777</v>
      </c>
      <c r="D2746">
        <f>VLOOKUP(tblTargetMedicos[[#This Row],[codigo_id]],[1]DIM_REPRESENTANTE_MEDICO!$C:$F,4,0)</f>
        <v>8</v>
      </c>
      <c r="E2746">
        <f>VLOOKUP(tblTargetMedicos[[#This Row],[codigo_id]],[1]DIM_REPRESENTANTE_MEDICO!$C:$F,3,0)</f>
        <v>8</v>
      </c>
      <c r="F2746" s="27" t="s">
        <v>5796</v>
      </c>
      <c r="G2746" s="27" t="s">
        <v>5783</v>
      </c>
      <c r="H2746" s="27" t="s">
        <v>96</v>
      </c>
      <c r="I2746">
        <v>1</v>
      </c>
    </row>
    <row r="2747" spans="1:9">
      <c r="A2747" t="s">
        <v>3162</v>
      </c>
      <c r="B2747" s="27" t="s">
        <v>3231</v>
      </c>
      <c r="C2747" s="27" t="s">
        <v>5777</v>
      </c>
      <c r="D2747">
        <f>VLOOKUP(tblTargetMedicos[[#This Row],[codigo_id]],[1]DIM_REPRESENTANTE_MEDICO!$C:$F,4,0)</f>
        <v>8</v>
      </c>
      <c r="E2747">
        <f>VLOOKUP(tblTargetMedicos[[#This Row],[codigo_id]],[1]DIM_REPRESENTANTE_MEDICO!$C:$F,3,0)</f>
        <v>8</v>
      </c>
      <c r="F2747" s="27" t="s">
        <v>5796</v>
      </c>
      <c r="G2747" s="27" t="s">
        <v>5783</v>
      </c>
      <c r="H2747" s="27" t="s">
        <v>96</v>
      </c>
      <c r="I2747">
        <v>1</v>
      </c>
    </row>
    <row r="2748" spans="1:9">
      <c r="A2748" t="s">
        <v>3163</v>
      </c>
      <c r="B2748" s="27" t="s">
        <v>3231</v>
      </c>
      <c r="C2748" s="27" t="s">
        <v>5777</v>
      </c>
      <c r="D2748">
        <f>VLOOKUP(tblTargetMedicos[[#This Row],[codigo_id]],[1]DIM_REPRESENTANTE_MEDICO!$C:$F,4,0)</f>
        <v>8</v>
      </c>
      <c r="E2748">
        <f>VLOOKUP(tblTargetMedicos[[#This Row],[codigo_id]],[1]DIM_REPRESENTANTE_MEDICO!$C:$F,3,0)</f>
        <v>8</v>
      </c>
      <c r="F2748" s="27" t="s">
        <v>5796</v>
      </c>
      <c r="G2748" s="27" t="s">
        <v>5780</v>
      </c>
      <c r="H2748" s="27" t="s">
        <v>96</v>
      </c>
      <c r="I2748">
        <v>1</v>
      </c>
    </row>
    <row r="2749" spans="1:9">
      <c r="A2749" t="s">
        <v>3164</v>
      </c>
      <c r="B2749" s="27" t="s">
        <v>3231</v>
      </c>
      <c r="C2749" s="27" t="s">
        <v>5777</v>
      </c>
      <c r="D2749">
        <f>VLOOKUP(tblTargetMedicos[[#This Row],[codigo_id]],[1]DIM_REPRESENTANTE_MEDICO!$C:$F,4,0)</f>
        <v>8</v>
      </c>
      <c r="E2749">
        <f>VLOOKUP(tblTargetMedicos[[#This Row],[codigo_id]],[1]DIM_REPRESENTANTE_MEDICO!$C:$F,3,0)</f>
        <v>8</v>
      </c>
      <c r="F2749" s="27" t="s">
        <v>5796</v>
      </c>
      <c r="G2749" s="27" t="s">
        <v>5785</v>
      </c>
      <c r="H2749" s="27" t="s">
        <v>96</v>
      </c>
      <c r="I2749">
        <v>1</v>
      </c>
    </row>
    <row r="2750" spans="1:9">
      <c r="A2750" t="s">
        <v>3165</v>
      </c>
      <c r="B2750" s="27" t="s">
        <v>3231</v>
      </c>
      <c r="C2750" s="27" t="s">
        <v>5777</v>
      </c>
      <c r="D2750">
        <f>VLOOKUP(tblTargetMedicos[[#This Row],[codigo_id]],[1]DIM_REPRESENTANTE_MEDICO!$C:$F,4,0)</f>
        <v>8</v>
      </c>
      <c r="E2750">
        <f>VLOOKUP(tblTargetMedicos[[#This Row],[codigo_id]],[1]DIM_REPRESENTANTE_MEDICO!$C:$F,3,0)</f>
        <v>8</v>
      </c>
      <c r="F2750" s="27" t="s">
        <v>5796</v>
      </c>
      <c r="G2750" s="27" t="s">
        <v>5791</v>
      </c>
      <c r="H2750" s="27" t="s">
        <v>96</v>
      </c>
      <c r="I2750">
        <v>1</v>
      </c>
    </row>
    <row r="2751" spans="1:9">
      <c r="A2751" t="s">
        <v>3166</v>
      </c>
      <c r="B2751" s="27" t="s">
        <v>3231</v>
      </c>
      <c r="C2751" s="27" t="s">
        <v>5777</v>
      </c>
      <c r="D2751">
        <f>VLOOKUP(tblTargetMedicos[[#This Row],[codigo_id]],[1]DIM_REPRESENTANTE_MEDICO!$C:$F,4,0)</f>
        <v>8</v>
      </c>
      <c r="E2751">
        <f>VLOOKUP(tblTargetMedicos[[#This Row],[codigo_id]],[1]DIM_REPRESENTANTE_MEDICO!$C:$F,3,0)</f>
        <v>8</v>
      </c>
      <c r="F2751" s="27" t="s">
        <v>5796</v>
      </c>
      <c r="G2751" s="27" t="s">
        <v>5784</v>
      </c>
      <c r="H2751" s="27" t="s">
        <v>96</v>
      </c>
      <c r="I2751">
        <v>1</v>
      </c>
    </row>
    <row r="2752" spans="1:9">
      <c r="A2752" t="s">
        <v>3167</v>
      </c>
      <c r="B2752" s="27" t="s">
        <v>3231</v>
      </c>
      <c r="C2752" s="27" t="s">
        <v>5777</v>
      </c>
      <c r="D2752">
        <f>VLOOKUP(tblTargetMedicos[[#This Row],[codigo_id]],[1]DIM_REPRESENTANTE_MEDICO!$C:$F,4,0)</f>
        <v>8</v>
      </c>
      <c r="E2752">
        <f>VLOOKUP(tblTargetMedicos[[#This Row],[codigo_id]],[1]DIM_REPRESENTANTE_MEDICO!$C:$F,3,0)</f>
        <v>8</v>
      </c>
      <c r="F2752" s="27" t="s">
        <v>5796</v>
      </c>
      <c r="G2752" s="27" t="s">
        <v>5783</v>
      </c>
      <c r="H2752" s="27" t="s">
        <v>96</v>
      </c>
      <c r="I2752">
        <v>1</v>
      </c>
    </row>
    <row r="2753" spans="1:9">
      <c r="A2753" t="s">
        <v>3168</v>
      </c>
      <c r="B2753" s="27" t="s">
        <v>3231</v>
      </c>
      <c r="C2753" s="27" t="s">
        <v>5777</v>
      </c>
      <c r="D2753">
        <f>VLOOKUP(tblTargetMedicos[[#This Row],[codigo_id]],[1]DIM_REPRESENTANTE_MEDICO!$C:$F,4,0)</f>
        <v>8</v>
      </c>
      <c r="E2753">
        <f>VLOOKUP(tblTargetMedicos[[#This Row],[codigo_id]],[1]DIM_REPRESENTANTE_MEDICO!$C:$F,3,0)</f>
        <v>8</v>
      </c>
      <c r="F2753" s="27" t="s">
        <v>5796</v>
      </c>
      <c r="G2753" s="27" t="s">
        <v>5784</v>
      </c>
      <c r="H2753" s="27" t="s">
        <v>96</v>
      </c>
      <c r="I2753">
        <v>1</v>
      </c>
    </row>
    <row r="2754" spans="1:9">
      <c r="A2754" t="s">
        <v>3169</v>
      </c>
      <c r="B2754" s="27" t="s">
        <v>3231</v>
      </c>
      <c r="C2754" s="27" t="s">
        <v>5777</v>
      </c>
      <c r="D2754">
        <f>VLOOKUP(tblTargetMedicos[[#This Row],[codigo_id]],[1]DIM_REPRESENTANTE_MEDICO!$C:$F,4,0)</f>
        <v>8</v>
      </c>
      <c r="E2754">
        <f>VLOOKUP(tblTargetMedicos[[#This Row],[codigo_id]],[1]DIM_REPRESENTANTE_MEDICO!$C:$F,3,0)</f>
        <v>8</v>
      </c>
      <c r="F2754" s="27" t="s">
        <v>5796</v>
      </c>
      <c r="G2754" s="27" t="s">
        <v>5783</v>
      </c>
      <c r="H2754" s="27" t="s">
        <v>96</v>
      </c>
      <c r="I2754">
        <v>1</v>
      </c>
    </row>
    <row r="2755" spans="1:9">
      <c r="A2755" t="s">
        <v>3170</v>
      </c>
      <c r="B2755" s="27" t="s">
        <v>3231</v>
      </c>
      <c r="C2755" s="27" t="s">
        <v>5777</v>
      </c>
      <c r="D2755">
        <f>VLOOKUP(tblTargetMedicos[[#This Row],[codigo_id]],[1]DIM_REPRESENTANTE_MEDICO!$C:$F,4,0)</f>
        <v>8</v>
      </c>
      <c r="E2755">
        <f>VLOOKUP(tblTargetMedicos[[#This Row],[codigo_id]],[1]DIM_REPRESENTANTE_MEDICO!$C:$F,3,0)</f>
        <v>8</v>
      </c>
      <c r="F2755" s="27" t="s">
        <v>5796</v>
      </c>
      <c r="G2755" s="27" t="s">
        <v>5783</v>
      </c>
      <c r="H2755" s="27" t="s">
        <v>96</v>
      </c>
      <c r="I2755">
        <v>1</v>
      </c>
    </row>
    <row r="2756" spans="1:9">
      <c r="A2756" t="s">
        <v>3171</v>
      </c>
      <c r="B2756" s="27" t="s">
        <v>3231</v>
      </c>
      <c r="C2756" s="27" t="s">
        <v>5777</v>
      </c>
      <c r="D2756">
        <f>VLOOKUP(tblTargetMedicos[[#This Row],[codigo_id]],[1]DIM_REPRESENTANTE_MEDICO!$C:$F,4,0)</f>
        <v>8</v>
      </c>
      <c r="E2756">
        <f>VLOOKUP(tblTargetMedicos[[#This Row],[codigo_id]],[1]DIM_REPRESENTANTE_MEDICO!$C:$F,3,0)</f>
        <v>8</v>
      </c>
      <c r="F2756" s="27" t="s">
        <v>5796</v>
      </c>
      <c r="G2756" s="27" t="s">
        <v>5784</v>
      </c>
      <c r="H2756" s="27" t="s">
        <v>96</v>
      </c>
      <c r="I2756">
        <v>1</v>
      </c>
    </row>
    <row r="2757" spans="1:9">
      <c r="A2757" t="s">
        <v>3172</v>
      </c>
      <c r="B2757" s="27" t="s">
        <v>3231</v>
      </c>
      <c r="C2757" s="27" t="s">
        <v>5777</v>
      </c>
      <c r="D2757">
        <f>VLOOKUP(tblTargetMedicos[[#This Row],[codigo_id]],[1]DIM_REPRESENTANTE_MEDICO!$C:$F,4,0)</f>
        <v>8</v>
      </c>
      <c r="E2757">
        <f>VLOOKUP(tblTargetMedicos[[#This Row],[codigo_id]],[1]DIM_REPRESENTANTE_MEDICO!$C:$F,3,0)</f>
        <v>8</v>
      </c>
      <c r="F2757" s="27" t="s">
        <v>5796</v>
      </c>
      <c r="G2757" s="27" t="s">
        <v>5783</v>
      </c>
      <c r="H2757" s="27" t="s">
        <v>96</v>
      </c>
      <c r="I2757">
        <v>1</v>
      </c>
    </row>
    <row r="2758" spans="1:9">
      <c r="A2758" t="s">
        <v>3173</v>
      </c>
      <c r="B2758" s="27" t="s">
        <v>3231</v>
      </c>
      <c r="C2758" s="27" t="s">
        <v>5777</v>
      </c>
      <c r="D2758">
        <f>VLOOKUP(tblTargetMedicos[[#This Row],[codigo_id]],[1]DIM_REPRESENTANTE_MEDICO!$C:$F,4,0)</f>
        <v>8</v>
      </c>
      <c r="E2758">
        <f>VLOOKUP(tblTargetMedicos[[#This Row],[codigo_id]],[1]DIM_REPRESENTANTE_MEDICO!$C:$F,3,0)</f>
        <v>8</v>
      </c>
      <c r="F2758" s="27" t="s">
        <v>5796</v>
      </c>
      <c r="G2758" s="27" t="s">
        <v>5784</v>
      </c>
      <c r="H2758" s="27" t="s">
        <v>96</v>
      </c>
      <c r="I2758">
        <v>1</v>
      </c>
    </row>
    <row r="2759" spans="1:9">
      <c r="A2759" t="s">
        <v>3174</v>
      </c>
      <c r="B2759" s="27" t="s">
        <v>3231</v>
      </c>
      <c r="C2759" s="27" t="s">
        <v>5777</v>
      </c>
      <c r="D2759">
        <f>VLOOKUP(tblTargetMedicos[[#This Row],[codigo_id]],[1]DIM_REPRESENTANTE_MEDICO!$C:$F,4,0)</f>
        <v>8</v>
      </c>
      <c r="E2759">
        <f>VLOOKUP(tblTargetMedicos[[#This Row],[codigo_id]],[1]DIM_REPRESENTANTE_MEDICO!$C:$F,3,0)</f>
        <v>8</v>
      </c>
      <c r="F2759" s="27" t="s">
        <v>5796</v>
      </c>
      <c r="G2759" s="27" t="s">
        <v>5783</v>
      </c>
      <c r="H2759" s="27" t="s">
        <v>96</v>
      </c>
      <c r="I2759">
        <v>1</v>
      </c>
    </row>
    <row r="2760" spans="1:9">
      <c r="A2760" t="s">
        <v>3175</v>
      </c>
      <c r="B2760" s="27" t="s">
        <v>3231</v>
      </c>
      <c r="C2760" s="27" t="s">
        <v>5777</v>
      </c>
      <c r="D2760">
        <f>VLOOKUP(tblTargetMedicos[[#This Row],[codigo_id]],[1]DIM_REPRESENTANTE_MEDICO!$C:$F,4,0)</f>
        <v>8</v>
      </c>
      <c r="E2760">
        <f>VLOOKUP(tblTargetMedicos[[#This Row],[codigo_id]],[1]DIM_REPRESENTANTE_MEDICO!$C:$F,3,0)</f>
        <v>8</v>
      </c>
      <c r="F2760" s="27" t="s">
        <v>5796</v>
      </c>
      <c r="G2760" s="27" t="s">
        <v>5787</v>
      </c>
      <c r="H2760" s="27" t="s">
        <v>97</v>
      </c>
      <c r="I2760">
        <v>1</v>
      </c>
    </row>
    <row r="2761" spans="1:9">
      <c r="A2761" t="s">
        <v>3176</v>
      </c>
      <c r="B2761" s="27" t="s">
        <v>3231</v>
      </c>
      <c r="C2761" s="27" t="s">
        <v>5777</v>
      </c>
      <c r="D2761">
        <f>VLOOKUP(tblTargetMedicos[[#This Row],[codigo_id]],[1]DIM_REPRESENTANTE_MEDICO!$C:$F,4,0)</f>
        <v>8</v>
      </c>
      <c r="E2761">
        <f>VLOOKUP(tblTargetMedicos[[#This Row],[codigo_id]],[1]DIM_REPRESENTANTE_MEDICO!$C:$F,3,0)</f>
        <v>8</v>
      </c>
      <c r="F2761" s="27" t="s">
        <v>5796</v>
      </c>
      <c r="G2761" s="27" t="s">
        <v>5785</v>
      </c>
      <c r="H2761" s="27" t="s">
        <v>97</v>
      </c>
      <c r="I2761">
        <v>1</v>
      </c>
    </row>
    <row r="2762" spans="1:9">
      <c r="A2762" t="s">
        <v>3177</v>
      </c>
      <c r="B2762" s="27" t="s">
        <v>3231</v>
      </c>
      <c r="C2762" s="27" t="s">
        <v>5777</v>
      </c>
      <c r="D2762">
        <f>VLOOKUP(tblTargetMedicos[[#This Row],[codigo_id]],[1]DIM_REPRESENTANTE_MEDICO!$C:$F,4,0)</f>
        <v>8</v>
      </c>
      <c r="E2762">
        <f>VLOOKUP(tblTargetMedicos[[#This Row],[codigo_id]],[1]DIM_REPRESENTANTE_MEDICO!$C:$F,3,0)</f>
        <v>8</v>
      </c>
      <c r="F2762" s="27" t="s">
        <v>5796</v>
      </c>
      <c r="G2762" s="27" t="s">
        <v>5783</v>
      </c>
      <c r="H2762" s="27" t="s">
        <v>96</v>
      </c>
      <c r="I2762">
        <v>1</v>
      </c>
    </row>
    <row r="2763" spans="1:9">
      <c r="A2763" t="s">
        <v>3178</v>
      </c>
      <c r="B2763" s="27" t="s">
        <v>3231</v>
      </c>
      <c r="C2763" s="27" t="s">
        <v>5777</v>
      </c>
      <c r="D2763">
        <f>VLOOKUP(tblTargetMedicos[[#This Row],[codigo_id]],[1]DIM_REPRESENTANTE_MEDICO!$C:$F,4,0)</f>
        <v>8</v>
      </c>
      <c r="E2763">
        <f>VLOOKUP(tblTargetMedicos[[#This Row],[codigo_id]],[1]DIM_REPRESENTANTE_MEDICO!$C:$F,3,0)</f>
        <v>8</v>
      </c>
      <c r="F2763" s="27" t="s">
        <v>5796</v>
      </c>
      <c r="G2763" s="27" t="s">
        <v>5783</v>
      </c>
      <c r="H2763" s="27" t="s">
        <v>5793</v>
      </c>
      <c r="I2763">
        <v>1</v>
      </c>
    </row>
    <row r="2764" spans="1:9">
      <c r="A2764" t="s">
        <v>3179</v>
      </c>
      <c r="B2764" s="27" t="s">
        <v>3231</v>
      </c>
      <c r="C2764" s="27" t="s">
        <v>5777</v>
      </c>
      <c r="D2764">
        <f>VLOOKUP(tblTargetMedicos[[#This Row],[codigo_id]],[1]DIM_REPRESENTANTE_MEDICO!$C:$F,4,0)</f>
        <v>8</v>
      </c>
      <c r="E2764">
        <f>VLOOKUP(tblTargetMedicos[[#This Row],[codigo_id]],[1]DIM_REPRESENTANTE_MEDICO!$C:$F,3,0)</f>
        <v>8</v>
      </c>
      <c r="F2764" s="27" t="s">
        <v>5796</v>
      </c>
      <c r="G2764" s="27" t="s">
        <v>5779</v>
      </c>
      <c r="H2764" s="27" t="s">
        <v>96</v>
      </c>
      <c r="I2764">
        <v>1</v>
      </c>
    </row>
    <row r="2765" spans="1:9">
      <c r="A2765" t="s">
        <v>3180</v>
      </c>
      <c r="B2765" s="27" t="s">
        <v>3231</v>
      </c>
      <c r="C2765" s="27" t="s">
        <v>5777</v>
      </c>
      <c r="D2765">
        <f>VLOOKUP(tblTargetMedicos[[#This Row],[codigo_id]],[1]DIM_REPRESENTANTE_MEDICO!$C:$F,4,0)</f>
        <v>8</v>
      </c>
      <c r="E2765">
        <f>VLOOKUP(tblTargetMedicos[[#This Row],[codigo_id]],[1]DIM_REPRESENTANTE_MEDICO!$C:$F,3,0)</f>
        <v>8</v>
      </c>
      <c r="F2765" s="27" t="s">
        <v>5796</v>
      </c>
      <c r="G2765" s="27" t="s">
        <v>5779</v>
      </c>
      <c r="H2765" s="27" t="s">
        <v>96</v>
      </c>
      <c r="I2765">
        <v>1</v>
      </c>
    </row>
    <row r="2766" spans="1:9">
      <c r="A2766" t="s">
        <v>3181</v>
      </c>
      <c r="B2766" s="27" t="s">
        <v>3231</v>
      </c>
      <c r="C2766" s="27" t="s">
        <v>5777</v>
      </c>
      <c r="D2766">
        <f>VLOOKUP(tblTargetMedicos[[#This Row],[codigo_id]],[1]DIM_REPRESENTANTE_MEDICO!$C:$F,4,0)</f>
        <v>8</v>
      </c>
      <c r="E2766">
        <f>VLOOKUP(tblTargetMedicos[[#This Row],[codigo_id]],[1]DIM_REPRESENTANTE_MEDICO!$C:$F,3,0)</f>
        <v>8</v>
      </c>
      <c r="F2766" s="27" t="s">
        <v>5796</v>
      </c>
      <c r="G2766" s="27" t="s">
        <v>5787</v>
      </c>
      <c r="H2766" s="27" t="s">
        <v>96</v>
      </c>
      <c r="I2766">
        <v>1</v>
      </c>
    </row>
    <row r="2767" spans="1:9">
      <c r="A2767" t="s">
        <v>3182</v>
      </c>
      <c r="B2767" s="27" t="s">
        <v>3231</v>
      </c>
      <c r="C2767" s="27" t="s">
        <v>5777</v>
      </c>
      <c r="D2767">
        <f>VLOOKUP(tblTargetMedicos[[#This Row],[codigo_id]],[1]DIM_REPRESENTANTE_MEDICO!$C:$F,4,0)</f>
        <v>8</v>
      </c>
      <c r="E2767">
        <f>VLOOKUP(tblTargetMedicos[[#This Row],[codigo_id]],[1]DIM_REPRESENTANTE_MEDICO!$C:$F,3,0)</f>
        <v>8</v>
      </c>
      <c r="F2767" s="27" t="s">
        <v>5796</v>
      </c>
      <c r="G2767" s="27" t="s">
        <v>5779</v>
      </c>
      <c r="H2767" s="27" t="s">
        <v>96</v>
      </c>
      <c r="I2767">
        <v>1</v>
      </c>
    </row>
    <row r="2768" spans="1:9">
      <c r="A2768" t="s">
        <v>3183</v>
      </c>
      <c r="B2768" s="27" t="s">
        <v>3231</v>
      </c>
      <c r="C2768" s="27" t="s">
        <v>5777</v>
      </c>
      <c r="D2768">
        <f>VLOOKUP(tblTargetMedicos[[#This Row],[codigo_id]],[1]DIM_REPRESENTANTE_MEDICO!$C:$F,4,0)</f>
        <v>8</v>
      </c>
      <c r="E2768">
        <f>VLOOKUP(tblTargetMedicos[[#This Row],[codigo_id]],[1]DIM_REPRESENTANTE_MEDICO!$C:$F,3,0)</f>
        <v>8</v>
      </c>
      <c r="F2768" s="27" t="s">
        <v>5796</v>
      </c>
      <c r="G2768" s="27" t="s">
        <v>5786</v>
      </c>
      <c r="H2768" s="27" t="s">
        <v>96</v>
      </c>
      <c r="I2768">
        <v>1</v>
      </c>
    </row>
    <row r="2769" spans="1:9">
      <c r="A2769" t="s">
        <v>3184</v>
      </c>
      <c r="B2769" s="27" t="s">
        <v>3231</v>
      </c>
      <c r="C2769" s="27" t="s">
        <v>5777</v>
      </c>
      <c r="D2769">
        <f>VLOOKUP(tblTargetMedicos[[#This Row],[codigo_id]],[1]DIM_REPRESENTANTE_MEDICO!$C:$F,4,0)</f>
        <v>8</v>
      </c>
      <c r="E2769">
        <f>VLOOKUP(tblTargetMedicos[[#This Row],[codigo_id]],[1]DIM_REPRESENTANTE_MEDICO!$C:$F,3,0)</f>
        <v>8</v>
      </c>
      <c r="F2769" s="27" t="s">
        <v>5796</v>
      </c>
      <c r="G2769" s="27" t="s">
        <v>5784</v>
      </c>
      <c r="H2769" s="27" t="s">
        <v>97</v>
      </c>
      <c r="I2769">
        <v>1</v>
      </c>
    </row>
    <row r="2770" spans="1:9">
      <c r="A2770" t="s">
        <v>3185</v>
      </c>
      <c r="B2770" s="27" t="s">
        <v>3231</v>
      </c>
      <c r="C2770" s="27" t="s">
        <v>5777</v>
      </c>
      <c r="D2770">
        <f>VLOOKUP(tblTargetMedicos[[#This Row],[codigo_id]],[1]DIM_REPRESENTANTE_MEDICO!$C:$F,4,0)</f>
        <v>8</v>
      </c>
      <c r="E2770">
        <f>VLOOKUP(tblTargetMedicos[[#This Row],[codigo_id]],[1]DIM_REPRESENTANTE_MEDICO!$C:$F,3,0)</f>
        <v>8</v>
      </c>
      <c r="F2770" s="27" t="s">
        <v>5796</v>
      </c>
      <c r="G2770" s="27" t="s">
        <v>5783</v>
      </c>
      <c r="H2770" s="27" t="s">
        <v>96</v>
      </c>
      <c r="I2770">
        <v>1</v>
      </c>
    </row>
    <row r="2771" spans="1:9">
      <c r="A2771" t="s">
        <v>3186</v>
      </c>
      <c r="B2771" s="27" t="s">
        <v>3231</v>
      </c>
      <c r="C2771" s="27" t="s">
        <v>5777</v>
      </c>
      <c r="D2771">
        <f>VLOOKUP(tblTargetMedicos[[#This Row],[codigo_id]],[1]DIM_REPRESENTANTE_MEDICO!$C:$F,4,0)</f>
        <v>8</v>
      </c>
      <c r="E2771">
        <f>VLOOKUP(tblTargetMedicos[[#This Row],[codigo_id]],[1]DIM_REPRESENTANTE_MEDICO!$C:$F,3,0)</f>
        <v>8</v>
      </c>
      <c r="F2771" s="27" t="s">
        <v>5796</v>
      </c>
      <c r="G2771" s="27" t="s">
        <v>5782</v>
      </c>
      <c r="H2771" s="27" t="s">
        <v>96</v>
      </c>
      <c r="I2771">
        <v>1</v>
      </c>
    </row>
    <row r="2772" spans="1:9">
      <c r="A2772" t="s">
        <v>3187</v>
      </c>
      <c r="B2772" s="27" t="s">
        <v>3231</v>
      </c>
      <c r="C2772" s="27" t="s">
        <v>5777</v>
      </c>
      <c r="D2772">
        <f>VLOOKUP(tblTargetMedicos[[#This Row],[codigo_id]],[1]DIM_REPRESENTANTE_MEDICO!$C:$F,4,0)</f>
        <v>8</v>
      </c>
      <c r="E2772">
        <f>VLOOKUP(tblTargetMedicos[[#This Row],[codigo_id]],[1]DIM_REPRESENTANTE_MEDICO!$C:$F,3,0)</f>
        <v>8</v>
      </c>
      <c r="F2772" s="27" t="s">
        <v>5796</v>
      </c>
      <c r="G2772" s="27" t="s">
        <v>5787</v>
      </c>
      <c r="H2772" s="27" t="s">
        <v>96</v>
      </c>
      <c r="I2772">
        <v>1</v>
      </c>
    </row>
    <row r="2773" spans="1:9">
      <c r="A2773" t="s">
        <v>3188</v>
      </c>
      <c r="B2773" s="27" t="s">
        <v>3231</v>
      </c>
      <c r="C2773" s="27" t="s">
        <v>5777</v>
      </c>
      <c r="D2773">
        <f>VLOOKUP(tblTargetMedicos[[#This Row],[codigo_id]],[1]DIM_REPRESENTANTE_MEDICO!$C:$F,4,0)</f>
        <v>8</v>
      </c>
      <c r="E2773">
        <f>VLOOKUP(tblTargetMedicos[[#This Row],[codigo_id]],[1]DIM_REPRESENTANTE_MEDICO!$C:$F,3,0)</f>
        <v>8</v>
      </c>
      <c r="F2773" s="27" t="s">
        <v>5796</v>
      </c>
      <c r="G2773" s="27" t="s">
        <v>5785</v>
      </c>
      <c r="H2773" s="27" t="s">
        <v>96</v>
      </c>
      <c r="I2773">
        <v>1</v>
      </c>
    </row>
    <row r="2774" spans="1:9">
      <c r="A2774" t="s">
        <v>3189</v>
      </c>
      <c r="B2774" s="27" t="s">
        <v>3231</v>
      </c>
      <c r="C2774" s="27" t="s">
        <v>5777</v>
      </c>
      <c r="D2774">
        <f>VLOOKUP(tblTargetMedicos[[#This Row],[codigo_id]],[1]DIM_REPRESENTANTE_MEDICO!$C:$F,4,0)</f>
        <v>8</v>
      </c>
      <c r="E2774">
        <f>VLOOKUP(tblTargetMedicos[[#This Row],[codigo_id]],[1]DIM_REPRESENTANTE_MEDICO!$C:$F,3,0)</f>
        <v>8</v>
      </c>
      <c r="F2774" s="27" t="s">
        <v>5796</v>
      </c>
      <c r="G2774" s="27" t="s">
        <v>5784</v>
      </c>
      <c r="H2774" s="27" t="s">
        <v>95</v>
      </c>
      <c r="I2774">
        <v>1</v>
      </c>
    </row>
    <row r="2775" spans="1:9">
      <c r="A2775" t="s">
        <v>3190</v>
      </c>
      <c r="B2775" s="27" t="s">
        <v>3231</v>
      </c>
      <c r="C2775" s="27" t="s">
        <v>5777</v>
      </c>
      <c r="D2775">
        <f>VLOOKUP(tblTargetMedicos[[#This Row],[codigo_id]],[1]DIM_REPRESENTANTE_MEDICO!$C:$F,4,0)</f>
        <v>8</v>
      </c>
      <c r="E2775">
        <f>VLOOKUP(tblTargetMedicos[[#This Row],[codigo_id]],[1]DIM_REPRESENTANTE_MEDICO!$C:$F,3,0)</f>
        <v>8</v>
      </c>
      <c r="F2775" s="27" t="s">
        <v>5796</v>
      </c>
      <c r="G2775" s="27" t="s">
        <v>5784</v>
      </c>
      <c r="H2775" s="27" t="s">
        <v>96</v>
      </c>
      <c r="I2775">
        <v>1</v>
      </c>
    </row>
    <row r="2776" spans="1:9">
      <c r="A2776" t="s">
        <v>3191</v>
      </c>
      <c r="B2776" s="27" t="s">
        <v>3231</v>
      </c>
      <c r="C2776" s="27" t="s">
        <v>5777</v>
      </c>
      <c r="D2776">
        <f>VLOOKUP(tblTargetMedicos[[#This Row],[codigo_id]],[1]DIM_REPRESENTANTE_MEDICO!$C:$F,4,0)</f>
        <v>8</v>
      </c>
      <c r="E2776">
        <f>VLOOKUP(tblTargetMedicos[[#This Row],[codigo_id]],[1]DIM_REPRESENTANTE_MEDICO!$C:$F,3,0)</f>
        <v>8</v>
      </c>
      <c r="F2776" s="27" t="s">
        <v>5796</v>
      </c>
      <c r="G2776" s="27" t="s">
        <v>5784</v>
      </c>
      <c r="H2776" s="27" t="s">
        <v>95</v>
      </c>
      <c r="I2776">
        <v>1</v>
      </c>
    </row>
    <row r="2777" spans="1:9">
      <c r="A2777" t="s">
        <v>3192</v>
      </c>
      <c r="B2777" s="27" t="s">
        <v>3231</v>
      </c>
      <c r="C2777" s="27" t="s">
        <v>5777</v>
      </c>
      <c r="D2777">
        <f>VLOOKUP(tblTargetMedicos[[#This Row],[codigo_id]],[1]DIM_REPRESENTANTE_MEDICO!$C:$F,4,0)</f>
        <v>8</v>
      </c>
      <c r="E2777">
        <f>VLOOKUP(tblTargetMedicos[[#This Row],[codigo_id]],[1]DIM_REPRESENTANTE_MEDICO!$C:$F,3,0)</f>
        <v>8</v>
      </c>
      <c r="F2777" s="27" t="s">
        <v>5796</v>
      </c>
      <c r="G2777" s="27" t="s">
        <v>5784</v>
      </c>
      <c r="H2777" s="27" t="s">
        <v>96</v>
      </c>
      <c r="I2777">
        <v>1</v>
      </c>
    </row>
    <row r="2778" spans="1:9">
      <c r="A2778" t="s">
        <v>3193</v>
      </c>
      <c r="B2778" s="27" t="s">
        <v>3231</v>
      </c>
      <c r="C2778" s="27" t="s">
        <v>5777</v>
      </c>
      <c r="D2778">
        <f>VLOOKUP(tblTargetMedicos[[#This Row],[codigo_id]],[1]DIM_REPRESENTANTE_MEDICO!$C:$F,4,0)</f>
        <v>8</v>
      </c>
      <c r="E2778">
        <f>VLOOKUP(tblTargetMedicos[[#This Row],[codigo_id]],[1]DIM_REPRESENTANTE_MEDICO!$C:$F,3,0)</f>
        <v>8</v>
      </c>
      <c r="F2778" s="27" t="s">
        <v>5796</v>
      </c>
      <c r="G2778" s="27" t="s">
        <v>5784</v>
      </c>
      <c r="H2778" s="27" t="s">
        <v>96</v>
      </c>
      <c r="I2778">
        <v>1</v>
      </c>
    </row>
    <row r="2779" spans="1:9">
      <c r="A2779" t="s">
        <v>3194</v>
      </c>
      <c r="B2779" s="27" t="s">
        <v>3231</v>
      </c>
      <c r="C2779" s="27" t="s">
        <v>5777</v>
      </c>
      <c r="D2779">
        <f>VLOOKUP(tblTargetMedicos[[#This Row],[codigo_id]],[1]DIM_REPRESENTANTE_MEDICO!$C:$F,4,0)</f>
        <v>8</v>
      </c>
      <c r="E2779">
        <f>VLOOKUP(tblTargetMedicos[[#This Row],[codigo_id]],[1]DIM_REPRESENTANTE_MEDICO!$C:$F,3,0)</f>
        <v>8</v>
      </c>
      <c r="F2779" s="27" t="s">
        <v>5796</v>
      </c>
      <c r="G2779" s="27" t="s">
        <v>5782</v>
      </c>
      <c r="H2779" s="27" t="s">
        <v>96</v>
      </c>
      <c r="I2779">
        <v>1</v>
      </c>
    </row>
    <row r="2780" spans="1:9">
      <c r="A2780" t="s">
        <v>3195</v>
      </c>
      <c r="B2780" s="27" t="s">
        <v>3231</v>
      </c>
      <c r="C2780" s="27" t="s">
        <v>5777</v>
      </c>
      <c r="D2780">
        <f>VLOOKUP(tblTargetMedicos[[#This Row],[codigo_id]],[1]DIM_REPRESENTANTE_MEDICO!$C:$F,4,0)</f>
        <v>8</v>
      </c>
      <c r="E2780">
        <f>VLOOKUP(tblTargetMedicos[[#This Row],[codigo_id]],[1]DIM_REPRESENTANTE_MEDICO!$C:$F,3,0)</f>
        <v>8</v>
      </c>
      <c r="F2780" s="27" t="s">
        <v>5796</v>
      </c>
      <c r="G2780" s="27" t="s">
        <v>5783</v>
      </c>
      <c r="H2780" s="27" t="s">
        <v>96</v>
      </c>
      <c r="I2780">
        <v>1</v>
      </c>
    </row>
    <row r="2781" spans="1:9">
      <c r="A2781" t="s">
        <v>3196</v>
      </c>
      <c r="B2781" s="27" t="s">
        <v>3231</v>
      </c>
      <c r="C2781" s="27" t="s">
        <v>5777</v>
      </c>
      <c r="D2781">
        <f>VLOOKUP(tblTargetMedicos[[#This Row],[codigo_id]],[1]DIM_REPRESENTANTE_MEDICO!$C:$F,4,0)</f>
        <v>8</v>
      </c>
      <c r="E2781">
        <f>VLOOKUP(tblTargetMedicos[[#This Row],[codigo_id]],[1]DIM_REPRESENTANTE_MEDICO!$C:$F,3,0)</f>
        <v>8</v>
      </c>
      <c r="F2781" s="27" t="s">
        <v>5796</v>
      </c>
      <c r="G2781" s="27" t="s">
        <v>5784</v>
      </c>
      <c r="H2781" s="27" t="s">
        <v>95</v>
      </c>
      <c r="I2781">
        <v>1</v>
      </c>
    </row>
    <row r="2782" spans="1:9">
      <c r="A2782" t="s">
        <v>3197</v>
      </c>
      <c r="B2782" s="27" t="s">
        <v>3231</v>
      </c>
      <c r="C2782" s="27" t="s">
        <v>5777</v>
      </c>
      <c r="D2782">
        <f>VLOOKUP(tblTargetMedicos[[#This Row],[codigo_id]],[1]DIM_REPRESENTANTE_MEDICO!$C:$F,4,0)</f>
        <v>8</v>
      </c>
      <c r="E2782">
        <f>VLOOKUP(tblTargetMedicos[[#This Row],[codigo_id]],[1]DIM_REPRESENTANTE_MEDICO!$C:$F,3,0)</f>
        <v>8</v>
      </c>
      <c r="F2782" s="27" t="s">
        <v>5796</v>
      </c>
      <c r="G2782" s="27" t="s">
        <v>5784</v>
      </c>
      <c r="H2782" s="27" t="s">
        <v>95</v>
      </c>
      <c r="I2782">
        <v>1</v>
      </c>
    </row>
    <row r="2783" spans="1:9">
      <c r="A2783" t="s">
        <v>3198</v>
      </c>
      <c r="B2783" s="27" t="s">
        <v>3231</v>
      </c>
      <c r="C2783" s="27" t="s">
        <v>5777</v>
      </c>
      <c r="D2783">
        <f>VLOOKUP(tblTargetMedicos[[#This Row],[codigo_id]],[1]DIM_REPRESENTANTE_MEDICO!$C:$F,4,0)</f>
        <v>8</v>
      </c>
      <c r="E2783">
        <f>VLOOKUP(tblTargetMedicos[[#This Row],[codigo_id]],[1]DIM_REPRESENTANTE_MEDICO!$C:$F,3,0)</f>
        <v>8</v>
      </c>
      <c r="F2783" s="27" t="s">
        <v>5796</v>
      </c>
      <c r="G2783" s="27" t="s">
        <v>5784</v>
      </c>
      <c r="H2783" s="27" t="s">
        <v>97</v>
      </c>
      <c r="I2783">
        <v>1</v>
      </c>
    </row>
    <row r="2784" spans="1:9">
      <c r="A2784" t="s">
        <v>3199</v>
      </c>
      <c r="B2784" s="27" t="s">
        <v>3231</v>
      </c>
      <c r="C2784" s="27" t="s">
        <v>5777</v>
      </c>
      <c r="D2784">
        <f>VLOOKUP(tblTargetMedicos[[#This Row],[codigo_id]],[1]DIM_REPRESENTANTE_MEDICO!$C:$F,4,0)</f>
        <v>8</v>
      </c>
      <c r="E2784">
        <f>VLOOKUP(tblTargetMedicos[[#This Row],[codigo_id]],[1]DIM_REPRESENTANTE_MEDICO!$C:$F,3,0)</f>
        <v>8</v>
      </c>
      <c r="F2784" s="27" t="s">
        <v>5796</v>
      </c>
      <c r="G2784" s="27" t="s">
        <v>5783</v>
      </c>
      <c r="H2784" s="27" t="s">
        <v>96</v>
      </c>
      <c r="I2784">
        <v>1</v>
      </c>
    </row>
    <row r="2785" spans="1:9">
      <c r="A2785" t="s">
        <v>3200</v>
      </c>
      <c r="B2785" s="27" t="s">
        <v>3231</v>
      </c>
      <c r="C2785" s="27" t="s">
        <v>5777</v>
      </c>
      <c r="D2785">
        <f>VLOOKUP(tblTargetMedicos[[#This Row],[codigo_id]],[1]DIM_REPRESENTANTE_MEDICO!$C:$F,4,0)</f>
        <v>8</v>
      </c>
      <c r="E2785">
        <f>VLOOKUP(tblTargetMedicos[[#This Row],[codigo_id]],[1]DIM_REPRESENTANTE_MEDICO!$C:$F,3,0)</f>
        <v>8</v>
      </c>
      <c r="F2785" s="27" t="s">
        <v>5796</v>
      </c>
      <c r="G2785" s="27" t="s">
        <v>5784</v>
      </c>
      <c r="H2785" s="27" t="s">
        <v>96</v>
      </c>
      <c r="I2785">
        <v>1</v>
      </c>
    </row>
    <row r="2786" spans="1:9">
      <c r="A2786" t="s">
        <v>3201</v>
      </c>
      <c r="B2786" s="27" t="s">
        <v>3231</v>
      </c>
      <c r="C2786" s="27" t="s">
        <v>5777</v>
      </c>
      <c r="D2786">
        <f>VLOOKUP(tblTargetMedicos[[#This Row],[codigo_id]],[1]DIM_REPRESENTANTE_MEDICO!$C:$F,4,0)</f>
        <v>8</v>
      </c>
      <c r="E2786">
        <f>VLOOKUP(tblTargetMedicos[[#This Row],[codigo_id]],[1]DIM_REPRESENTANTE_MEDICO!$C:$F,3,0)</f>
        <v>8</v>
      </c>
      <c r="F2786" s="27" t="s">
        <v>5796</v>
      </c>
      <c r="G2786" s="27" t="s">
        <v>5783</v>
      </c>
      <c r="H2786" s="27" t="s">
        <v>96</v>
      </c>
      <c r="I2786">
        <v>1</v>
      </c>
    </row>
    <row r="2787" spans="1:9">
      <c r="A2787" t="s">
        <v>3202</v>
      </c>
      <c r="B2787" s="27" t="s">
        <v>3231</v>
      </c>
      <c r="C2787" s="27" t="s">
        <v>5777</v>
      </c>
      <c r="D2787">
        <f>VLOOKUP(tblTargetMedicos[[#This Row],[codigo_id]],[1]DIM_REPRESENTANTE_MEDICO!$C:$F,4,0)</f>
        <v>8</v>
      </c>
      <c r="E2787">
        <f>VLOOKUP(tblTargetMedicos[[#This Row],[codigo_id]],[1]DIM_REPRESENTANTE_MEDICO!$C:$F,3,0)</f>
        <v>8</v>
      </c>
      <c r="F2787" s="27" t="s">
        <v>5796</v>
      </c>
      <c r="G2787" s="27" t="s">
        <v>5781</v>
      </c>
      <c r="H2787" s="27" t="s">
        <v>96</v>
      </c>
      <c r="I2787">
        <v>1</v>
      </c>
    </row>
    <row r="2788" spans="1:9">
      <c r="A2788" t="s">
        <v>3203</v>
      </c>
      <c r="B2788" s="27" t="s">
        <v>3231</v>
      </c>
      <c r="C2788" s="27" t="s">
        <v>5777</v>
      </c>
      <c r="D2788">
        <f>VLOOKUP(tblTargetMedicos[[#This Row],[codigo_id]],[1]DIM_REPRESENTANTE_MEDICO!$C:$F,4,0)</f>
        <v>8</v>
      </c>
      <c r="E2788">
        <f>VLOOKUP(tblTargetMedicos[[#This Row],[codigo_id]],[1]DIM_REPRESENTANTE_MEDICO!$C:$F,3,0)</f>
        <v>8</v>
      </c>
      <c r="F2788" s="27" t="s">
        <v>5796</v>
      </c>
      <c r="G2788" s="27" t="s">
        <v>5785</v>
      </c>
      <c r="H2788" s="27" t="s">
        <v>96</v>
      </c>
      <c r="I2788">
        <v>1</v>
      </c>
    </row>
    <row r="2789" spans="1:9">
      <c r="A2789" t="s">
        <v>3204</v>
      </c>
      <c r="B2789" s="27" t="s">
        <v>3231</v>
      </c>
      <c r="C2789" s="27" t="s">
        <v>5777</v>
      </c>
      <c r="D2789">
        <f>VLOOKUP(tblTargetMedicos[[#This Row],[codigo_id]],[1]DIM_REPRESENTANTE_MEDICO!$C:$F,4,0)</f>
        <v>8</v>
      </c>
      <c r="E2789">
        <f>VLOOKUP(tblTargetMedicos[[#This Row],[codigo_id]],[1]DIM_REPRESENTANTE_MEDICO!$C:$F,3,0)</f>
        <v>8</v>
      </c>
      <c r="F2789" s="27" t="s">
        <v>5796</v>
      </c>
      <c r="G2789" s="27" t="s">
        <v>5783</v>
      </c>
      <c r="H2789" s="27" t="s">
        <v>96</v>
      </c>
      <c r="I2789">
        <v>1</v>
      </c>
    </row>
    <row r="2790" spans="1:9">
      <c r="A2790" t="s">
        <v>3205</v>
      </c>
      <c r="B2790" s="27" t="s">
        <v>3231</v>
      </c>
      <c r="C2790" s="27" t="s">
        <v>5777</v>
      </c>
      <c r="D2790">
        <f>VLOOKUP(tblTargetMedicos[[#This Row],[codigo_id]],[1]DIM_REPRESENTANTE_MEDICO!$C:$F,4,0)</f>
        <v>8</v>
      </c>
      <c r="E2790">
        <f>VLOOKUP(tblTargetMedicos[[#This Row],[codigo_id]],[1]DIM_REPRESENTANTE_MEDICO!$C:$F,3,0)</f>
        <v>8</v>
      </c>
      <c r="F2790" s="27" t="s">
        <v>5796</v>
      </c>
      <c r="G2790" s="27" t="s">
        <v>5783</v>
      </c>
      <c r="H2790" s="27" t="s">
        <v>96</v>
      </c>
      <c r="I2790">
        <v>1</v>
      </c>
    </row>
    <row r="2791" spans="1:9">
      <c r="A2791" t="s">
        <v>3206</v>
      </c>
      <c r="B2791" s="27" t="s">
        <v>3231</v>
      </c>
      <c r="C2791" s="27" t="s">
        <v>5777</v>
      </c>
      <c r="D2791">
        <f>VLOOKUP(tblTargetMedicos[[#This Row],[codigo_id]],[1]DIM_REPRESENTANTE_MEDICO!$C:$F,4,0)</f>
        <v>8</v>
      </c>
      <c r="E2791">
        <f>VLOOKUP(tblTargetMedicos[[#This Row],[codigo_id]],[1]DIM_REPRESENTANTE_MEDICO!$C:$F,3,0)</f>
        <v>8</v>
      </c>
      <c r="F2791" s="27" t="s">
        <v>5796</v>
      </c>
      <c r="G2791" s="27" t="s">
        <v>5783</v>
      </c>
      <c r="H2791" s="27" t="s">
        <v>96</v>
      </c>
      <c r="I2791">
        <v>1</v>
      </c>
    </row>
    <row r="2792" spans="1:9">
      <c r="A2792" t="s">
        <v>3207</v>
      </c>
      <c r="B2792" s="27" t="s">
        <v>3231</v>
      </c>
      <c r="C2792" s="27" t="s">
        <v>5777</v>
      </c>
      <c r="D2792">
        <f>VLOOKUP(tblTargetMedicos[[#This Row],[codigo_id]],[1]DIM_REPRESENTANTE_MEDICO!$C:$F,4,0)</f>
        <v>8</v>
      </c>
      <c r="E2792">
        <f>VLOOKUP(tblTargetMedicos[[#This Row],[codigo_id]],[1]DIM_REPRESENTANTE_MEDICO!$C:$F,3,0)</f>
        <v>8</v>
      </c>
      <c r="F2792" s="27" t="s">
        <v>5796</v>
      </c>
      <c r="G2792" s="27" t="s">
        <v>5783</v>
      </c>
      <c r="H2792" s="27" t="s">
        <v>96</v>
      </c>
      <c r="I2792">
        <v>1</v>
      </c>
    </row>
    <row r="2793" spans="1:9">
      <c r="A2793" t="s">
        <v>3208</v>
      </c>
      <c r="B2793" s="27" t="s">
        <v>3231</v>
      </c>
      <c r="C2793" s="27" t="s">
        <v>5777</v>
      </c>
      <c r="D2793">
        <f>VLOOKUP(tblTargetMedicos[[#This Row],[codigo_id]],[1]DIM_REPRESENTANTE_MEDICO!$C:$F,4,0)</f>
        <v>8</v>
      </c>
      <c r="E2793">
        <f>VLOOKUP(tblTargetMedicos[[#This Row],[codigo_id]],[1]DIM_REPRESENTANTE_MEDICO!$C:$F,3,0)</f>
        <v>8</v>
      </c>
      <c r="F2793" s="27" t="s">
        <v>5796</v>
      </c>
      <c r="G2793" s="27" t="s">
        <v>5786</v>
      </c>
      <c r="H2793" s="27" t="s">
        <v>96</v>
      </c>
      <c r="I2793">
        <v>1</v>
      </c>
    </row>
    <row r="2794" spans="1:9">
      <c r="A2794" t="s">
        <v>3209</v>
      </c>
      <c r="B2794" s="27" t="s">
        <v>3231</v>
      </c>
      <c r="C2794" s="27" t="s">
        <v>5777</v>
      </c>
      <c r="D2794">
        <f>VLOOKUP(tblTargetMedicos[[#This Row],[codigo_id]],[1]DIM_REPRESENTANTE_MEDICO!$C:$F,4,0)</f>
        <v>8</v>
      </c>
      <c r="E2794">
        <f>VLOOKUP(tblTargetMedicos[[#This Row],[codigo_id]],[1]DIM_REPRESENTANTE_MEDICO!$C:$F,3,0)</f>
        <v>8</v>
      </c>
      <c r="F2794" s="27" t="s">
        <v>5796</v>
      </c>
      <c r="G2794" s="27" t="s">
        <v>5783</v>
      </c>
      <c r="H2794" s="27" t="s">
        <v>97</v>
      </c>
      <c r="I2794">
        <v>1</v>
      </c>
    </row>
    <row r="2795" spans="1:9">
      <c r="A2795" t="s">
        <v>3210</v>
      </c>
      <c r="B2795" s="27" t="s">
        <v>3231</v>
      </c>
      <c r="C2795" s="27" t="s">
        <v>5777</v>
      </c>
      <c r="D2795">
        <f>VLOOKUP(tblTargetMedicos[[#This Row],[codigo_id]],[1]DIM_REPRESENTANTE_MEDICO!$C:$F,4,0)</f>
        <v>8</v>
      </c>
      <c r="E2795">
        <f>VLOOKUP(tblTargetMedicos[[#This Row],[codigo_id]],[1]DIM_REPRESENTANTE_MEDICO!$C:$F,3,0)</f>
        <v>8</v>
      </c>
      <c r="F2795" s="27" t="s">
        <v>5796</v>
      </c>
      <c r="G2795" s="27" t="s">
        <v>5783</v>
      </c>
      <c r="H2795" s="27" t="s">
        <v>97</v>
      </c>
      <c r="I2795">
        <v>1</v>
      </c>
    </row>
    <row r="2796" spans="1:9">
      <c r="A2796" t="s">
        <v>3211</v>
      </c>
      <c r="B2796" s="27" t="s">
        <v>3231</v>
      </c>
      <c r="C2796" s="27" t="s">
        <v>5777</v>
      </c>
      <c r="D2796">
        <f>VLOOKUP(tblTargetMedicos[[#This Row],[codigo_id]],[1]DIM_REPRESENTANTE_MEDICO!$C:$F,4,0)</f>
        <v>8</v>
      </c>
      <c r="E2796">
        <f>VLOOKUP(tblTargetMedicos[[#This Row],[codigo_id]],[1]DIM_REPRESENTANTE_MEDICO!$C:$F,3,0)</f>
        <v>8</v>
      </c>
      <c r="F2796" s="27" t="s">
        <v>5796</v>
      </c>
      <c r="G2796" s="27" t="s">
        <v>5783</v>
      </c>
      <c r="H2796" s="27" t="s">
        <v>97</v>
      </c>
      <c r="I2796">
        <v>1</v>
      </c>
    </row>
    <row r="2797" spans="1:9">
      <c r="A2797" t="s">
        <v>3212</v>
      </c>
      <c r="B2797" s="27" t="s">
        <v>3231</v>
      </c>
      <c r="C2797" s="27" t="s">
        <v>5777</v>
      </c>
      <c r="D2797">
        <f>VLOOKUP(tblTargetMedicos[[#This Row],[codigo_id]],[1]DIM_REPRESENTANTE_MEDICO!$C:$F,4,0)</f>
        <v>8</v>
      </c>
      <c r="E2797">
        <f>VLOOKUP(tblTargetMedicos[[#This Row],[codigo_id]],[1]DIM_REPRESENTANTE_MEDICO!$C:$F,3,0)</f>
        <v>8</v>
      </c>
      <c r="F2797" s="27" t="s">
        <v>5796</v>
      </c>
      <c r="G2797" s="27" t="s">
        <v>5783</v>
      </c>
      <c r="H2797" s="27" t="s">
        <v>96</v>
      </c>
      <c r="I2797">
        <v>1</v>
      </c>
    </row>
    <row r="2798" spans="1:9">
      <c r="A2798" t="s">
        <v>3213</v>
      </c>
      <c r="B2798" s="27" t="s">
        <v>3231</v>
      </c>
      <c r="C2798" s="27" t="s">
        <v>5777</v>
      </c>
      <c r="D2798">
        <f>VLOOKUP(tblTargetMedicos[[#This Row],[codigo_id]],[1]DIM_REPRESENTANTE_MEDICO!$C:$F,4,0)</f>
        <v>8</v>
      </c>
      <c r="E2798">
        <f>VLOOKUP(tblTargetMedicos[[#This Row],[codigo_id]],[1]DIM_REPRESENTANTE_MEDICO!$C:$F,3,0)</f>
        <v>8</v>
      </c>
      <c r="F2798" s="27" t="s">
        <v>5796</v>
      </c>
      <c r="G2798" s="27" t="s">
        <v>5780</v>
      </c>
      <c r="H2798" s="27" t="s">
        <v>96</v>
      </c>
      <c r="I2798">
        <v>1</v>
      </c>
    </row>
    <row r="2799" spans="1:9">
      <c r="A2799" t="s">
        <v>3214</v>
      </c>
      <c r="B2799" s="27" t="s">
        <v>3231</v>
      </c>
      <c r="C2799" s="27" t="s">
        <v>5777</v>
      </c>
      <c r="D2799">
        <f>VLOOKUP(tblTargetMedicos[[#This Row],[codigo_id]],[1]DIM_REPRESENTANTE_MEDICO!$C:$F,4,0)</f>
        <v>8</v>
      </c>
      <c r="E2799">
        <f>VLOOKUP(tblTargetMedicos[[#This Row],[codigo_id]],[1]DIM_REPRESENTANTE_MEDICO!$C:$F,3,0)</f>
        <v>8</v>
      </c>
      <c r="F2799" s="27" t="s">
        <v>5796</v>
      </c>
      <c r="G2799" s="27" t="s">
        <v>5784</v>
      </c>
      <c r="H2799" s="27" t="s">
        <v>96</v>
      </c>
      <c r="I2799">
        <v>1</v>
      </c>
    </row>
    <row r="2800" spans="1:9">
      <c r="A2800" t="s">
        <v>3215</v>
      </c>
      <c r="B2800" s="27" t="s">
        <v>3231</v>
      </c>
      <c r="C2800" s="27" t="s">
        <v>5777</v>
      </c>
      <c r="D2800">
        <f>VLOOKUP(tblTargetMedicos[[#This Row],[codigo_id]],[1]DIM_REPRESENTANTE_MEDICO!$C:$F,4,0)</f>
        <v>8</v>
      </c>
      <c r="E2800">
        <f>VLOOKUP(tblTargetMedicos[[#This Row],[codigo_id]],[1]DIM_REPRESENTANTE_MEDICO!$C:$F,3,0)</f>
        <v>8</v>
      </c>
      <c r="F2800" s="27" t="s">
        <v>5796</v>
      </c>
      <c r="G2800" s="27" t="s">
        <v>5783</v>
      </c>
      <c r="H2800" s="27" t="s">
        <v>95</v>
      </c>
      <c r="I2800">
        <v>1</v>
      </c>
    </row>
    <row r="2801" spans="1:9">
      <c r="A2801" t="s">
        <v>3216</v>
      </c>
      <c r="B2801" s="27" t="s">
        <v>3231</v>
      </c>
      <c r="C2801" s="27" t="s">
        <v>5777</v>
      </c>
      <c r="D2801">
        <f>VLOOKUP(tblTargetMedicos[[#This Row],[codigo_id]],[1]DIM_REPRESENTANTE_MEDICO!$C:$F,4,0)</f>
        <v>8</v>
      </c>
      <c r="E2801">
        <f>VLOOKUP(tblTargetMedicos[[#This Row],[codigo_id]],[1]DIM_REPRESENTANTE_MEDICO!$C:$F,3,0)</f>
        <v>8</v>
      </c>
      <c r="F2801" s="27" t="s">
        <v>5796</v>
      </c>
      <c r="G2801" s="27" t="s">
        <v>5782</v>
      </c>
      <c r="H2801" s="27" t="s">
        <v>97</v>
      </c>
      <c r="I280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01"/>
  <sheetViews>
    <sheetView tabSelected="1" workbookViewId="0">
      <selection activeCell="I2" sqref="I2"/>
    </sheetView>
  </sheetViews>
  <sheetFormatPr baseColWidth="10" defaultColWidth="8.75" defaultRowHeight="14.25"/>
  <cols>
    <col min="1" max="1" width="8.75" bestFit="1" customWidth="1"/>
    <col min="2" max="2" width="11.5" style="24" customWidth="1"/>
    <col min="3" max="3" width="8.875" bestFit="1" customWidth="1"/>
    <col min="4" max="4" width="9.5" bestFit="1" customWidth="1"/>
    <col min="5" max="5" width="10" bestFit="1" customWidth="1"/>
    <col min="6" max="6" width="12.875" bestFit="1" customWidth="1"/>
    <col min="7" max="7" width="12.625" bestFit="1" customWidth="1"/>
    <col min="8" max="8" width="13.75" bestFit="1" customWidth="1"/>
    <col min="12" max="12" width="2.875" bestFit="1" customWidth="1"/>
  </cols>
  <sheetData>
    <row r="1" spans="1:8" ht="15">
      <c r="A1" s="7" t="s">
        <v>98</v>
      </c>
      <c r="B1" s="23" t="s">
        <v>99</v>
      </c>
      <c r="C1" s="7" t="s">
        <v>6</v>
      </c>
      <c r="D1" s="26" t="s">
        <v>3217</v>
      </c>
      <c r="E1" s="25" t="s">
        <v>92</v>
      </c>
      <c r="F1" s="7" t="s">
        <v>100</v>
      </c>
      <c r="G1" s="7" t="s">
        <v>101</v>
      </c>
      <c r="H1" t="s">
        <v>102</v>
      </c>
    </row>
    <row r="2" spans="1:8">
      <c r="A2" t="s">
        <v>103</v>
      </c>
      <c r="B2" s="24">
        <v>46174</v>
      </c>
      <c r="C2" s="27" t="s">
        <v>5797</v>
      </c>
      <c r="D2" s="27" t="s">
        <v>3218</v>
      </c>
      <c r="E2" t="s">
        <v>417</v>
      </c>
      <c r="F2" t="s">
        <v>104</v>
      </c>
      <c r="G2" t="s">
        <v>105</v>
      </c>
      <c r="H2" t="s">
        <v>106</v>
      </c>
    </row>
    <row r="3" spans="1:8">
      <c r="A3" t="s">
        <v>107</v>
      </c>
      <c r="B3" s="24">
        <v>46175</v>
      </c>
      <c r="C3" s="27" t="s">
        <v>5797</v>
      </c>
      <c r="D3" s="27" t="s">
        <v>3218</v>
      </c>
      <c r="E3" t="s">
        <v>418</v>
      </c>
      <c r="F3" t="s">
        <v>104</v>
      </c>
      <c r="G3" t="s">
        <v>105</v>
      </c>
      <c r="H3" t="s">
        <v>106</v>
      </c>
    </row>
    <row r="4" spans="1:8">
      <c r="A4" t="s">
        <v>108</v>
      </c>
      <c r="B4" s="24">
        <v>46176</v>
      </c>
      <c r="C4" s="27" t="s">
        <v>5797</v>
      </c>
      <c r="D4" s="27" t="s">
        <v>3218</v>
      </c>
      <c r="E4" t="s">
        <v>419</v>
      </c>
      <c r="F4" t="s">
        <v>104</v>
      </c>
      <c r="G4" t="s">
        <v>105</v>
      </c>
      <c r="H4" t="s">
        <v>106</v>
      </c>
    </row>
    <row r="5" spans="1:8">
      <c r="A5" t="s">
        <v>109</v>
      </c>
      <c r="B5" s="24">
        <v>46177</v>
      </c>
      <c r="C5" s="27" t="s">
        <v>5797</v>
      </c>
      <c r="D5" s="27" t="s">
        <v>3218</v>
      </c>
      <c r="E5" t="s">
        <v>420</v>
      </c>
      <c r="F5" t="s">
        <v>104</v>
      </c>
      <c r="G5" t="s">
        <v>105</v>
      </c>
      <c r="H5" t="s">
        <v>106</v>
      </c>
    </row>
    <row r="6" spans="1:8">
      <c r="A6" t="s">
        <v>110</v>
      </c>
      <c r="B6" s="24">
        <v>46178</v>
      </c>
      <c r="C6" s="27" t="s">
        <v>5797</v>
      </c>
      <c r="D6" s="27" t="s">
        <v>3218</v>
      </c>
      <c r="E6" t="s">
        <v>421</v>
      </c>
      <c r="F6" t="s">
        <v>104</v>
      </c>
      <c r="G6" t="s">
        <v>105</v>
      </c>
      <c r="H6" t="s">
        <v>106</v>
      </c>
    </row>
    <row r="7" spans="1:8">
      <c r="A7" t="s">
        <v>111</v>
      </c>
      <c r="B7" s="24">
        <v>46181</v>
      </c>
      <c r="C7" s="27" t="s">
        <v>5797</v>
      </c>
      <c r="D7" s="27" t="s">
        <v>3218</v>
      </c>
      <c r="E7" t="s">
        <v>422</v>
      </c>
      <c r="F7" t="s">
        <v>104</v>
      </c>
      <c r="G7" t="s">
        <v>105</v>
      </c>
      <c r="H7" t="s">
        <v>106</v>
      </c>
    </row>
    <row r="8" spans="1:8">
      <c r="A8" t="s">
        <v>112</v>
      </c>
      <c r="B8" s="24">
        <v>46182</v>
      </c>
      <c r="C8" s="27" t="s">
        <v>5797</v>
      </c>
      <c r="D8" s="27" t="s">
        <v>3218</v>
      </c>
      <c r="E8" t="s">
        <v>423</v>
      </c>
      <c r="F8" t="s">
        <v>104</v>
      </c>
      <c r="G8" t="s">
        <v>105</v>
      </c>
      <c r="H8" t="s">
        <v>106</v>
      </c>
    </row>
    <row r="9" spans="1:8">
      <c r="A9" t="s">
        <v>113</v>
      </c>
      <c r="B9" s="24">
        <v>46183</v>
      </c>
      <c r="C9" s="27" t="s">
        <v>5797</v>
      </c>
      <c r="D9" s="27" t="s">
        <v>3218</v>
      </c>
      <c r="E9" t="s">
        <v>424</v>
      </c>
      <c r="F9" t="s">
        <v>104</v>
      </c>
      <c r="G9" t="s">
        <v>105</v>
      </c>
      <c r="H9" t="s">
        <v>106</v>
      </c>
    </row>
    <row r="10" spans="1:8">
      <c r="A10" t="s">
        <v>114</v>
      </c>
      <c r="B10" s="24">
        <v>46184</v>
      </c>
      <c r="C10" s="27" t="s">
        <v>5797</v>
      </c>
      <c r="D10" s="27" t="s">
        <v>3218</v>
      </c>
      <c r="E10" t="s">
        <v>425</v>
      </c>
      <c r="F10" t="s">
        <v>104</v>
      </c>
      <c r="G10" t="s">
        <v>105</v>
      </c>
      <c r="H10" t="s">
        <v>106</v>
      </c>
    </row>
    <row r="11" spans="1:8">
      <c r="A11" t="s">
        <v>115</v>
      </c>
      <c r="B11" s="24">
        <v>46185</v>
      </c>
      <c r="C11" s="27" t="s">
        <v>5797</v>
      </c>
      <c r="D11" s="27" t="s">
        <v>3218</v>
      </c>
      <c r="E11" t="s">
        <v>426</v>
      </c>
      <c r="F11" t="s">
        <v>104</v>
      </c>
      <c r="G11" t="s">
        <v>105</v>
      </c>
      <c r="H11" t="s">
        <v>106</v>
      </c>
    </row>
    <row r="12" spans="1:8">
      <c r="A12" t="s">
        <v>116</v>
      </c>
      <c r="B12" s="24">
        <v>46174</v>
      </c>
      <c r="C12" s="27" t="s">
        <v>5797</v>
      </c>
      <c r="D12" s="27" t="s">
        <v>3218</v>
      </c>
      <c r="E12" t="s">
        <v>427</v>
      </c>
      <c r="F12" t="s">
        <v>104</v>
      </c>
      <c r="G12" t="s">
        <v>105</v>
      </c>
      <c r="H12" t="s">
        <v>106</v>
      </c>
    </row>
    <row r="13" spans="1:8">
      <c r="A13" t="s">
        <v>117</v>
      </c>
      <c r="B13" s="24">
        <v>46175</v>
      </c>
      <c r="C13" s="27" t="s">
        <v>5797</v>
      </c>
      <c r="D13" s="27" t="s">
        <v>3218</v>
      </c>
      <c r="E13" t="s">
        <v>428</v>
      </c>
      <c r="F13" t="s">
        <v>104</v>
      </c>
      <c r="G13" t="s">
        <v>105</v>
      </c>
      <c r="H13" t="s">
        <v>106</v>
      </c>
    </row>
    <row r="14" spans="1:8">
      <c r="A14" t="s">
        <v>118</v>
      </c>
      <c r="B14" s="24">
        <v>46176</v>
      </c>
      <c r="C14" s="27" t="s">
        <v>5797</v>
      </c>
      <c r="D14" s="27" t="s">
        <v>3218</v>
      </c>
      <c r="E14" t="s">
        <v>429</v>
      </c>
      <c r="F14" t="s">
        <v>104</v>
      </c>
      <c r="G14" t="s">
        <v>105</v>
      </c>
      <c r="H14" t="s">
        <v>106</v>
      </c>
    </row>
    <row r="15" spans="1:8">
      <c r="A15" t="s">
        <v>119</v>
      </c>
      <c r="B15" s="24">
        <v>46177</v>
      </c>
      <c r="C15" s="27" t="s">
        <v>5797</v>
      </c>
      <c r="D15" s="27" t="s">
        <v>3218</v>
      </c>
      <c r="E15" t="s">
        <v>430</v>
      </c>
      <c r="F15" t="s">
        <v>104</v>
      </c>
      <c r="G15" t="s">
        <v>105</v>
      </c>
      <c r="H15" t="s">
        <v>106</v>
      </c>
    </row>
    <row r="16" spans="1:8">
      <c r="A16" t="s">
        <v>120</v>
      </c>
      <c r="B16" s="24">
        <v>46178</v>
      </c>
      <c r="C16" s="27" t="s">
        <v>5797</v>
      </c>
      <c r="D16" s="27" t="s">
        <v>3218</v>
      </c>
      <c r="E16" t="s">
        <v>431</v>
      </c>
      <c r="F16" t="s">
        <v>104</v>
      </c>
      <c r="G16" t="s">
        <v>105</v>
      </c>
      <c r="H16" t="s">
        <v>106</v>
      </c>
    </row>
    <row r="17" spans="1:8">
      <c r="A17" t="s">
        <v>121</v>
      </c>
      <c r="B17" s="24">
        <v>46181</v>
      </c>
      <c r="C17" s="27" t="s">
        <v>5797</v>
      </c>
      <c r="D17" s="27" t="s">
        <v>3218</v>
      </c>
      <c r="E17" t="s">
        <v>432</v>
      </c>
      <c r="F17" t="s">
        <v>104</v>
      </c>
      <c r="G17" t="s">
        <v>105</v>
      </c>
      <c r="H17" t="s">
        <v>106</v>
      </c>
    </row>
    <row r="18" spans="1:8">
      <c r="A18" t="s">
        <v>122</v>
      </c>
      <c r="B18" s="24">
        <v>46182</v>
      </c>
      <c r="C18" s="27" t="s">
        <v>5797</v>
      </c>
      <c r="D18" s="27" t="s">
        <v>3218</v>
      </c>
      <c r="E18" t="s">
        <v>433</v>
      </c>
      <c r="F18" t="s">
        <v>104</v>
      </c>
      <c r="G18" t="s">
        <v>105</v>
      </c>
      <c r="H18" t="s">
        <v>106</v>
      </c>
    </row>
    <row r="19" spans="1:8">
      <c r="A19" t="s">
        <v>123</v>
      </c>
      <c r="B19" s="24">
        <v>46183</v>
      </c>
      <c r="C19" s="27" t="s">
        <v>5797</v>
      </c>
      <c r="D19" s="27" t="s">
        <v>3218</v>
      </c>
      <c r="E19" t="s">
        <v>434</v>
      </c>
      <c r="F19" t="s">
        <v>104</v>
      </c>
      <c r="G19" t="s">
        <v>105</v>
      </c>
      <c r="H19" t="s">
        <v>106</v>
      </c>
    </row>
    <row r="20" spans="1:8">
      <c r="A20" t="s">
        <v>124</v>
      </c>
      <c r="B20" s="24">
        <v>46184</v>
      </c>
      <c r="C20" s="27" t="s">
        <v>5797</v>
      </c>
      <c r="D20" s="27" t="s">
        <v>3218</v>
      </c>
      <c r="E20" t="s">
        <v>435</v>
      </c>
      <c r="F20" t="s">
        <v>104</v>
      </c>
      <c r="G20" t="s">
        <v>105</v>
      </c>
      <c r="H20" t="s">
        <v>106</v>
      </c>
    </row>
    <row r="21" spans="1:8">
      <c r="A21" t="s">
        <v>125</v>
      </c>
      <c r="B21" s="24">
        <v>46185</v>
      </c>
      <c r="C21" s="27" t="s">
        <v>5797</v>
      </c>
      <c r="D21" s="27" t="s">
        <v>3218</v>
      </c>
      <c r="E21" t="s">
        <v>436</v>
      </c>
      <c r="F21" t="s">
        <v>104</v>
      </c>
      <c r="G21" t="s">
        <v>105</v>
      </c>
      <c r="H21" t="s">
        <v>106</v>
      </c>
    </row>
    <row r="22" spans="1:8">
      <c r="A22" t="s">
        <v>126</v>
      </c>
      <c r="B22" s="24">
        <v>46174</v>
      </c>
      <c r="C22" s="27" t="s">
        <v>5797</v>
      </c>
      <c r="D22" s="27" t="s">
        <v>3218</v>
      </c>
      <c r="E22" t="s">
        <v>437</v>
      </c>
      <c r="F22" t="s">
        <v>104</v>
      </c>
      <c r="G22" t="s">
        <v>105</v>
      </c>
      <c r="H22" t="s">
        <v>106</v>
      </c>
    </row>
    <row r="23" spans="1:8">
      <c r="A23" t="s">
        <v>127</v>
      </c>
      <c r="B23" s="24">
        <v>46175</v>
      </c>
      <c r="C23" s="27" t="s">
        <v>5797</v>
      </c>
      <c r="D23" s="27" t="s">
        <v>3218</v>
      </c>
      <c r="E23" t="s">
        <v>438</v>
      </c>
      <c r="F23" t="s">
        <v>104</v>
      </c>
      <c r="G23" t="s">
        <v>105</v>
      </c>
      <c r="H23" t="s">
        <v>106</v>
      </c>
    </row>
    <row r="24" spans="1:8">
      <c r="A24" t="s">
        <v>128</v>
      </c>
      <c r="B24" s="24">
        <v>46176</v>
      </c>
      <c r="C24" s="27" t="s">
        <v>5797</v>
      </c>
      <c r="D24" s="27" t="s">
        <v>3218</v>
      </c>
      <c r="E24" t="s">
        <v>439</v>
      </c>
      <c r="F24" t="s">
        <v>104</v>
      </c>
      <c r="G24" t="s">
        <v>105</v>
      </c>
      <c r="H24" t="s">
        <v>106</v>
      </c>
    </row>
    <row r="25" spans="1:8">
      <c r="A25" t="s">
        <v>129</v>
      </c>
      <c r="B25" s="24">
        <v>46177</v>
      </c>
      <c r="C25" s="27" t="s">
        <v>5797</v>
      </c>
      <c r="D25" s="27" t="s">
        <v>3218</v>
      </c>
      <c r="E25" t="s">
        <v>440</v>
      </c>
      <c r="F25" t="s">
        <v>104</v>
      </c>
      <c r="G25" t="s">
        <v>105</v>
      </c>
      <c r="H25" t="s">
        <v>106</v>
      </c>
    </row>
    <row r="26" spans="1:8">
      <c r="A26" t="s">
        <v>130</v>
      </c>
      <c r="B26" s="24">
        <v>46178</v>
      </c>
      <c r="C26" s="27" t="s">
        <v>5797</v>
      </c>
      <c r="D26" s="27" t="s">
        <v>3218</v>
      </c>
      <c r="E26" t="s">
        <v>441</v>
      </c>
      <c r="F26" t="s">
        <v>104</v>
      </c>
      <c r="G26" t="s">
        <v>105</v>
      </c>
      <c r="H26" t="s">
        <v>106</v>
      </c>
    </row>
    <row r="27" spans="1:8">
      <c r="A27" t="s">
        <v>131</v>
      </c>
      <c r="B27" s="24">
        <v>46181</v>
      </c>
      <c r="C27" s="27" t="s">
        <v>5797</v>
      </c>
      <c r="D27" s="27" t="s">
        <v>3218</v>
      </c>
      <c r="E27" t="s">
        <v>442</v>
      </c>
      <c r="F27" t="s">
        <v>104</v>
      </c>
      <c r="G27" t="s">
        <v>105</v>
      </c>
      <c r="H27" t="s">
        <v>106</v>
      </c>
    </row>
    <row r="28" spans="1:8">
      <c r="A28" t="s">
        <v>132</v>
      </c>
      <c r="B28" s="24">
        <v>46182</v>
      </c>
      <c r="C28" s="27" t="s">
        <v>5797</v>
      </c>
      <c r="D28" s="27" t="s">
        <v>3218</v>
      </c>
      <c r="E28" t="s">
        <v>443</v>
      </c>
      <c r="F28" t="s">
        <v>104</v>
      </c>
      <c r="G28" t="s">
        <v>105</v>
      </c>
      <c r="H28" t="s">
        <v>106</v>
      </c>
    </row>
    <row r="29" spans="1:8">
      <c r="A29" t="s">
        <v>133</v>
      </c>
      <c r="B29" s="24">
        <v>46183</v>
      </c>
      <c r="C29" s="27" t="s">
        <v>5797</v>
      </c>
      <c r="D29" s="27" t="s">
        <v>3218</v>
      </c>
      <c r="E29" t="s">
        <v>444</v>
      </c>
      <c r="F29" t="s">
        <v>104</v>
      </c>
      <c r="G29" t="s">
        <v>105</v>
      </c>
      <c r="H29" t="s">
        <v>106</v>
      </c>
    </row>
    <row r="30" spans="1:8">
      <c r="A30" t="s">
        <v>134</v>
      </c>
      <c r="B30" s="24">
        <v>46184</v>
      </c>
      <c r="C30" s="27" t="s">
        <v>5797</v>
      </c>
      <c r="D30" s="27" t="s">
        <v>3218</v>
      </c>
      <c r="E30" t="s">
        <v>445</v>
      </c>
      <c r="F30" t="s">
        <v>104</v>
      </c>
      <c r="G30" t="s">
        <v>105</v>
      </c>
      <c r="H30" t="s">
        <v>106</v>
      </c>
    </row>
    <row r="31" spans="1:8">
      <c r="A31" t="s">
        <v>135</v>
      </c>
      <c r="B31" s="24">
        <v>46185</v>
      </c>
      <c r="C31" s="27" t="s">
        <v>5797</v>
      </c>
      <c r="D31" s="27" t="s">
        <v>3218</v>
      </c>
      <c r="E31" t="s">
        <v>446</v>
      </c>
      <c r="F31" t="s">
        <v>104</v>
      </c>
      <c r="G31" t="s">
        <v>105</v>
      </c>
      <c r="H31" t="s">
        <v>106</v>
      </c>
    </row>
    <row r="32" spans="1:8">
      <c r="A32" t="s">
        <v>136</v>
      </c>
      <c r="B32" s="24">
        <v>46174</v>
      </c>
      <c r="C32" s="27" t="s">
        <v>5797</v>
      </c>
      <c r="D32" s="27" t="s">
        <v>3218</v>
      </c>
      <c r="E32" t="s">
        <v>447</v>
      </c>
      <c r="F32" t="s">
        <v>104</v>
      </c>
      <c r="G32" t="s">
        <v>105</v>
      </c>
      <c r="H32" t="s">
        <v>106</v>
      </c>
    </row>
    <row r="33" spans="1:8">
      <c r="A33" t="s">
        <v>137</v>
      </c>
      <c r="B33" s="24">
        <v>46175</v>
      </c>
      <c r="C33" s="27" t="s">
        <v>5797</v>
      </c>
      <c r="D33" s="27" t="s">
        <v>3218</v>
      </c>
      <c r="E33" t="s">
        <v>448</v>
      </c>
      <c r="F33" t="s">
        <v>104</v>
      </c>
      <c r="G33" t="s">
        <v>105</v>
      </c>
      <c r="H33" t="s">
        <v>106</v>
      </c>
    </row>
    <row r="34" spans="1:8">
      <c r="A34" t="s">
        <v>138</v>
      </c>
      <c r="B34" s="24">
        <v>46176</v>
      </c>
      <c r="C34" s="27" t="s">
        <v>5797</v>
      </c>
      <c r="D34" s="27" t="s">
        <v>3218</v>
      </c>
      <c r="E34" t="s">
        <v>449</v>
      </c>
      <c r="F34" t="s">
        <v>104</v>
      </c>
      <c r="G34" t="s">
        <v>105</v>
      </c>
      <c r="H34" t="s">
        <v>106</v>
      </c>
    </row>
    <row r="35" spans="1:8">
      <c r="A35" t="s">
        <v>139</v>
      </c>
      <c r="B35" s="24">
        <v>46177</v>
      </c>
      <c r="C35" s="27" t="s">
        <v>5797</v>
      </c>
      <c r="D35" s="27" t="s">
        <v>3218</v>
      </c>
      <c r="E35" t="s">
        <v>450</v>
      </c>
      <c r="F35" t="s">
        <v>104</v>
      </c>
      <c r="G35" t="s">
        <v>105</v>
      </c>
      <c r="H35" t="s">
        <v>106</v>
      </c>
    </row>
    <row r="36" spans="1:8">
      <c r="A36" t="s">
        <v>140</v>
      </c>
      <c r="B36" s="24">
        <v>46178</v>
      </c>
      <c r="C36" s="27" t="s">
        <v>5797</v>
      </c>
      <c r="D36" s="27" t="s">
        <v>3218</v>
      </c>
      <c r="E36" t="s">
        <v>451</v>
      </c>
      <c r="F36" t="s">
        <v>104</v>
      </c>
      <c r="G36" t="s">
        <v>105</v>
      </c>
      <c r="H36" t="s">
        <v>106</v>
      </c>
    </row>
    <row r="37" spans="1:8">
      <c r="A37" t="s">
        <v>141</v>
      </c>
      <c r="B37" s="24">
        <v>46181</v>
      </c>
      <c r="C37" s="27" t="s">
        <v>5797</v>
      </c>
      <c r="D37" s="27" t="s">
        <v>3218</v>
      </c>
      <c r="E37" t="s">
        <v>452</v>
      </c>
      <c r="F37" t="s">
        <v>104</v>
      </c>
      <c r="G37" t="s">
        <v>105</v>
      </c>
      <c r="H37" t="s">
        <v>106</v>
      </c>
    </row>
    <row r="38" spans="1:8">
      <c r="A38" t="s">
        <v>142</v>
      </c>
      <c r="B38" s="24">
        <v>46182</v>
      </c>
      <c r="C38" s="27" t="s">
        <v>5797</v>
      </c>
      <c r="D38" s="27" t="s">
        <v>3218</v>
      </c>
      <c r="E38" t="s">
        <v>453</v>
      </c>
      <c r="F38" t="s">
        <v>104</v>
      </c>
      <c r="G38" t="s">
        <v>105</v>
      </c>
      <c r="H38" t="s">
        <v>106</v>
      </c>
    </row>
    <row r="39" spans="1:8">
      <c r="A39" t="s">
        <v>143</v>
      </c>
      <c r="B39" s="24">
        <v>46183</v>
      </c>
      <c r="C39" s="27" t="s">
        <v>5797</v>
      </c>
      <c r="D39" s="27" t="s">
        <v>3218</v>
      </c>
      <c r="E39" t="s">
        <v>454</v>
      </c>
      <c r="F39" t="s">
        <v>104</v>
      </c>
      <c r="G39" t="s">
        <v>105</v>
      </c>
      <c r="H39" t="s">
        <v>106</v>
      </c>
    </row>
    <row r="40" spans="1:8">
      <c r="A40" t="s">
        <v>144</v>
      </c>
      <c r="B40" s="24">
        <v>46184</v>
      </c>
      <c r="C40" s="27" t="s">
        <v>5797</v>
      </c>
      <c r="D40" s="27" t="s">
        <v>3218</v>
      </c>
      <c r="E40" t="s">
        <v>455</v>
      </c>
      <c r="F40" t="s">
        <v>104</v>
      </c>
      <c r="G40" t="s">
        <v>105</v>
      </c>
      <c r="H40" t="s">
        <v>106</v>
      </c>
    </row>
    <row r="41" spans="1:8">
      <c r="A41" t="s">
        <v>145</v>
      </c>
      <c r="B41" s="24">
        <v>46185</v>
      </c>
      <c r="C41" s="27" t="s">
        <v>5797</v>
      </c>
      <c r="D41" s="27" t="s">
        <v>3218</v>
      </c>
      <c r="E41" t="s">
        <v>456</v>
      </c>
      <c r="F41" t="s">
        <v>104</v>
      </c>
      <c r="G41" t="s">
        <v>105</v>
      </c>
      <c r="H41" t="s">
        <v>106</v>
      </c>
    </row>
    <row r="42" spans="1:8">
      <c r="A42" t="s">
        <v>146</v>
      </c>
      <c r="B42" s="24">
        <v>46174</v>
      </c>
      <c r="C42" s="27" t="s">
        <v>5797</v>
      </c>
      <c r="D42" s="27" t="s">
        <v>3218</v>
      </c>
      <c r="E42" t="s">
        <v>457</v>
      </c>
      <c r="F42" t="s">
        <v>104</v>
      </c>
      <c r="G42" t="s">
        <v>105</v>
      </c>
      <c r="H42" t="s">
        <v>106</v>
      </c>
    </row>
    <row r="43" spans="1:8">
      <c r="A43" t="s">
        <v>147</v>
      </c>
      <c r="B43" s="24">
        <v>46175</v>
      </c>
      <c r="C43" s="27" t="s">
        <v>5797</v>
      </c>
      <c r="D43" s="27" t="s">
        <v>3218</v>
      </c>
      <c r="E43" t="s">
        <v>458</v>
      </c>
      <c r="F43" t="s">
        <v>104</v>
      </c>
      <c r="G43" t="s">
        <v>105</v>
      </c>
      <c r="H43" t="s">
        <v>106</v>
      </c>
    </row>
    <row r="44" spans="1:8">
      <c r="A44" t="s">
        <v>148</v>
      </c>
      <c r="B44" s="24">
        <v>46176</v>
      </c>
      <c r="C44" s="27" t="s">
        <v>5797</v>
      </c>
      <c r="D44" s="27" t="s">
        <v>3218</v>
      </c>
      <c r="E44" t="s">
        <v>459</v>
      </c>
      <c r="F44" t="s">
        <v>104</v>
      </c>
      <c r="G44" t="s">
        <v>105</v>
      </c>
      <c r="H44" t="s">
        <v>106</v>
      </c>
    </row>
    <row r="45" spans="1:8">
      <c r="A45" t="s">
        <v>149</v>
      </c>
      <c r="B45" s="24">
        <v>46177</v>
      </c>
      <c r="C45" s="27" t="s">
        <v>5797</v>
      </c>
      <c r="D45" s="27" t="s">
        <v>3218</v>
      </c>
      <c r="E45" t="s">
        <v>460</v>
      </c>
      <c r="F45" t="s">
        <v>104</v>
      </c>
      <c r="G45" t="s">
        <v>105</v>
      </c>
      <c r="H45" t="s">
        <v>106</v>
      </c>
    </row>
    <row r="46" spans="1:8">
      <c r="A46" t="s">
        <v>150</v>
      </c>
      <c r="B46" s="24">
        <v>46178</v>
      </c>
      <c r="C46" s="27" t="s">
        <v>5797</v>
      </c>
      <c r="D46" s="27" t="s">
        <v>3218</v>
      </c>
      <c r="E46" t="s">
        <v>461</v>
      </c>
      <c r="F46" t="s">
        <v>104</v>
      </c>
      <c r="G46" t="s">
        <v>105</v>
      </c>
      <c r="H46" t="s">
        <v>106</v>
      </c>
    </row>
    <row r="47" spans="1:8">
      <c r="A47" t="s">
        <v>151</v>
      </c>
      <c r="B47" s="24">
        <v>46181</v>
      </c>
      <c r="C47" s="27" t="s">
        <v>5797</v>
      </c>
      <c r="D47" s="27" t="s">
        <v>3218</v>
      </c>
      <c r="E47" t="s">
        <v>462</v>
      </c>
      <c r="F47" t="s">
        <v>104</v>
      </c>
      <c r="G47" t="s">
        <v>105</v>
      </c>
      <c r="H47" t="s">
        <v>106</v>
      </c>
    </row>
    <row r="48" spans="1:8">
      <c r="A48" t="s">
        <v>152</v>
      </c>
      <c r="B48" s="24">
        <v>46182</v>
      </c>
      <c r="C48" s="27" t="s">
        <v>5797</v>
      </c>
      <c r="D48" s="27" t="s">
        <v>3218</v>
      </c>
      <c r="E48" t="s">
        <v>463</v>
      </c>
      <c r="F48" t="s">
        <v>104</v>
      </c>
      <c r="G48" t="s">
        <v>105</v>
      </c>
      <c r="H48" t="s">
        <v>106</v>
      </c>
    </row>
    <row r="49" spans="1:8">
      <c r="A49" t="s">
        <v>153</v>
      </c>
      <c r="B49" s="24">
        <v>46183</v>
      </c>
      <c r="C49" s="27" t="s">
        <v>5797</v>
      </c>
      <c r="D49" s="27" t="s">
        <v>3218</v>
      </c>
      <c r="E49" t="s">
        <v>464</v>
      </c>
      <c r="F49" t="s">
        <v>104</v>
      </c>
      <c r="G49" t="s">
        <v>105</v>
      </c>
      <c r="H49" t="s">
        <v>106</v>
      </c>
    </row>
    <row r="50" spans="1:8">
      <c r="A50" t="s">
        <v>154</v>
      </c>
      <c r="B50" s="24">
        <v>46184</v>
      </c>
      <c r="C50" s="27" t="s">
        <v>5797</v>
      </c>
      <c r="D50" s="27" t="s">
        <v>3218</v>
      </c>
      <c r="E50" t="s">
        <v>465</v>
      </c>
      <c r="F50" t="s">
        <v>104</v>
      </c>
      <c r="G50" t="s">
        <v>105</v>
      </c>
      <c r="H50" t="s">
        <v>106</v>
      </c>
    </row>
    <row r="51" spans="1:8">
      <c r="A51" t="s">
        <v>155</v>
      </c>
      <c r="B51" s="24">
        <v>46185</v>
      </c>
      <c r="C51" s="27" t="s">
        <v>5797</v>
      </c>
      <c r="D51" s="27" t="s">
        <v>3218</v>
      </c>
      <c r="E51" t="s">
        <v>466</v>
      </c>
      <c r="F51" t="s">
        <v>104</v>
      </c>
      <c r="G51" t="s">
        <v>105</v>
      </c>
      <c r="H51" t="s">
        <v>106</v>
      </c>
    </row>
    <row r="52" spans="1:8">
      <c r="A52" t="s">
        <v>156</v>
      </c>
      <c r="B52" s="24">
        <v>46174</v>
      </c>
      <c r="C52" s="27" t="s">
        <v>5797</v>
      </c>
      <c r="D52" s="27" t="s">
        <v>3218</v>
      </c>
      <c r="E52" t="s">
        <v>467</v>
      </c>
      <c r="F52" t="s">
        <v>104</v>
      </c>
      <c r="G52" t="s">
        <v>105</v>
      </c>
      <c r="H52" t="s">
        <v>106</v>
      </c>
    </row>
    <row r="53" spans="1:8">
      <c r="A53" t="s">
        <v>157</v>
      </c>
      <c r="B53" s="24">
        <v>46175</v>
      </c>
      <c r="C53" s="27" t="s">
        <v>5797</v>
      </c>
      <c r="D53" s="27" t="s">
        <v>3218</v>
      </c>
      <c r="E53" t="s">
        <v>468</v>
      </c>
      <c r="F53" t="s">
        <v>104</v>
      </c>
      <c r="G53" t="s">
        <v>105</v>
      </c>
      <c r="H53" t="s">
        <v>106</v>
      </c>
    </row>
    <row r="54" spans="1:8">
      <c r="A54" t="s">
        <v>158</v>
      </c>
      <c r="B54" s="24">
        <v>46176</v>
      </c>
      <c r="C54" s="27" t="s">
        <v>5797</v>
      </c>
      <c r="D54" s="27" t="s">
        <v>3218</v>
      </c>
      <c r="E54" t="s">
        <v>469</v>
      </c>
      <c r="F54" t="s">
        <v>104</v>
      </c>
      <c r="G54" t="s">
        <v>105</v>
      </c>
      <c r="H54" t="s">
        <v>106</v>
      </c>
    </row>
    <row r="55" spans="1:8">
      <c r="A55" t="s">
        <v>159</v>
      </c>
      <c r="B55" s="24">
        <v>46177</v>
      </c>
      <c r="C55" s="27" t="s">
        <v>5797</v>
      </c>
      <c r="D55" s="27" t="s">
        <v>3218</v>
      </c>
      <c r="E55" t="s">
        <v>470</v>
      </c>
      <c r="F55" t="s">
        <v>104</v>
      </c>
      <c r="G55" t="s">
        <v>105</v>
      </c>
      <c r="H55" t="s">
        <v>106</v>
      </c>
    </row>
    <row r="56" spans="1:8">
      <c r="A56" t="s">
        <v>160</v>
      </c>
      <c r="B56" s="24">
        <v>46178</v>
      </c>
      <c r="C56" s="27" t="s">
        <v>5797</v>
      </c>
      <c r="D56" s="27" t="s">
        <v>3218</v>
      </c>
      <c r="E56" t="s">
        <v>471</v>
      </c>
      <c r="F56" t="s">
        <v>104</v>
      </c>
      <c r="G56" t="s">
        <v>105</v>
      </c>
      <c r="H56" t="s">
        <v>106</v>
      </c>
    </row>
    <row r="57" spans="1:8">
      <c r="A57" t="s">
        <v>161</v>
      </c>
      <c r="B57" s="24">
        <v>46181</v>
      </c>
      <c r="C57" s="27" t="s">
        <v>5797</v>
      </c>
      <c r="D57" s="27" t="s">
        <v>3218</v>
      </c>
      <c r="E57" t="s">
        <v>472</v>
      </c>
      <c r="F57" t="s">
        <v>104</v>
      </c>
      <c r="G57" t="s">
        <v>105</v>
      </c>
      <c r="H57" t="s">
        <v>106</v>
      </c>
    </row>
    <row r="58" spans="1:8">
      <c r="A58" t="s">
        <v>162</v>
      </c>
      <c r="B58" s="24">
        <v>46182</v>
      </c>
      <c r="C58" s="27" t="s">
        <v>5797</v>
      </c>
      <c r="D58" s="27" t="s">
        <v>3218</v>
      </c>
      <c r="E58" t="s">
        <v>473</v>
      </c>
      <c r="F58" t="s">
        <v>104</v>
      </c>
      <c r="G58" t="s">
        <v>105</v>
      </c>
      <c r="H58" t="s">
        <v>106</v>
      </c>
    </row>
    <row r="59" spans="1:8">
      <c r="A59" t="s">
        <v>163</v>
      </c>
      <c r="B59" s="24">
        <v>46183</v>
      </c>
      <c r="C59" s="27" t="s">
        <v>5797</v>
      </c>
      <c r="D59" s="27" t="s">
        <v>3218</v>
      </c>
      <c r="E59" t="s">
        <v>474</v>
      </c>
      <c r="F59" t="s">
        <v>104</v>
      </c>
      <c r="G59" t="s">
        <v>105</v>
      </c>
      <c r="H59" t="s">
        <v>106</v>
      </c>
    </row>
    <row r="60" spans="1:8">
      <c r="A60" t="s">
        <v>164</v>
      </c>
      <c r="B60" s="24">
        <v>46184</v>
      </c>
      <c r="C60" s="27" t="s">
        <v>5797</v>
      </c>
      <c r="D60" s="27" t="s">
        <v>3218</v>
      </c>
      <c r="E60" t="s">
        <v>475</v>
      </c>
      <c r="F60" t="s">
        <v>104</v>
      </c>
      <c r="G60" t="s">
        <v>105</v>
      </c>
      <c r="H60" t="s">
        <v>106</v>
      </c>
    </row>
    <row r="61" spans="1:8">
      <c r="A61" t="s">
        <v>165</v>
      </c>
      <c r="B61" s="24">
        <v>46185</v>
      </c>
      <c r="C61" s="27" t="s">
        <v>5797</v>
      </c>
      <c r="D61" s="27" t="s">
        <v>3218</v>
      </c>
      <c r="E61" t="s">
        <v>476</v>
      </c>
      <c r="F61" t="s">
        <v>104</v>
      </c>
      <c r="G61" t="s">
        <v>105</v>
      </c>
      <c r="H61" t="s">
        <v>106</v>
      </c>
    </row>
    <row r="62" spans="1:8">
      <c r="A62" t="s">
        <v>166</v>
      </c>
      <c r="B62" s="24">
        <v>46174</v>
      </c>
      <c r="C62" s="27" t="s">
        <v>5797</v>
      </c>
      <c r="D62" s="27" t="s">
        <v>3218</v>
      </c>
      <c r="E62" t="s">
        <v>477</v>
      </c>
      <c r="F62" t="s">
        <v>104</v>
      </c>
      <c r="G62" t="s">
        <v>105</v>
      </c>
      <c r="H62" t="s">
        <v>106</v>
      </c>
    </row>
    <row r="63" spans="1:8">
      <c r="A63" t="s">
        <v>167</v>
      </c>
      <c r="B63" s="24">
        <v>46175</v>
      </c>
      <c r="C63" s="27" t="s">
        <v>5797</v>
      </c>
      <c r="D63" s="27" t="s">
        <v>3218</v>
      </c>
      <c r="E63" t="s">
        <v>478</v>
      </c>
      <c r="F63" t="s">
        <v>104</v>
      </c>
      <c r="G63" t="s">
        <v>105</v>
      </c>
      <c r="H63" t="s">
        <v>106</v>
      </c>
    </row>
    <row r="64" spans="1:8">
      <c r="A64" t="s">
        <v>168</v>
      </c>
      <c r="B64" s="24">
        <v>46176</v>
      </c>
      <c r="C64" s="27" t="s">
        <v>5797</v>
      </c>
      <c r="D64" s="27" t="s">
        <v>3218</v>
      </c>
      <c r="E64" t="s">
        <v>479</v>
      </c>
      <c r="F64" t="s">
        <v>104</v>
      </c>
      <c r="G64" t="s">
        <v>105</v>
      </c>
      <c r="H64" t="s">
        <v>106</v>
      </c>
    </row>
    <row r="65" spans="1:8">
      <c r="A65" t="s">
        <v>169</v>
      </c>
      <c r="B65" s="24">
        <v>46177</v>
      </c>
      <c r="C65" s="27" t="s">
        <v>5797</v>
      </c>
      <c r="D65" s="27" t="s">
        <v>3218</v>
      </c>
      <c r="E65" t="s">
        <v>480</v>
      </c>
      <c r="F65" t="s">
        <v>104</v>
      </c>
      <c r="G65" t="s">
        <v>105</v>
      </c>
      <c r="H65" t="s">
        <v>106</v>
      </c>
    </row>
    <row r="66" spans="1:8">
      <c r="A66" t="s">
        <v>170</v>
      </c>
      <c r="B66" s="24">
        <v>46178</v>
      </c>
      <c r="C66" s="27" t="s">
        <v>5797</v>
      </c>
      <c r="D66" s="27" t="s">
        <v>3218</v>
      </c>
      <c r="E66" t="s">
        <v>481</v>
      </c>
      <c r="F66" t="s">
        <v>104</v>
      </c>
      <c r="G66" t="s">
        <v>105</v>
      </c>
      <c r="H66" t="s">
        <v>106</v>
      </c>
    </row>
    <row r="67" spans="1:8">
      <c r="A67" t="s">
        <v>171</v>
      </c>
      <c r="B67" s="24">
        <v>46181</v>
      </c>
      <c r="C67" s="27" t="s">
        <v>5797</v>
      </c>
      <c r="D67" s="27" t="s">
        <v>3218</v>
      </c>
      <c r="E67" t="s">
        <v>482</v>
      </c>
      <c r="F67" t="s">
        <v>104</v>
      </c>
      <c r="G67" t="s">
        <v>105</v>
      </c>
      <c r="H67" t="s">
        <v>106</v>
      </c>
    </row>
    <row r="68" spans="1:8">
      <c r="A68" t="s">
        <v>172</v>
      </c>
      <c r="B68" s="24">
        <v>46182</v>
      </c>
      <c r="C68" s="27" t="s">
        <v>5797</v>
      </c>
      <c r="D68" s="27" t="s">
        <v>3218</v>
      </c>
      <c r="E68" t="s">
        <v>483</v>
      </c>
      <c r="F68" t="s">
        <v>104</v>
      </c>
      <c r="G68" t="s">
        <v>105</v>
      </c>
      <c r="H68" t="s">
        <v>106</v>
      </c>
    </row>
    <row r="69" spans="1:8">
      <c r="A69" t="s">
        <v>173</v>
      </c>
      <c r="B69" s="24">
        <v>46183</v>
      </c>
      <c r="C69" s="27" t="s">
        <v>5797</v>
      </c>
      <c r="D69" s="27" t="s">
        <v>3218</v>
      </c>
      <c r="E69" t="s">
        <v>484</v>
      </c>
      <c r="F69" t="s">
        <v>104</v>
      </c>
      <c r="G69" t="s">
        <v>105</v>
      </c>
      <c r="H69" t="s">
        <v>106</v>
      </c>
    </row>
    <row r="70" spans="1:8">
      <c r="A70" t="s">
        <v>174</v>
      </c>
      <c r="B70" s="24">
        <v>46184</v>
      </c>
      <c r="C70" s="27" t="s">
        <v>5797</v>
      </c>
      <c r="D70" s="27" t="s">
        <v>3218</v>
      </c>
      <c r="E70" t="s">
        <v>485</v>
      </c>
      <c r="F70" t="s">
        <v>104</v>
      </c>
      <c r="G70" t="s">
        <v>105</v>
      </c>
      <c r="H70" t="s">
        <v>106</v>
      </c>
    </row>
    <row r="71" spans="1:8">
      <c r="A71" t="s">
        <v>175</v>
      </c>
      <c r="B71" s="24">
        <v>46185</v>
      </c>
      <c r="C71" s="27" t="s">
        <v>5797</v>
      </c>
      <c r="D71" s="27" t="s">
        <v>3218</v>
      </c>
      <c r="E71" t="s">
        <v>486</v>
      </c>
      <c r="F71" t="s">
        <v>104</v>
      </c>
      <c r="G71" t="s">
        <v>105</v>
      </c>
      <c r="H71" t="s">
        <v>106</v>
      </c>
    </row>
    <row r="72" spans="1:8">
      <c r="A72" t="s">
        <v>176</v>
      </c>
      <c r="B72" s="24">
        <v>46174</v>
      </c>
      <c r="C72" s="27" t="s">
        <v>5797</v>
      </c>
      <c r="D72" s="27" t="s">
        <v>3218</v>
      </c>
      <c r="E72" t="s">
        <v>487</v>
      </c>
      <c r="F72" t="s">
        <v>104</v>
      </c>
      <c r="G72" t="s">
        <v>105</v>
      </c>
      <c r="H72" t="s">
        <v>106</v>
      </c>
    </row>
    <row r="73" spans="1:8">
      <c r="A73" t="s">
        <v>177</v>
      </c>
      <c r="B73" s="24">
        <v>46175</v>
      </c>
      <c r="C73" s="27" t="s">
        <v>5797</v>
      </c>
      <c r="D73" s="27" t="s">
        <v>3218</v>
      </c>
      <c r="E73" t="s">
        <v>488</v>
      </c>
      <c r="F73" t="s">
        <v>104</v>
      </c>
      <c r="G73" t="s">
        <v>105</v>
      </c>
      <c r="H73" t="s">
        <v>106</v>
      </c>
    </row>
    <row r="74" spans="1:8">
      <c r="A74" t="s">
        <v>178</v>
      </c>
      <c r="B74" s="24">
        <v>46176</v>
      </c>
      <c r="C74" s="27" t="s">
        <v>5797</v>
      </c>
      <c r="D74" s="27" t="s">
        <v>3218</v>
      </c>
      <c r="E74" t="s">
        <v>489</v>
      </c>
      <c r="F74" t="s">
        <v>104</v>
      </c>
      <c r="G74" t="s">
        <v>105</v>
      </c>
      <c r="H74" t="s">
        <v>106</v>
      </c>
    </row>
    <row r="75" spans="1:8">
      <c r="A75" t="s">
        <v>179</v>
      </c>
      <c r="B75" s="24">
        <v>46177</v>
      </c>
      <c r="C75" s="27" t="s">
        <v>5797</v>
      </c>
      <c r="D75" s="27" t="s">
        <v>3218</v>
      </c>
      <c r="E75" t="s">
        <v>490</v>
      </c>
      <c r="F75" t="s">
        <v>104</v>
      </c>
      <c r="G75" t="s">
        <v>105</v>
      </c>
      <c r="H75" t="s">
        <v>106</v>
      </c>
    </row>
    <row r="76" spans="1:8">
      <c r="A76" t="s">
        <v>180</v>
      </c>
      <c r="B76" s="24">
        <v>46178</v>
      </c>
      <c r="C76" s="27" t="s">
        <v>5797</v>
      </c>
      <c r="D76" s="27" t="s">
        <v>3218</v>
      </c>
      <c r="E76" t="s">
        <v>491</v>
      </c>
      <c r="F76" t="s">
        <v>104</v>
      </c>
      <c r="G76" t="s">
        <v>105</v>
      </c>
      <c r="H76" t="s">
        <v>106</v>
      </c>
    </row>
    <row r="77" spans="1:8">
      <c r="A77" t="s">
        <v>181</v>
      </c>
      <c r="B77" s="24">
        <v>46181</v>
      </c>
      <c r="C77" s="27" t="s">
        <v>5797</v>
      </c>
      <c r="D77" s="27" t="s">
        <v>3218</v>
      </c>
      <c r="E77" t="s">
        <v>492</v>
      </c>
      <c r="F77" t="s">
        <v>104</v>
      </c>
      <c r="G77" t="s">
        <v>105</v>
      </c>
      <c r="H77" t="s">
        <v>106</v>
      </c>
    </row>
    <row r="78" spans="1:8">
      <c r="A78" t="s">
        <v>182</v>
      </c>
      <c r="B78" s="24">
        <v>46182</v>
      </c>
      <c r="C78" s="27" t="s">
        <v>5797</v>
      </c>
      <c r="D78" s="27" t="s">
        <v>3218</v>
      </c>
      <c r="E78" t="s">
        <v>493</v>
      </c>
      <c r="F78" t="s">
        <v>104</v>
      </c>
      <c r="G78" t="s">
        <v>105</v>
      </c>
      <c r="H78" t="s">
        <v>106</v>
      </c>
    </row>
    <row r="79" spans="1:8">
      <c r="A79" t="s">
        <v>183</v>
      </c>
      <c r="B79" s="24">
        <v>46183</v>
      </c>
      <c r="C79" s="27" t="s">
        <v>5797</v>
      </c>
      <c r="D79" s="27" t="s">
        <v>3218</v>
      </c>
      <c r="E79" t="s">
        <v>494</v>
      </c>
      <c r="F79" t="s">
        <v>104</v>
      </c>
      <c r="G79" t="s">
        <v>105</v>
      </c>
      <c r="H79" t="s">
        <v>106</v>
      </c>
    </row>
    <row r="80" spans="1:8">
      <c r="A80" t="s">
        <v>184</v>
      </c>
      <c r="B80" s="24">
        <v>46184</v>
      </c>
      <c r="C80" s="27" t="s">
        <v>5797</v>
      </c>
      <c r="D80" s="27" t="s">
        <v>3218</v>
      </c>
      <c r="E80" t="s">
        <v>495</v>
      </c>
      <c r="F80" t="s">
        <v>104</v>
      </c>
      <c r="G80" t="s">
        <v>105</v>
      </c>
      <c r="H80" t="s">
        <v>106</v>
      </c>
    </row>
    <row r="81" spans="1:8">
      <c r="A81" t="s">
        <v>185</v>
      </c>
      <c r="B81" s="24">
        <v>46185</v>
      </c>
      <c r="C81" s="27" t="s">
        <v>5797</v>
      </c>
      <c r="D81" s="27" t="s">
        <v>3218</v>
      </c>
      <c r="E81" t="s">
        <v>496</v>
      </c>
      <c r="F81" t="s">
        <v>104</v>
      </c>
      <c r="G81" t="s">
        <v>105</v>
      </c>
      <c r="H81" t="s">
        <v>106</v>
      </c>
    </row>
    <row r="82" spans="1:8">
      <c r="A82" t="s">
        <v>3232</v>
      </c>
      <c r="B82" s="24">
        <v>46174</v>
      </c>
      <c r="C82" s="27" t="s">
        <v>5797</v>
      </c>
      <c r="D82" s="27" t="s">
        <v>3218</v>
      </c>
      <c r="E82" t="s">
        <v>497</v>
      </c>
      <c r="F82" t="s">
        <v>104</v>
      </c>
      <c r="G82" t="s">
        <v>105</v>
      </c>
      <c r="H82" t="s">
        <v>106</v>
      </c>
    </row>
    <row r="83" spans="1:8">
      <c r="A83" t="s">
        <v>3233</v>
      </c>
      <c r="B83" s="24">
        <v>46175</v>
      </c>
      <c r="C83" s="27" t="s">
        <v>5797</v>
      </c>
      <c r="D83" s="27" t="s">
        <v>3218</v>
      </c>
      <c r="E83" t="s">
        <v>498</v>
      </c>
      <c r="F83" t="s">
        <v>104</v>
      </c>
      <c r="G83" t="s">
        <v>105</v>
      </c>
      <c r="H83" t="s">
        <v>106</v>
      </c>
    </row>
    <row r="84" spans="1:8">
      <c r="A84" t="s">
        <v>3234</v>
      </c>
      <c r="B84" s="24">
        <v>46176</v>
      </c>
      <c r="C84" s="27" t="s">
        <v>5797</v>
      </c>
      <c r="D84" s="27" t="s">
        <v>3218</v>
      </c>
      <c r="E84" t="s">
        <v>499</v>
      </c>
      <c r="F84" t="s">
        <v>104</v>
      </c>
      <c r="G84" t="s">
        <v>105</v>
      </c>
      <c r="H84" t="s">
        <v>106</v>
      </c>
    </row>
    <row r="85" spans="1:8">
      <c r="A85" t="s">
        <v>3235</v>
      </c>
      <c r="B85" s="24">
        <v>46177</v>
      </c>
      <c r="C85" s="27" t="s">
        <v>5797</v>
      </c>
      <c r="D85" s="27" t="s">
        <v>3218</v>
      </c>
      <c r="E85" t="s">
        <v>500</v>
      </c>
      <c r="F85" t="s">
        <v>104</v>
      </c>
      <c r="G85" t="s">
        <v>105</v>
      </c>
      <c r="H85" t="s">
        <v>106</v>
      </c>
    </row>
    <row r="86" spans="1:8">
      <c r="A86" t="s">
        <v>3236</v>
      </c>
      <c r="B86" s="24">
        <v>46178</v>
      </c>
      <c r="C86" s="27" t="s">
        <v>5797</v>
      </c>
      <c r="D86" s="27" t="s">
        <v>3218</v>
      </c>
      <c r="E86" t="s">
        <v>501</v>
      </c>
      <c r="F86" t="s">
        <v>104</v>
      </c>
      <c r="G86" t="s">
        <v>105</v>
      </c>
      <c r="H86" t="s">
        <v>106</v>
      </c>
    </row>
    <row r="87" spans="1:8">
      <c r="A87" t="s">
        <v>3237</v>
      </c>
      <c r="B87" s="24">
        <v>46181</v>
      </c>
      <c r="C87" s="27" t="s">
        <v>5797</v>
      </c>
      <c r="D87" s="27" t="s">
        <v>3218</v>
      </c>
      <c r="E87" t="s">
        <v>502</v>
      </c>
      <c r="F87" t="s">
        <v>104</v>
      </c>
      <c r="G87" t="s">
        <v>105</v>
      </c>
      <c r="H87" t="s">
        <v>106</v>
      </c>
    </row>
    <row r="88" spans="1:8">
      <c r="A88" t="s">
        <v>3238</v>
      </c>
      <c r="B88" s="24">
        <v>46182</v>
      </c>
      <c r="C88" s="27" t="s">
        <v>5797</v>
      </c>
      <c r="D88" s="27" t="s">
        <v>3218</v>
      </c>
      <c r="E88" t="s">
        <v>503</v>
      </c>
      <c r="F88" t="s">
        <v>104</v>
      </c>
      <c r="G88" t="s">
        <v>105</v>
      </c>
      <c r="H88" t="s">
        <v>106</v>
      </c>
    </row>
    <row r="89" spans="1:8">
      <c r="A89" t="s">
        <v>3239</v>
      </c>
      <c r="B89" s="24">
        <v>46183</v>
      </c>
      <c r="C89" s="27" t="s">
        <v>5797</v>
      </c>
      <c r="D89" s="27" t="s">
        <v>3218</v>
      </c>
      <c r="E89" t="s">
        <v>504</v>
      </c>
      <c r="F89" t="s">
        <v>104</v>
      </c>
      <c r="G89" t="s">
        <v>105</v>
      </c>
      <c r="H89" t="s">
        <v>106</v>
      </c>
    </row>
    <row r="90" spans="1:8">
      <c r="A90" t="s">
        <v>3240</v>
      </c>
      <c r="B90" s="24">
        <v>46184</v>
      </c>
      <c r="C90" s="27" t="s">
        <v>5797</v>
      </c>
      <c r="D90" s="27" t="s">
        <v>3218</v>
      </c>
      <c r="E90" t="s">
        <v>505</v>
      </c>
      <c r="F90" t="s">
        <v>104</v>
      </c>
      <c r="G90" t="s">
        <v>105</v>
      </c>
      <c r="H90" t="s">
        <v>106</v>
      </c>
    </row>
    <row r="91" spans="1:8">
      <c r="A91" t="s">
        <v>3241</v>
      </c>
      <c r="B91" s="24">
        <v>46185</v>
      </c>
      <c r="C91" s="27" t="s">
        <v>5797</v>
      </c>
      <c r="D91" s="27" t="s">
        <v>3218</v>
      </c>
      <c r="E91" t="s">
        <v>506</v>
      </c>
      <c r="F91" t="s">
        <v>104</v>
      </c>
      <c r="G91" t="s">
        <v>105</v>
      </c>
      <c r="H91" t="s">
        <v>106</v>
      </c>
    </row>
    <row r="92" spans="1:8">
      <c r="A92" t="s">
        <v>3242</v>
      </c>
      <c r="B92" s="24">
        <v>46174</v>
      </c>
      <c r="C92" s="27" t="s">
        <v>5797</v>
      </c>
      <c r="D92" s="27" t="s">
        <v>3218</v>
      </c>
      <c r="E92" t="s">
        <v>507</v>
      </c>
      <c r="F92" t="s">
        <v>104</v>
      </c>
      <c r="G92" t="s">
        <v>105</v>
      </c>
      <c r="H92" t="s">
        <v>106</v>
      </c>
    </row>
    <row r="93" spans="1:8">
      <c r="A93" t="s">
        <v>3243</v>
      </c>
      <c r="B93" s="24">
        <v>46175</v>
      </c>
      <c r="C93" s="27" t="s">
        <v>5797</v>
      </c>
      <c r="D93" s="27" t="s">
        <v>3218</v>
      </c>
      <c r="E93" t="s">
        <v>508</v>
      </c>
      <c r="F93" t="s">
        <v>104</v>
      </c>
      <c r="G93" t="s">
        <v>105</v>
      </c>
      <c r="H93" t="s">
        <v>106</v>
      </c>
    </row>
    <row r="94" spans="1:8">
      <c r="A94" t="s">
        <v>3244</v>
      </c>
      <c r="B94" s="24">
        <v>46176</v>
      </c>
      <c r="C94" s="27" t="s">
        <v>5797</v>
      </c>
      <c r="D94" s="27" t="s">
        <v>3218</v>
      </c>
      <c r="E94" t="s">
        <v>509</v>
      </c>
      <c r="F94" t="s">
        <v>104</v>
      </c>
      <c r="G94" t="s">
        <v>105</v>
      </c>
      <c r="H94" t="s">
        <v>106</v>
      </c>
    </row>
    <row r="95" spans="1:8">
      <c r="A95" t="s">
        <v>3245</v>
      </c>
      <c r="B95" s="24">
        <v>46177</v>
      </c>
      <c r="C95" s="27" t="s">
        <v>5797</v>
      </c>
      <c r="D95" s="27" t="s">
        <v>3218</v>
      </c>
      <c r="E95" t="s">
        <v>510</v>
      </c>
      <c r="F95" t="s">
        <v>104</v>
      </c>
      <c r="G95" t="s">
        <v>105</v>
      </c>
      <c r="H95" t="s">
        <v>106</v>
      </c>
    </row>
    <row r="96" spans="1:8">
      <c r="A96" t="s">
        <v>3246</v>
      </c>
      <c r="B96" s="24">
        <v>46178</v>
      </c>
      <c r="C96" s="27" t="s">
        <v>5797</v>
      </c>
      <c r="D96" s="27" t="s">
        <v>3218</v>
      </c>
      <c r="E96" t="s">
        <v>511</v>
      </c>
      <c r="F96" t="s">
        <v>104</v>
      </c>
      <c r="G96" t="s">
        <v>105</v>
      </c>
      <c r="H96" t="s">
        <v>106</v>
      </c>
    </row>
    <row r="97" spans="1:8">
      <c r="A97" t="s">
        <v>3247</v>
      </c>
      <c r="B97" s="24">
        <v>46181</v>
      </c>
      <c r="C97" s="27" t="s">
        <v>5797</v>
      </c>
      <c r="D97" s="27" t="s">
        <v>3218</v>
      </c>
      <c r="E97" t="s">
        <v>512</v>
      </c>
      <c r="F97" t="s">
        <v>104</v>
      </c>
      <c r="G97" t="s">
        <v>105</v>
      </c>
      <c r="H97" t="s">
        <v>106</v>
      </c>
    </row>
    <row r="98" spans="1:8">
      <c r="A98" t="s">
        <v>3248</v>
      </c>
      <c r="B98" s="24">
        <v>46182</v>
      </c>
      <c r="C98" s="27" t="s">
        <v>5797</v>
      </c>
      <c r="D98" s="27" t="s">
        <v>3218</v>
      </c>
      <c r="E98" t="s">
        <v>513</v>
      </c>
      <c r="F98" t="s">
        <v>104</v>
      </c>
      <c r="G98" t="s">
        <v>105</v>
      </c>
      <c r="H98" t="s">
        <v>106</v>
      </c>
    </row>
    <row r="99" spans="1:8">
      <c r="A99" t="s">
        <v>3249</v>
      </c>
      <c r="B99" s="24">
        <v>46183</v>
      </c>
      <c r="C99" s="27" t="s">
        <v>5797</v>
      </c>
      <c r="D99" s="27" t="s">
        <v>3218</v>
      </c>
      <c r="E99" t="s">
        <v>514</v>
      </c>
      <c r="F99" t="s">
        <v>104</v>
      </c>
      <c r="G99" t="s">
        <v>105</v>
      </c>
      <c r="H99" t="s">
        <v>106</v>
      </c>
    </row>
    <row r="100" spans="1:8">
      <c r="A100" t="s">
        <v>3250</v>
      </c>
      <c r="B100" s="24">
        <v>46184</v>
      </c>
      <c r="C100" s="27" t="s">
        <v>5797</v>
      </c>
      <c r="D100" s="27" t="s">
        <v>3218</v>
      </c>
      <c r="E100" t="s">
        <v>515</v>
      </c>
      <c r="F100" t="s">
        <v>104</v>
      </c>
      <c r="G100" t="s">
        <v>105</v>
      </c>
      <c r="H100" t="s">
        <v>106</v>
      </c>
    </row>
    <row r="101" spans="1:8">
      <c r="A101" t="s">
        <v>3251</v>
      </c>
      <c r="B101" s="24">
        <v>46185</v>
      </c>
      <c r="C101" s="27" t="s">
        <v>5797</v>
      </c>
      <c r="D101" s="27" t="s">
        <v>3218</v>
      </c>
      <c r="E101" t="s">
        <v>516</v>
      </c>
      <c r="F101" t="s">
        <v>104</v>
      </c>
      <c r="H101" t="s">
        <v>5762</v>
      </c>
    </row>
    <row r="102" spans="1:8">
      <c r="A102" t="s">
        <v>3252</v>
      </c>
      <c r="B102" s="24">
        <v>46174</v>
      </c>
      <c r="C102" s="27" t="s">
        <v>5797</v>
      </c>
      <c r="D102" s="27" t="s">
        <v>3218</v>
      </c>
      <c r="E102" t="s">
        <v>517</v>
      </c>
      <c r="F102" t="s">
        <v>104</v>
      </c>
      <c r="H102" t="s">
        <v>5762</v>
      </c>
    </row>
    <row r="103" spans="1:8">
      <c r="A103" t="s">
        <v>3253</v>
      </c>
      <c r="B103" s="24">
        <v>46175</v>
      </c>
      <c r="C103" s="27" t="s">
        <v>5797</v>
      </c>
      <c r="D103" s="27" t="s">
        <v>3218</v>
      </c>
      <c r="E103" t="s">
        <v>518</v>
      </c>
      <c r="F103" t="s">
        <v>104</v>
      </c>
      <c r="H103" t="s">
        <v>5762</v>
      </c>
    </row>
    <row r="104" spans="1:8">
      <c r="A104" t="s">
        <v>3254</v>
      </c>
      <c r="B104" s="24">
        <v>46176</v>
      </c>
      <c r="C104" s="27" t="s">
        <v>5797</v>
      </c>
      <c r="D104" s="27" t="s">
        <v>3218</v>
      </c>
      <c r="E104" t="s">
        <v>519</v>
      </c>
      <c r="F104" t="s">
        <v>104</v>
      </c>
      <c r="H104" t="s">
        <v>5762</v>
      </c>
    </row>
    <row r="105" spans="1:8">
      <c r="A105" t="s">
        <v>3255</v>
      </c>
      <c r="B105" s="24">
        <v>46177</v>
      </c>
      <c r="C105" s="27" t="s">
        <v>5797</v>
      </c>
      <c r="D105" s="27" t="s">
        <v>3218</v>
      </c>
      <c r="E105" t="s">
        <v>520</v>
      </c>
      <c r="F105" t="s">
        <v>104</v>
      </c>
      <c r="H105" t="s">
        <v>5762</v>
      </c>
    </row>
    <row r="106" spans="1:8">
      <c r="A106" t="s">
        <v>3256</v>
      </c>
      <c r="B106" s="24">
        <v>46178</v>
      </c>
      <c r="C106" s="27" t="s">
        <v>5797</v>
      </c>
      <c r="D106" s="27" t="s">
        <v>3218</v>
      </c>
      <c r="E106" t="s">
        <v>521</v>
      </c>
      <c r="F106" t="s">
        <v>104</v>
      </c>
      <c r="H106" t="s">
        <v>5762</v>
      </c>
    </row>
    <row r="107" spans="1:8">
      <c r="A107" t="s">
        <v>3257</v>
      </c>
      <c r="B107" s="24">
        <v>46181</v>
      </c>
      <c r="C107" s="27" t="s">
        <v>5797</v>
      </c>
      <c r="D107" s="27" t="s">
        <v>3218</v>
      </c>
      <c r="E107" t="s">
        <v>522</v>
      </c>
      <c r="F107" t="s">
        <v>104</v>
      </c>
      <c r="H107" t="s">
        <v>5762</v>
      </c>
    </row>
    <row r="108" spans="1:8">
      <c r="A108" t="s">
        <v>3258</v>
      </c>
      <c r="B108" s="24">
        <v>46182</v>
      </c>
      <c r="C108" s="27" t="s">
        <v>5797</v>
      </c>
      <c r="D108" s="27" t="s">
        <v>3218</v>
      </c>
      <c r="E108" t="s">
        <v>523</v>
      </c>
      <c r="F108" t="s">
        <v>104</v>
      </c>
      <c r="H108" t="s">
        <v>5762</v>
      </c>
    </row>
    <row r="109" spans="1:8">
      <c r="A109" t="s">
        <v>3259</v>
      </c>
      <c r="B109" s="24">
        <v>46183</v>
      </c>
      <c r="C109" s="27" t="s">
        <v>5797</v>
      </c>
      <c r="D109" s="27" t="s">
        <v>3218</v>
      </c>
      <c r="E109" t="s">
        <v>524</v>
      </c>
      <c r="F109" t="s">
        <v>104</v>
      </c>
      <c r="H109" t="s">
        <v>5762</v>
      </c>
    </row>
    <row r="110" spans="1:8">
      <c r="A110" t="s">
        <v>3260</v>
      </c>
      <c r="B110" s="24">
        <v>46184</v>
      </c>
      <c r="C110" s="27" t="s">
        <v>5797</v>
      </c>
      <c r="D110" s="27" t="s">
        <v>3218</v>
      </c>
      <c r="E110" t="s">
        <v>525</v>
      </c>
      <c r="F110" t="s">
        <v>104</v>
      </c>
      <c r="H110" t="s">
        <v>5762</v>
      </c>
    </row>
    <row r="111" spans="1:8">
      <c r="A111" t="s">
        <v>3261</v>
      </c>
      <c r="B111" s="24">
        <v>46185</v>
      </c>
      <c r="C111" s="27" t="s">
        <v>5797</v>
      </c>
      <c r="D111" s="27" t="s">
        <v>3218</v>
      </c>
      <c r="E111" t="s">
        <v>526</v>
      </c>
      <c r="F111" t="s">
        <v>104</v>
      </c>
      <c r="H111" t="s">
        <v>5762</v>
      </c>
    </row>
    <row r="112" spans="1:8">
      <c r="A112" t="s">
        <v>3262</v>
      </c>
      <c r="B112" s="24">
        <v>46174</v>
      </c>
      <c r="C112" s="27" t="s">
        <v>5797</v>
      </c>
      <c r="D112" s="27" t="s">
        <v>3218</v>
      </c>
      <c r="E112" t="s">
        <v>527</v>
      </c>
      <c r="F112" t="s">
        <v>104</v>
      </c>
      <c r="H112" t="s">
        <v>5762</v>
      </c>
    </row>
    <row r="113" spans="1:8">
      <c r="A113" t="s">
        <v>3263</v>
      </c>
      <c r="B113" s="24">
        <v>46175</v>
      </c>
      <c r="C113" s="27" t="s">
        <v>5797</v>
      </c>
      <c r="D113" s="27" t="s">
        <v>3218</v>
      </c>
      <c r="E113" t="s">
        <v>528</v>
      </c>
      <c r="F113" t="s">
        <v>104</v>
      </c>
      <c r="H113" t="s">
        <v>5762</v>
      </c>
    </row>
    <row r="114" spans="1:8">
      <c r="A114" t="s">
        <v>3264</v>
      </c>
      <c r="B114" s="24">
        <v>46176</v>
      </c>
      <c r="C114" s="27" t="s">
        <v>5797</v>
      </c>
      <c r="D114" s="27" t="s">
        <v>3218</v>
      </c>
      <c r="E114" t="s">
        <v>529</v>
      </c>
      <c r="F114" t="s">
        <v>104</v>
      </c>
      <c r="H114" t="s">
        <v>5762</v>
      </c>
    </row>
    <row r="115" spans="1:8">
      <c r="A115" t="s">
        <v>3265</v>
      </c>
      <c r="B115" s="24">
        <v>46177</v>
      </c>
      <c r="C115" s="27" t="s">
        <v>5797</v>
      </c>
      <c r="D115" s="27" t="s">
        <v>3218</v>
      </c>
      <c r="E115" t="s">
        <v>530</v>
      </c>
      <c r="F115" t="s">
        <v>104</v>
      </c>
      <c r="H115" t="s">
        <v>5762</v>
      </c>
    </row>
    <row r="116" spans="1:8">
      <c r="A116" t="s">
        <v>3266</v>
      </c>
      <c r="B116" s="24">
        <v>46178</v>
      </c>
      <c r="C116" s="27" t="s">
        <v>5797</v>
      </c>
      <c r="D116" s="27" t="s">
        <v>3218</v>
      </c>
      <c r="E116" t="s">
        <v>531</v>
      </c>
      <c r="F116" t="s">
        <v>104</v>
      </c>
      <c r="H116" t="s">
        <v>5762</v>
      </c>
    </row>
    <row r="117" spans="1:8">
      <c r="A117" t="s">
        <v>3267</v>
      </c>
      <c r="B117" s="24">
        <v>46181</v>
      </c>
      <c r="C117" s="27" t="s">
        <v>5797</v>
      </c>
      <c r="D117" s="27" t="s">
        <v>3218</v>
      </c>
      <c r="E117" t="s">
        <v>532</v>
      </c>
      <c r="F117" t="s">
        <v>104</v>
      </c>
      <c r="H117" t="s">
        <v>5762</v>
      </c>
    </row>
    <row r="118" spans="1:8">
      <c r="A118" t="s">
        <v>3268</v>
      </c>
      <c r="B118" s="24">
        <v>46182</v>
      </c>
      <c r="C118" s="27" t="s">
        <v>5797</v>
      </c>
      <c r="D118" s="27" t="s">
        <v>3218</v>
      </c>
      <c r="E118" t="s">
        <v>533</v>
      </c>
      <c r="F118" t="s">
        <v>104</v>
      </c>
      <c r="H118" t="s">
        <v>5762</v>
      </c>
    </row>
    <row r="119" spans="1:8">
      <c r="A119" t="s">
        <v>3269</v>
      </c>
      <c r="B119" s="24">
        <v>46183</v>
      </c>
      <c r="C119" s="27" t="s">
        <v>5797</v>
      </c>
      <c r="D119" s="27" t="s">
        <v>3218</v>
      </c>
      <c r="E119" t="s">
        <v>534</v>
      </c>
      <c r="F119" t="s">
        <v>104</v>
      </c>
      <c r="H119" t="s">
        <v>5762</v>
      </c>
    </row>
    <row r="120" spans="1:8">
      <c r="A120" t="s">
        <v>3270</v>
      </c>
      <c r="B120" s="24">
        <v>46184</v>
      </c>
      <c r="C120" s="27" t="s">
        <v>5797</v>
      </c>
      <c r="D120" s="27" t="s">
        <v>3218</v>
      </c>
      <c r="E120" t="s">
        <v>535</v>
      </c>
      <c r="F120" t="s">
        <v>104</v>
      </c>
      <c r="H120" t="s">
        <v>5762</v>
      </c>
    </row>
    <row r="121" spans="1:8">
      <c r="A121" t="s">
        <v>3271</v>
      </c>
      <c r="B121" s="24">
        <v>46185</v>
      </c>
      <c r="C121" s="27" t="s">
        <v>5797</v>
      </c>
      <c r="D121" s="27" t="s">
        <v>3218</v>
      </c>
      <c r="E121" t="s">
        <v>536</v>
      </c>
      <c r="F121" t="s">
        <v>104</v>
      </c>
      <c r="H121" t="s">
        <v>5762</v>
      </c>
    </row>
    <row r="122" spans="1:8">
      <c r="A122" t="s">
        <v>3272</v>
      </c>
      <c r="B122" s="24">
        <v>46174</v>
      </c>
      <c r="C122" s="27" t="s">
        <v>5797</v>
      </c>
      <c r="D122" s="27" t="s">
        <v>3218</v>
      </c>
      <c r="E122" t="s">
        <v>537</v>
      </c>
      <c r="F122" t="s">
        <v>104</v>
      </c>
      <c r="H122" t="s">
        <v>5762</v>
      </c>
    </row>
    <row r="123" spans="1:8">
      <c r="A123" t="s">
        <v>3273</v>
      </c>
      <c r="B123" s="24">
        <v>46175</v>
      </c>
      <c r="C123" s="27" t="s">
        <v>5797</v>
      </c>
      <c r="D123" s="27" t="s">
        <v>3218</v>
      </c>
      <c r="E123" t="s">
        <v>538</v>
      </c>
      <c r="F123" t="s">
        <v>104</v>
      </c>
      <c r="H123" t="s">
        <v>5762</v>
      </c>
    </row>
    <row r="124" spans="1:8">
      <c r="A124" t="s">
        <v>3274</v>
      </c>
      <c r="B124" s="24">
        <v>46176</v>
      </c>
      <c r="C124" s="27" t="s">
        <v>5797</v>
      </c>
      <c r="D124" s="27" t="s">
        <v>3218</v>
      </c>
      <c r="E124" t="s">
        <v>539</v>
      </c>
      <c r="F124" t="s">
        <v>104</v>
      </c>
      <c r="H124" t="s">
        <v>5762</v>
      </c>
    </row>
    <row r="125" spans="1:8">
      <c r="A125" t="s">
        <v>3275</v>
      </c>
      <c r="B125" s="24">
        <v>46177</v>
      </c>
      <c r="C125" s="27" t="s">
        <v>5797</v>
      </c>
      <c r="D125" s="27" t="s">
        <v>3218</v>
      </c>
      <c r="E125" t="s">
        <v>540</v>
      </c>
      <c r="F125" t="s">
        <v>104</v>
      </c>
      <c r="H125" t="s">
        <v>5762</v>
      </c>
    </row>
    <row r="126" spans="1:8">
      <c r="A126" t="s">
        <v>3276</v>
      </c>
      <c r="B126" s="24">
        <v>46178</v>
      </c>
      <c r="C126" s="27" t="s">
        <v>5797</v>
      </c>
      <c r="D126" s="27" t="s">
        <v>3218</v>
      </c>
      <c r="E126" t="s">
        <v>541</v>
      </c>
      <c r="F126" t="s">
        <v>104</v>
      </c>
      <c r="H126" t="s">
        <v>5762</v>
      </c>
    </row>
    <row r="127" spans="1:8">
      <c r="A127" t="s">
        <v>3277</v>
      </c>
      <c r="B127" s="24">
        <v>46181</v>
      </c>
      <c r="C127" s="27" t="s">
        <v>5797</v>
      </c>
      <c r="D127" s="27" t="s">
        <v>3218</v>
      </c>
      <c r="E127" t="s">
        <v>542</v>
      </c>
      <c r="F127" t="s">
        <v>104</v>
      </c>
      <c r="H127" t="s">
        <v>5762</v>
      </c>
    </row>
    <row r="128" spans="1:8">
      <c r="A128" t="s">
        <v>3278</v>
      </c>
      <c r="B128" s="24">
        <v>46182</v>
      </c>
      <c r="C128" s="27" t="s">
        <v>5797</v>
      </c>
      <c r="D128" s="27" t="s">
        <v>3218</v>
      </c>
      <c r="E128" t="s">
        <v>543</v>
      </c>
      <c r="F128" t="s">
        <v>104</v>
      </c>
      <c r="H128" t="s">
        <v>5762</v>
      </c>
    </row>
    <row r="129" spans="1:8">
      <c r="A129" t="s">
        <v>3279</v>
      </c>
      <c r="B129" s="24">
        <v>46183</v>
      </c>
      <c r="C129" s="27" t="s">
        <v>5797</v>
      </c>
      <c r="D129" s="27" t="s">
        <v>3218</v>
      </c>
      <c r="E129" t="s">
        <v>544</v>
      </c>
      <c r="F129" t="s">
        <v>104</v>
      </c>
      <c r="H129" t="s">
        <v>5762</v>
      </c>
    </row>
    <row r="130" spans="1:8">
      <c r="A130" t="s">
        <v>3280</v>
      </c>
      <c r="B130" s="24">
        <v>46184</v>
      </c>
      <c r="C130" s="27" t="s">
        <v>5797</v>
      </c>
      <c r="D130" s="27" t="s">
        <v>3218</v>
      </c>
      <c r="E130" t="s">
        <v>545</v>
      </c>
      <c r="F130" t="s">
        <v>104</v>
      </c>
      <c r="H130" t="s">
        <v>5762</v>
      </c>
    </row>
    <row r="131" spans="1:8">
      <c r="A131" t="s">
        <v>3281</v>
      </c>
      <c r="B131" s="24">
        <v>46185</v>
      </c>
      <c r="C131" s="27" t="s">
        <v>5797</v>
      </c>
      <c r="D131" s="27" t="s">
        <v>3218</v>
      </c>
      <c r="E131" t="s">
        <v>546</v>
      </c>
      <c r="F131" t="s">
        <v>104</v>
      </c>
      <c r="H131" t="s">
        <v>5762</v>
      </c>
    </row>
    <row r="132" spans="1:8">
      <c r="A132" t="s">
        <v>3282</v>
      </c>
      <c r="B132" s="24">
        <v>46174</v>
      </c>
      <c r="C132" s="27" t="s">
        <v>5797</v>
      </c>
      <c r="D132" s="27" t="s">
        <v>3218</v>
      </c>
      <c r="E132" t="s">
        <v>547</v>
      </c>
      <c r="F132" t="s">
        <v>104</v>
      </c>
      <c r="H132" t="s">
        <v>5762</v>
      </c>
    </row>
    <row r="133" spans="1:8">
      <c r="A133" t="s">
        <v>3283</v>
      </c>
      <c r="B133" s="24">
        <v>46175</v>
      </c>
      <c r="C133" s="27" t="s">
        <v>5797</v>
      </c>
      <c r="D133" s="27" t="s">
        <v>3218</v>
      </c>
      <c r="E133" t="s">
        <v>548</v>
      </c>
      <c r="F133" t="s">
        <v>104</v>
      </c>
      <c r="H133" t="s">
        <v>5762</v>
      </c>
    </row>
    <row r="134" spans="1:8">
      <c r="A134" t="s">
        <v>3284</v>
      </c>
      <c r="B134" s="24">
        <v>46176</v>
      </c>
      <c r="C134" s="27" t="s">
        <v>5797</v>
      </c>
      <c r="D134" s="27" t="s">
        <v>3218</v>
      </c>
      <c r="E134" t="s">
        <v>549</v>
      </c>
      <c r="F134" t="s">
        <v>104</v>
      </c>
      <c r="H134" t="s">
        <v>5762</v>
      </c>
    </row>
    <row r="135" spans="1:8">
      <c r="A135" t="s">
        <v>3285</v>
      </c>
      <c r="B135" s="24">
        <v>46177</v>
      </c>
      <c r="C135" s="27" t="s">
        <v>5797</v>
      </c>
      <c r="D135" s="27" t="s">
        <v>3218</v>
      </c>
      <c r="E135" t="s">
        <v>550</v>
      </c>
      <c r="F135" t="s">
        <v>104</v>
      </c>
      <c r="H135" t="s">
        <v>5762</v>
      </c>
    </row>
    <row r="136" spans="1:8">
      <c r="A136" t="s">
        <v>3286</v>
      </c>
      <c r="B136" s="24">
        <v>46178</v>
      </c>
      <c r="C136" s="27" t="s">
        <v>5797</v>
      </c>
      <c r="D136" s="27" t="s">
        <v>3218</v>
      </c>
      <c r="E136" t="s">
        <v>551</v>
      </c>
      <c r="F136" t="s">
        <v>104</v>
      </c>
      <c r="H136" t="s">
        <v>5762</v>
      </c>
    </row>
    <row r="137" spans="1:8">
      <c r="A137" t="s">
        <v>3287</v>
      </c>
      <c r="B137" s="24">
        <v>46181</v>
      </c>
      <c r="C137" s="27" t="s">
        <v>5797</v>
      </c>
      <c r="D137" s="27" t="s">
        <v>3218</v>
      </c>
      <c r="E137" t="s">
        <v>552</v>
      </c>
      <c r="F137" t="s">
        <v>104</v>
      </c>
      <c r="H137" t="s">
        <v>5762</v>
      </c>
    </row>
    <row r="138" spans="1:8">
      <c r="A138" t="s">
        <v>3288</v>
      </c>
      <c r="B138" s="24">
        <v>46182</v>
      </c>
      <c r="C138" s="27" t="s">
        <v>5797</v>
      </c>
      <c r="D138" s="27" t="s">
        <v>3218</v>
      </c>
      <c r="E138" t="s">
        <v>553</v>
      </c>
      <c r="F138" t="s">
        <v>104</v>
      </c>
      <c r="H138" t="s">
        <v>5762</v>
      </c>
    </row>
    <row r="139" spans="1:8">
      <c r="A139" t="s">
        <v>3289</v>
      </c>
      <c r="B139" s="24">
        <v>46183</v>
      </c>
      <c r="C139" s="27" t="s">
        <v>5797</v>
      </c>
      <c r="D139" s="27" t="s">
        <v>3218</v>
      </c>
      <c r="E139" t="s">
        <v>554</v>
      </c>
      <c r="F139" t="s">
        <v>104</v>
      </c>
      <c r="H139" t="s">
        <v>5762</v>
      </c>
    </row>
    <row r="140" spans="1:8">
      <c r="A140" t="s">
        <v>3290</v>
      </c>
      <c r="B140" s="24">
        <v>46184</v>
      </c>
      <c r="C140" s="27" t="s">
        <v>5797</v>
      </c>
      <c r="D140" s="27" t="s">
        <v>3218</v>
      </c>
      <c r="E140" t="s">
        <v>555</v>
      </c>
      <c r="F140" t="s">
        <v>104</v>
      </c>
      <c r="H140" t="s">
        <v>5762</v>
      </c>
    </row>
    <row r="141" spans="1:8">
      <c r="A141" t="s">
        <v>3291</v>
      </c>
      <c r="B141" s="24">
        <v>46185</v>
      </c>
      <c r="C141" s="27" t="s">
        <v>5797</v>
      </c>
      <c r="D141" s="27" t="s">
        <v>3218</v>
      </c>
      <c r="E141" t="s">
        <v>556</v>
      </c>
      <c r="F141" t="s">
        <v>104</v>
      </c>
      <c r="H141" t="s">
        <v>5762</v>
      </c>
    </row>
    <row r="142" spans="1:8">
      <c r="A142" t="s">
        <v>3292</v>
      </c>
      <c r="B142" s="24">
        <v>46174</v>
      </c>
      <c r="C142" s="27" t="s">
        <v>5797</v>
      </c>
      <c r="D142" s="27" t="s">
        <v>3218</v>
      </c>
      <c r="E142" t="s">
        <v>557</v>
      </c>
      <c r="F142" t="s">
        <v>104</v>
      </c>
      <c r="H142" t="s">
        <v>5762</v>
      </c>
    </row>
    <row r="143" spans="1:8">
      <c r="A143" t="s">
        <v>3293</v>
      </c>
      <c r="B143" s="24">
        <v>46175</v>
      </c>
      <c r="C143" s="27" t="s">
        <v>5797</v>
      </c>
      <c r="D143" s="27" t="s">
        <v>3218</v>
      </c>
      <c r="E143" t="s">
        <v>558</v>
      </c>
      <c r="F143" t="s">
        <v>104</v>
      </c>
      <c r="H143" t="s">
        <v>5762</v>
      </c>
    </row>
    <row r="144" spans="1:8">
      <c r="A144" t="s">
        <v>3294</v>
      </c>
      <c r="B144" s="24">
        <v>46176</v>
      </c>
      <c r="C144" s="27" t="s">
        <v>5797</v>
      </c>
      <c r="D144" s="27" t="s">
        <v>3218</v>
      </c>
      <c r="E144" t="s">
        <v>559</v>
      </c>
      <c r="F144" t="s">
        <v>104</v>
      </c>
      <c r="H144" t="s">
        <v>5762</v>
      </c>
    </row>
    <row r="145" spans="1:8">
      <c r="A145" t="s">
        <v>3295</v>
      </c>
      <c r="B145" s="24">
        <v>46177</v>
      </c>
      <c r="C145" s="27" t="s">
        <v>5797</v>
      </c>
      <c r="D145" s="27" t="s">
        <v>3218</v>
      </c>
      <c r="E145" t="s">
        <v>560</v>
      </c>
      <c r="F145" t="s">
        <v>104</v>
      </c>
      <c r="H145" t="s">
        <v>5762</v>
      </c>
    </row>
    <row r="146" spans="1:8">
      <c r="A146" t="s">
        <v>3296</v>
      </c>
      <c r="B146" s="24">
        <v>46178</v>
      </c>
      <c r="C146" s="27" t="s">
        <v>5797</v>
      </c>
      <c r="D146" s="27" t="s">
        <v>3218</v>
      </c>
      <c r="E146" t="s">
        <v>561</v>
      </c>
      <c r="F146" t="s">
        <v>104</v>
      </c>
      <c r="H146" t="s">
        <v>5762</v>
      </c>
    </row>
    <row r="147" spans="1:8">
      <c r="A147" t="s">
        <v>3297</v>
      </c>
      <c r="B147" s="24">
        <v>46181</v>
      </c>
      <c r="C147" s="27" t="s">
        <v>5797</v>
      </c>
      <c r="D147" s="27" t="s">
        <v>3218</v>
      </c>
      <c r="E147" t="s">
        <v>562</v>
      </c>
      <c r="F147" t="s">
        <v>104</v>
      </c>
      <c r="H147" t="s">
        <v>5762</v>
      </c>
    </row>
    <row r="148" spans="1:8">
      <c r="A148" t="s">
        <v>3298</v>
      </c>
      <c r="B148" s="24">
        <v>46182</v>
      </c>
      <c r="C148" s="27" t="s">
        <v>5797</v>
      </c>
      <c r="D148" s="27" t="s">
        <v>3218</v>
      </c>
      <c r="E148" t="s">
        <v>563</v>
      </c>
      <c r="F148" t="s">
        <v>104</v>
      </c>
      <c r="H148" t="s">
        <v>5762</v>
      </c>
    </row>
    <row r="149" spans="1:8">
      <c r="A149" t="s">
        <v>3299</v>
      </c>
      <c r="B149" s="24">
        <v>46183</v>
      </c>
      <c r="C149" s="27" t="s">
        <v>5797</v>
      </c>
      <c r="D149" s="27" t="s">
        <v>3218</v>
      </c>
      <c r="E149" t="s">
        <v>564</v>
      </c>
      <c r="F149" t="s">
        <v>104</v>
      </c>
      <c r="H149" t="s">
        <v>5762</v>
      </c>
    </row>
    <row r="150" spans="1:8">
      <c r="A150" t="s">
        <v>3300</v>
      </c>
      <c r="B150" s="24">
        <v>46184</v>
      </c>
      <c r="C150" s="27" t="s">
        <v>5797</v>
      </c>
      <c r="D150" s="27" t="s">
        <v>3218</v>
      </c>
      <c r="E150" t="s">
        <v>565</v>
      </c>
      <c r="F150" t="s">
        <v>104</v>
      </c>
      <c r="H150" t="s">
        <v>5762</v>
      </c>
    </row>
    <row r="151" spans="1:8">
      <c r="A151" t="s">
        <v>3301</v>
      </c>
      <c r="B151" s="24">
        <v>46185</v>
      </c>
      <c r="C151" s="27" t="s">
        <v>5797</v>
      </c>
      <c r="D151" s="27" t="s">
        <v>3218</v>
      </c>
      <c r="E151" t="s">
        <v>566</v>
      </c>
      <c r="F151" t="s">
        <v>104</v>
      </c>
      <c r="H151" t="s">
        <v>5762</v>
      </c>
    </row>
    <row r="152" spans="1:8">
      <c r="A152" t="s">
        <v>3302</v>
      </c>
      <c r="B152" s="24">
        <v>46174</v>
      </c>
      <c r="C152" s="27" t="s">
        <v>5797</v>
      </c>
      <c r="D152" s="27" t="s">
        <v>3218</v>
      </c>
      <c r="E152" t="s">
        <v>567</v>
      </c>
      <c r="F152" t="s">
        <v>104</v>
      </c>
      <c r="H152" t="s">
        <v>5762</v>
      </c>
    </row>
    <row r="153" spans="1:8">
      <c r="A153" t="s">
        <v>3303</v>
      </c>
      <c r="B153" s="24">
        <v>46175</v>
      </c>
      <c r="C153" s="27" t="s">
        <v>5797</v>
      </c>
      <c r="D153" s="27" t="s">
        <v>3218</v>
      </c>
      <c r="E153" t="s">
        <v>568</v>
      </c>
      <c r="F153" t="s">
        <v>104</v>
      </c>
      <c r="H153" t="s">
        <v>5762</v>
      </c>
    </row>
    <row r="154" spans="1:8">
      <c r="A154" t="s">
        <v>3304</v>
      </c>
      <c r="B154" s="24">
        <v>46176</v>
      </c>
      <c r="C154" s="27" t="s">
        <v>5797</v>
      </c>
      <c r="D154" s="27" t="s">
        <v>3218</v>
      </c>
      <c r="E154" t="s">
        <v>569</v>
      </c>
      <c r="F154" t="s">
        <v>104</v>
      </c>
      <c r="H154" t="s">
        <v>5762</v>
      </c>
    </row>
    <row r="155" spans="1:8">
      <c r="A155" t="s">
        <v>3305</v>
      </c>
      <c r="B155" s="24">
        <v>46177</v>
      </c>
      <c r="C155" s="27" t="s">
        <v>5797</v>
      </c>
      <c r="D155" s="27" t="s">
        <v>3218</v>
      </c>
      <c r="E155" t="s">
        <v>570</v>
      </c>
      <c r="F155" t="s">
        <v>104</v>
      </c>
      <c r="H155" t="s">
        <v>5762</v>
      </c>
    </row>
    <row r="156" spans="1:8">
      <c r="A156" t="s">
        <v>3306</v>
      </c>
      <c r="B156" s="24">
        <v>46178</v>
      </c>
      <c r="C156" s="27" t="s">
        <v>5797</v>
      </c>
      <c r="D156" s="27" t="s">
        <v>3218</v>
      </c>
      <c r="E156" t="s">
        <v>571</v>
      </c>
      <c r="F156" t="s">
        <v>104</v>
      </c>
      <c r="H156" t="s">
        <v>5762</v>
      </c>
    </row>
    <row r="157" spans="1:8">
      <c r="A157" t="s">
        <v>3307</v>
      </c>
      <c r="B157" s="24">
        <v>46181</v>
      </c>
      <c r="C157" s="27" t="s">
        <v>5797</v>
      </c>
      <c r="D157" s="27" t="s">
        <v>3218</v>
      </c>
      <c r="E157" t="s">
        <v>572</v>
      </c>
      <c r="F157" t="s">
        <v>104</v>
      </c>
      <c r="H157" t="s">
        <v>5762</v>
      </c>
    </row>
    <row r="158" spans="1:8">
      <c r="A158" t="s">
        <v>3308</v>
      </c>
      <c r="B158" s="24">
        <v>46182</v>
      </c>
      <c r="C158" s="27" t="s">
        <v>5797</v>
      </c>
      <c r="D158" s="27" t="s">
        <v>3218</v>
      </c>
      <c r="E158" t="s">
        <v>573</v>
      </c>
      <c r="F158" t="s">
        <v>104</v>
      </c>
      <c r="H158" t="s">
        <v>5762</v>
      </c>
    </row>
    <row r="159" spans="1:8">
      <c r="A159" t="s">
        <v>3309</v>
      </c>
      <c r="B159" s="24">
        <v>46183</v>
      </c>
      <c r="C159" s="27" t="s">
        <v>5797</v>
      </c>
      <c r="D159" s="27" t="s">
        <v>3218</v>
      </c>
      <c r="E159" t="s">
        <v>574</v>
      </c>
      <c r="F159" t="s">
        <v>104</v>
      </c>
      <c r="H159" t="s">
        <v>5762</v>
      </c>
    </row>
    <row r="160" spans="1:8">
      <c r="A160" t="s">
        <v>3310</v>
      </c>
      <c r="B160" s="24">
        <v>46184</v>
      </c>
      <c r="C160" s="27" t="s">
        <v>5797</v>
      </c>
      <c r="D160" s="27" t="s">
        <v>3218</v>
      </c>
      <c r="E160" t="s">
        <v>575</v>
      </c>
      <c r="F160" t="s">
        <v>104</v>
      </c>
      <c r="H160" t="s">
        <v>5762</v>
      </c>
    </row>
    <row r="161" spans="1:8">
      <c r="A161" t="s">
        <v>3311</v>
      </c>
      <c r="B161" s="24">
        <v>46185</v>
      </c>
      <c r="C161" s="27" t="s">
        <v>5797</v>
      </c>
      <c r="D161" s="27" t="s">
        <v>3218</v>
      </c>
      <c r="E161" t="s">
        <v>576</v>
      </c>
      <c r="F161" t="s">
        <v>104</v>
      </c>
      <c r="H161" t="s">
        <v>5762</v>
      </c>
    </row>
    <row r="162" spans="1:8">
      <c r="A162" t="s">
        <v>3312</v>
      </c>
      <c r="B162" s="24">
        <v>46174</v>
      </c>
      <c r="C162" s="27" t="s">
        <v>5797</v>
      </c>
      <c r="D162" s="27" t="s">
        <v>3218</v>
      </c>
      <c r="E162" t="s">
        <v>577</v>
      </c>
      <c r="F162" t="s">
        <v>104</v>
      </c>
      <c r="H162" t="s">
        <v>5762</v>
      </c>
    </row>
    <row r="163" spans="1:8">
      <c r="A163" t="s">
        <v>3313</v>
      </c>
      <c r="B163" s="24">
        <v>46175</v>
      </c>
      <c r="C163" s="27" t="s">
        <v>5797</v>
      </c>
      <c r="D163" s="27" t="s">
        <v>3218</v>
      </c>
      <c r="E163" t="s">
        <v>578</v>
      </c>
      <c r="F163" t="s">
        <v>104</v>
      </c>
      <c r="H163" t="s">
        <v>5762</v>
      </c>
    </row>
    <row r="164" spans="1:8">
      <c r="A164" t="s">
        <v>3314</v>
      </c>
      <c r="B164" s="24">
        <v>46176</v>
      </c>
      <c r="C164" s="27" t="s">
        <v>5797</v>
      </c>
      <c r="D164" s="27" t="s">
        <v>3218</v>
      </c>
      <c r="E164" t="s">
        <v>579</v>
      </c>
      <c r="F164" t="s">
        <v>104</v>
      </c>
      <c r="H164" t="s">
        <v>5762</v>
      </c>
    </row>
    <row r="165" spans="1:8">
      <c r="A165" t="s">
        <v>3315</v>
      </c>
      <c r="B165" s="24">
        <v>46177</v>
      </c>
      <c r="C165" s="27" t="s">
        <v>5797</v>
      </c>
      <c r="D165" s="27" t="s">
        <v>3218</v>
      </c>
      <c r="E165" t="s">
        <v>580</v>
      </c>
      <c r="F165" t="s">
        <v>104</v>
      </c>
      <c r="H165" t="s">
        <v>5762</v>
      </c>
    </row>
    <row r="166" spans="1:8">
      <c r="A166" t="s">
        <v>3316</v>
      </c>
      <c r="B166" s="24">
        <v>46178</v>
      </c>
      <c r="C166" s="27" t="s">
        <v>5797</v>
      </c>
      <c r="D166" s="27" t="s">
        <v>3218</v>
      </c>
      <c r="E166" t="s">
        <v>581</v>
      </c>
      <c r="F166" t="s">
        <v>104</v>
      </c>
      <c r="H166" t="s">
        <v>5762</v>
      </c>
    </row>
    <row r="167" spans="1:8">
      <c r="A167" t="s">
        <v>3317</v>
      </c>
      <c r="B167" s="24">
        <v>46181</v>
      </c>
      <c r="C167" s="27" t="s">
        <v>5797</v>
      </c>
      <c r="D167" s="27" t="s">
        <v>3218</v>
      </c>
      <c r="E167" t="s">
        <v>582</v>
      </c>
      <c r="F167" t="s">
        <v>104</v>
      </c>
      <c r="H167" t="s">
        <v>5762</v>
      </c>
    </row>
    <row r="168" spans="1:8">
      <c r="A168" t="s">
        <v>3318</v>
      </c>
      <c r="B168" s="24">
        <v>46182</v>
      </c>
      <c r="C168" s="27" t="s">
        <v>5797</v>
      </c>
      <c r="D168" s="27" t="s">
        <v>3218</v>
      </c>
      <c r="E168" t="s">
        <v>583</v>
      </c>
      <c r="F168" t="s">
        <v>104</v>
      </c>
      <c r="H168" t="s">
        <v>5762</v>
      </c>
    </row>
    <row r="169" spans="1:8">
      <c r="A169" t="s">
        <v>3319</v>
      </c>
      <c r="B169" s="24">
        <v>46183</v>
      </c>
      <c r="C169" s="27" t="s">
        <v>5797</v>
      </c>
      <c r="D169" s="27" t="s">
        <v>3218</v>
      </c>
      <c r="E169" t="s">
        <v>584</v>
      </c>
      <c r="F169" t="s">
        <v>104</v>
      </c>
      <c r="H169" t="s">
        <v>5762</v>
      </c>
    </row>
    <row r="170" spans="1:8">
      <c r="A170" t="s">
        <v>3320</v>
      </c>
      <c r="B170" s="24">
        <v>46184</v>
      </c>
      <c r="C170" s="27" t="s">
        <v>5797</v>
      </c>
      <c r="D170" s="27" t="s">
        <v>3218</v>
      </c>
      <c r="E170" t="s">
        <v>585</v>
      </c>
      <c r="F170" t="s">
        <v>104</v>
      </c>
      <c r="H170" t="s">
        <v>5762</v>
      </c>
    </row>
    <row r="171" spans="1:8">
      <c r="A171" t="s">
        <v>3321</v>
      </c>
      <c r="B171" s="24">
        <v>46185</v>
      </c>
      <c r="C171" s="27" t="s">
        <v>5797</v>
      </c>
      <c r="D171" s="27" t="s">
        <v>3218</v>
      </c>
      <c r="E171" t="s">
        <v>586</v>
      </c>
      <c r="F171" t="s">
        <v>104</v>
      </c>
      <c r="H171" t="s">
        <v>5762</v>
      </c>
    </row>
    <row r="172" spans="1:8">
      <c r="A172" t="s">
        <v>3322</v>
      </c>
      <c r="B172" s="24">
        <v>46174</v>
      </c>
      <c r="C172" s="27" t="s">
        <v>5797</v>
      </c>
      <c r="D172" s="27" t="s">
        <v>3218</v>
      </c>
      <c r="E172" t="s">
        <v>587</v>
      </c>
      <c r="F172" t="s">
        <v>104</v>
      </c>
      <c r="H172" t="s">
        <v>5762</v>
      </c>
    </row>
    <row r="173" spans="1:8">
      <c r="A173" t="s">
        <v>3323</v>
      </c>
      <c r="B173" s="24">
        <v>46175</v>
      </c>
      <c r="C173" s="27" t="s">
        <v>5797</v>
      </c>
      <c r="D173" s="27" t="s">
        <v>3218</v>
      </c>
      <c r="E173" t="s">
        <v>588</v>
      </c>
      <c r="F173" t="s">
        <v>104</v>
      </c>
      <c r="H173" t="s">
        <v>5762</v>
      </c>
    </row>
    <row r="174" spans="1:8">
      <c r="A174" t="s">
        <v>3324</v>
      </c>
      <c r="B174" s="24">
        <v>46176</v>
      </c>
      <c r="C174" s="27" t="s">
        <v>5797</v>
      </c>
      <c r="D174" s="27" t="s">
        <v>3218</v>
      </c>
      <c r="E174" t="s">
        <v>589</v>
      </c>
      <c r="F174" t="s">
        <v>104</v>
      </c>
      <c r="H174" t="s">
        <v>5762</v>
      </c>
    </row>
    <row r="175" spans="1:8">
      <c r="A175" t="s">
        <v>3325</v>
      </c>
      <c r="B175" s="24">
        <v>46177</v>
      </c>
      <c r="C175" s="27" t="s">
        <v>5797</v>
      </c>
      <c r="D175" s="27" t="s">
        <v>3218</v>
      </c>
      <c r="E175" t="s">
        <v>590</v>
      </c>
      <c r="F175" t="s">
        <v>104</v>
      </c>
      <c r="H175" t="s">
        <v>5762</v>
      </c>
    </row>
    <row r="176" spans="1:8">
      <c r="A176" t="s">
        <v>3326</v>
      </c>
      <c r="B176" s="24">
        <v>46178</v>
      </c>
      <c r="C176" s="27" t="s">
        <v>5797</v>
      </c>
      <c r="D176" s="27" t="s">
        <v>3218</v>
      </c>
      <c r="E176" t="s">
        <v>591</v>
      </c>
      <c r="F176" t="s">
        <v>104</v>
      </c>
      <c r="H176" t="s">
        <v>5762</v>
      </c>
    </row>
    <row r="177" spans="1:12">
      <c r="A177" t="s">
        <v>3327</v>
      </c>
      <c r="B177" s="24">
        <v>46181</v>
      </c>
      <c r="C177" s="27" t="s">
        <v>5797</v>
      </c>
      <c r="D177" s="27" t="s">
        <v>3218</v>
      </c>
      <c r="E177" t="s">
        <v>592</v>
      </c>
      <c r="F177" t="s">
        <v>104</v>
      </c>
      <c r="H177" t="s">
        <v>5762</v>
      </c>
    </row>
    <row r="178" spans="1:12">
      <c r="A178" t="s">
        <v>3328</v>
      </c>
      <c r="B178" s="24">
        <v>46182</v>
      </c>
      <c r="C178" s="27" t="s">
        <v>5797</v>
      </c>
      <c r="D178" s="27" t="s">
        <v>3218</v>
      </c>
      <c r="E178" t="s">
        <v>593</v>
      </c>
      <c r="F178" t="s">
        <v>104</v>
      </c>
      <c r="H178" t="s">
        <v>5762</v>
      </c>
    </row>
    <row r="179" spans="1:12">
      <c r="A179" t="s">
        <v>3329</v>
      </c>
      <c r="B179" s="24">
        <v>46183</v>
      </c>
      <c r="C179" s="27" t="s">
        <v>5797</v>
      </c>
      <c r="D179" s="27" t="s">
        <v>3218</v>
      </c>
      <c r="E179" t="s">
        <v>594</v>
      </c>
      <c r="F179" t="s">
        <v>104</v>
      </c>
      <c r="H179" t="s">
        <v>5762</v>
      </c>
    </row>
    <row r="180" spans="1:12">
      <c r="A180" t="s">
        <v>3330</v>
      </c>
      <c r="B180" s="24">
        <v>46184</v>
      </c>
      <c r="C180" s="27" t="s">
        <v>5797</v>
      </c>
      <c r="D180" s="27" t="s">
        <v>3218</v>
      </c>
      <c r="E180" t="s">
        <v>595</v>
      </c>
      <c r="F180" t="s">
        <v>104</v>
      </c>
      <c r="H180" t="s">
        <v>5762</v>
      </c>
    </row>
    <row r="181" spans="1:12">
      <c r="A181" t="s">
        <v>3331</v>
      </c>
      <c r="B181" s="24">
        <v>46185</v>
      </c>
      <c r="C181" s="27" t="s">
        <v>5797</v>
      </c>
      <c r="D181" s="27" t="s">
        <v>3218</v>
      </c>
      <c r="E181" t="s">
        <v>596</v>
      </c>
      <c r="F181" t="s">
        <v>104</v>
      </c>
      <c r="H181" t="s">
        <v>5762</v>
      </c>
    </row>
    <row r="182" spans="1:12">
      <c r="A182" t="s">
        <v>3332</v>
      </c>
      <c r="B182" s="24">
        <v>46174</v>
      </c>
      <c r="C182" s="27" t="s">
        <v>5797</v>
      </c>
      <c r="D182" s="27" t="s">
        <v>3218</v>
      </c>
      <c r="E182" t="s">
        <v>597</v>
      </c>
      <c r="F182" t="s">
        <v>104</v>
      </c>
      <c r="H182" t="s">
        <v>5762</v>
      </c>
    </row>
    <row r="183" spans="1:12">
      <c r="A183" t="s">
        <v>3333</v>
      </c>
      <c r="B183" s="24">
        <v>46175</v>
      </c>
      <c r="C183" s="27" t="s">
        <v>5797</v>
      </c>
      <c r="D183" s="27" t="s">
        <v>3218</v>
      </c>
      <c r="E183" t="s">
        <v>598</v>
      </c>
      <c r="F183" t="s">
        <v>104</v>
      </c>
      <c r="H183" t="s">
        <v>5762</v>
      </c>
    </row>
    <row r="184" spans="1:12">
      <c r="A184" t="s">
        <v>3334</v>
      </c>
      <c r="B184" s="24">
        <v>46176</v>
      </c>
      <c r="C184" s="27" t="s">
        <v>5797</v>
      </c>
      <c r="D184" s="27" t="s">
        <v>3218</v>
      </c>
      <c r="E184" t="s">
        <v>599</v>
      </c>
      <c r="F184" t="s">
        <v>104</v>
      </c>
      <c r="H184" t="s">
        <v>5762</v>
      </c>
    </row>
    <row r="185" spans="1:12">
      <c r="A185" t="s">
        <v>3335</v>
      </c>
      <c r="B185" s="24">
        <v>46177</v>
      </c>
      <c r="C185" s="27" t="s">
        <v>5797</v>
      </c>
      <c r="D185" s="27" t="s">
        <v>3218</v>
      </c>
      <c r="E185" t="s">
        <v>600</v>
      </c>
      <c r="F185" t="s">
        <v>104</v>
      </c>
      <c r="H185" t="s">
        <v>5762</v>
      </c>
    </row>
    <row r="186" spans="1:12">
      <c r="A186" t="s">
        <v>3336</v>
      </c>
      <c r="B186" s="24">
        <v>46178</v>
      </c>
      <c r="C186" s="27" t="s">
        <v>5797</v>
      </c>
      <c r="D186" s="27" t="s">
        <v>3218</v>
      </c>
      <c r="E186" t="s">
        <v>601</v>
      </c>
      <c r="F186" t="s">
        <v>104</v>
      </c>
      <c r="H186" t="s">
        <v>5762</v>
      </c>
    </row>
    <row r="187" spans="1:12">
      <c r="A187" t="s">
        <v>3337</v>
      </c>
      <c r="B187" s="24">
        <v>46181</v>
      </c>
      <c r="C187" s="27" t="s">
        <v>5797</v>
      </c>
      <c r="D187" s="27" t="s">
        <v>3218</v>
      </c>
      <c r="E187" t="s">
        <v>602</v>
      </c>
      <c r="F187" t="s">
        <v>104</v>
      </c>
      <c r="H187" t="s">
        <v>5762</v>
      </c>
    </row>
    <row r="188" spans="1:12">
      <c r="A188" t="s">
        <v>3338</v>
      </c>
      <c r="B188" s="24">
        <v>46182</v>
      </c>
      <c r="C188" s="27" t="s">
        <v>5797</v>
      </c>
      <c r="D188" s="27" t="s">
        <v>3218</v>
      </c>
      <c r="E188" t="s">
        <v>603</v>
      </c>
      <c r="F188" t="s">
        <v>104</v>
      </c>
      <c r="H188" t="s">
        <v>5762</v>
      </c>
      <c r="L188">
        <f>198/2</f>
        <v>99</v>
      </c>
    </row>
    <row r="189" spans="1:12">
      <c r="A189" t="s">
        <v>3339</v>
      </c>
      <c r="B189" s="24">
        <v>46183</v>
      </c>
      <c r="C189" s="27" t="s">
        <v>5797</v>
      </c>
      <c r="D189" s="27" t="s">
        <v>3218</v>
      </c>
      <c r="E189" t="s">
        <v>604</v>
      </c>
      <c r="F189" t="s">
        <v>104</v>
      </c>
      <c r="H189" t="s">
        <v>5762</v>
      </c>
    </row>
    <row r="190" spans="1:12">
      <c r="A190" t="s">
        <v>3340</v>
      </c>
      <c r="B190" s="24">
        <v>46184</v>
      </c>
      <c r="C190" s="27" t="s">
        <v>5797</v>
      </c>
      <c r="D190" s="27" t="s">
        <v>3218</v>
      </c>
      <c r="E190" t="s">
        <v>605</v>
      </c>
      <c r="F190" t="s">
        <v>104</v>
      </c>
      <c r="H190" t="s">
        <v>5762</v>
      </c>
    </row>
    <row r="191" spans="1:12">
      <c r="A191" t="s">
        <v>3341</v>
      </c>
      <c r="B191" s="24">
        <v>46185</v>
      </c>
      <c r="C191" s="27" t="s">
        <v>5797</v>
      </c>
      <c r="D191" s="27" t="s">
        <v>3218</v>
      </c>
      <c r="E191" t="s">
        <v>606</v>
      </c>
      <c r="F191" t="s">
        <v>104</v>
      </c>
      <c r="H191" t="s">
        <v>5762</v>
      </c>
    </row>
    <row r="192" spans="1:12">
      <c r="A192" t="s">
        <v>3342</v>
      </c>
      <c r="B192" s="24">
        <v>46174</v>
      </c>
      <c r="C192" s="27" t="s">
        <v>5797</v>
      </c>
      <c r="D192" s="27" t="s">
        <v>3218</v>
      </c>
      <c r="E192" t="s">
        <v>607</v>
      </c>
      <c r="F192" t="s">
        <v>104</v>
      </c>
      <c r="H192" t="s">
        <v>5762</v>
      </c>
    </row>
    <row r="193" spans="1:8">
      <c r="A193" t="s">
        <v>3343</v>
      </c>
      <c r="B193" s="24">
        <v>46175</v>
      </c>
      <c r="C193" s="27" t="s">
        <v>5797</v>
      </c>
      <c r="D193" s="27" t="s">
        <v>3218</v>
      </c>
      <c r="E193" t="s">
        <v>608</v>
      </c>
      <c r="F193" t="s">
        <v>104</v>
      </c>
      <c r="H193" t="s">
        <v>5762</v>
      </c>
    </row>
    <row r="194" spans="1:8">
      <c r="A194" t="s">
        <v>3344</v>
      </c>
      <c r="B194" s="24">
        <v>46176</v>
      </c>
      <c r="C194" s="27" t="s">
        <v>5797</v>
      </c>
      <c r="D194" s="27" t="s">
        <v>3218</v>
      </c>
      <c r="E194" t="s">
        <v>609</v>
      </c>
      <c r="F194" t="s">
        <v>104</v>
      </c>
      <c r="H194" t="s">
        <v>5762</v>
      </c>
    </row>
    <row r="195" spans="1:8">
      <c r="A195" t="s">
        <v>3345</v>
      </c>
      <c r="B195" s="24">
        <v>46177</v>
      </c>
      <c r="C195" s="27" t="s">
        <v>5797</v>
      </c>
      <c r="D195" s="27" t="s">
        <v>3218</v>
      </c>
      <c r="E195" t="s">
        <v>610</v>
      </c>
      <c r="F195" t="s">
        <v>104</v>
      </c>
      <c r="H195" t="s">
        <v>5762</v>
      </c>
    </row>
    <row r="196" spans="1:8">
      <c r="A196" t="s">
        <v>3346</v>
      </c>
      <c r="B196" s="24">
        <v>46178</v>
      </c>
      <c r="C196" s="27" t="s">
        <v>5797</v>
      </c>
      <c r="D196" s="27" t="s">
        <v>3218</v>
      </c>
      <c r="E196" t="s">
        <v>611</v>
      </c>
      <c r="F196" t="s">
        <v>104</v>
      </c>
      <c r="H196" t="s">
        <v>5762</v>
      </c>
    </row>
    <row r="197" spans="1:8">
      <c r="A197" t="s">
        <v>3347</v>
      </c>
      <c r="B197" s="24">
        <v>46181</v>
      </c>
      <c r="C197" s="27" t="s">
        <v>5797</v>
      </c>
      <c r="D197" s="27" t="s">
        <v>3218</v>
      </c>
      <c r="E197" t="s">
        <v>612</v>
      </c>
      <c r="F197" t="s">
        <v>104</v>
      </c>
      <c r="H197" t="s">
        <v>5762</v>
      </c>
    </row>
    <row r="198" spans="1:8">
      <c r="A198" t="s">
        <v>3348</v>
      </c>
      <c r="B198" s="24">
        <v>46182</v>
      </c>
      <c r="C198" s="27" t="s">
        <v>5797</v>
      </c>
      <c r="D198" s="27" t="s">
        <v>3218</v>
      </c>
      <c r="E198" t="s">
        <v>613</v>
      </c>
      <c r="F198" t="s">
        <v>104</v>
      </c>
      <c r="H198" t="s">
        <v>5762</v>
      </c>
    </row>
    <row r="199" spans="1:8">
      <c r="A199" t="s">
        <v>3349</v>
      </c>
      <c r="B199" s="24">
        <v>46183</v>
      </c>
      <c r="C199" s="27" t="s">
        <v>5797</v>
      </c>
      <c r="D199" s="27" t="s">
        <v>3219</v>
      </c>
      <c r="E199" t="s">
        <v>614</v>
      </c>
      <c r="F199" t="s">
        <v>104</v>
      </c>
      <c r="G199" t="s">
        <v>105</v>
      </c>
      <c r="H199" t="s">
        <v>106</v>
      </c>
    </row>
    <row r="200" spans="1:8">
      <c r="A200" t="s">
        <v>3350</v>
      </c>
      <c r="B200" s="24">
        <v>46184</v>
      </c>
      <c r="C200" s="27" t="s">
        <v>5797</v>
      </c>
      <c r="D200" s="27" t="s">
        <v>3219</v>
      </c>
      <c r="E200" t="s">
        <v>615</v>
      </c>
      <c r="F200" t="s">
        <v>104</v>
      </c>
      <c r="G200" t="s">
        <v>105</v>
      </c>
      <c r="H200" t="s">
        <v>106</v>
      </c>
    </row>
    <row r="201" spans="1:8">
      <c r="A201" t="s">
        <v>3351</v>
      </c>
      <c r="B201" s="24">
        <v>46185</v>
      </c>
      <c r="C201" s="27" t="s">
        <v>5797</v>
      </c>
      <c r="D201" s="27" t="s">
        <v>3219</v>
      </c>
      <c r="E201" t="s">
        <v>616</v>
      </c>
      <c r="F201" t="s">
        <v>104</v>
      </c>
      <c r="G201" t="s">
        <v>105</v>
      </c>
      <c r="H201" t="s">
        <v>106</v>
      </c>
    </row>
    <row r="202" spans="1:8">
      <c r="A202" t="s">
        <v>3352</v>
      </c>
      <c r="B202" s="24">
        <v>46174</v>
      </c>
      <c r="C202" s="27" t="s">
        <v>5797</v>
      </c>
      <c r="D202" s="27" t="s">
        <v>3219</v>
      </c>
      <c r="E202" t="s">
        <v>617</v>
      </c>
      <c r="F202" t="s">
        <v>104</v>
      </c>
      <c r="G202" t="s">
        <v>105</v>
      </c>
      <c r="H202" t="s">
        <v>106</v>
      </c>
    </row>
    <row r="203" spans="1:8">
      <c r="A203" t="s">
        <v>3353</v>
      </c>
      <c r="B203" s="24">
        <v>46175</v>
      </c>
      <c r="C203" s="27" t="s">
        <v>5797</v>
      </c>
      <c r="D203" s="27" t="s">
        <v>3219</v>
      </c>
      <c r="E203" t="s">
        <v>618</v>
      </c>
      <c r="F203" t="s">
        <v>104</v>
      </c>
      <c r="G203" t="s">
        <v>105</v>
      </c>
      <c r="H203" t="s">
        <v>106</v>
      </c>
    </row>
    <row r="204" spans="1:8">
      <c r="A204" t="s">
        <v>3354</v>
      </c>
      <c r="B204" s="24">
        <v>46176</v>
      </c>
      <c r="C204" s="27" t="s">
        <v>5797</v>
      </c>
      <c r="D204" s="27" t="s">
        <v>3219</v>
      </c>
      <c r="E204" t="s">
        <v>619</v>
      </c>
      <c r="F204" t="s">
        <v>104</v>
      </c>
      <c r="G204" t="s">
        <v>105</v>
      </c>
      <c r="H204" t="s">
        <v>106</v>
      </c>
    </row>
    <row r="205" spans="1:8">
      <c r="A205" t="s">
        <v>3355</v>
      </c>
      <c r="B205" s="24">
        <v>46177</v>
      </c>
      <c r="C205" s="27" t="s">
        <v>5797</v>
      </c>
      <c r="D205" s="27" t="s">
        <v>3219</v>
      </c>
      <c r="E205" t="s">
        <v>620</v>
      </c>
      <c r="F205" t="s">
        <v>104</v>
      </c>
      <c r="G205" t="s">
        <v>105</v>
      </c>
      <c r="H205" t="s">
        <v>106</v>
      </c>
    </row>
    <row r="206" spans="1:8">
      <c r="A206" t="s">
        <v>3356</v>
      </c>
      <c r="B206" s="24">
        <v>46178</v>
      </c>
      <c r="C206" s="27" t="s">
        <v>5797</v>
      </c>
      <c r="D206" s="27" t="s">
        <v>3219</v>
      </c>
      <c r="E206" t="s">
        <v>621</v>
      </c>
      <c r="F206" t="s">
        <v>104</v>
      </c>
      <c r="G206" t="s">
        <v>105</v>
      </c>
      <c r="H206" t="s">
        <v>106</v>
      </c>
    </row>
    <row r="207" spans="1:8">
      <c r="A207" t="s">
        <v>3357</v>
      </c>
      <c r="B207" s="24">
        <v>46181</v>
      </c>
      <c r="C207" s="27" t="s">
        <v>5797</v>
      </c>
      <c r="D207" s="27" t="s">
        <v>3219</v>
      </c>
      <c r="E207" t="s">
        <v>622</v>
      </c>
      <c r="F207" t="s">
        <v>104</v>
      </c>
      <c r="G207" t="s">
        <v>105</v>
      </c>
      <c r="H207" t="s">
        <v>106</v>
      </c>
    </row>
    <row r="208" spans="1:8">
      <c r="A208" t="s">
        <v>3358</v>
      </c>
      <c r="B208" s="24">
        <v>46182</v>
      </c>
      <c r="C208" s="27" t="s">
        <v>5797</v>
      </c>
      <c r="D208" s="27" t="s">
        <v>3219</v>
      </c>
      <c r="E208" t="s">
        <v>623</v>
      </c>
      <c r="F208" t="s">
        <v>104</v>
      </c>
      <c r="G208" t="s">
        <v>105</v>
      </c>
      <c r="H208" t="s">
        <v>106</v>
      </c>
    </row>
    <row r="209" spans="1:8">
      <c r="A209" t="s">
        <v>3359</v>
      </c>
      <c r="B209" s="24">
        <v>46183</v>
      </c>
      <c r="C209" s="27" t="s">
        <v>5797</v>
      </c>
      <c r="D209" s="27" t="s">
        <v>3219</v>
      </c>
      <c r="E209" t="s">
        <v>624</v>
      </c>
      <c r="F209" t="s">
        <v>104</v>
      </c>
      <c r="G209" t="s">
        <v>105</v>
      </c>
      <c r="H209" t="s">
        <v>106</v>
      </c>
    </row>
    <row r="210" spans="1:8">
      <c r="A210" t="s">
        <v>3360</v>
      </c>
      <c r="B210" s="24">
        <v>46184</v>
      </c>
      <c r="C210" s="27" t="s">
        <v>5797</v>
      </c>
      <c r="D210" s="27" t="s">
        <v>3219</v>
      </c>
      <c r="E210" t="s">
        <v>625</v>
      </c>
      <c r="F210" t="s">
        <v>104</v>
      </c>
      <c r="G210" t="s">
        <v>105</v>
      </c>
      <c r="H210" t="s">
        <v>106</v>
      </c>
    </row>
    <row r="211" spans="1:8">
      <c r="A211" t="s">
        <v>3361</v>
      </c>
      <c r="B211" s="24">
        <v>46185</v>
      </c>
      <c r="C211" s="27" t="s">
        <v>5797</v>
      </c>
      <c r="D211" s="27" t="s">
        <v>3219</v>
      </c>
      <c r="E211" t="s">
        <v>626</v>
      </c>
      <c r="F211" t="s">
        <v>104</v>
      </c>
      <c r="G211" t="s">
        <v>105</v>
      </c>
      <c r="H211" t="s">
        <v>106</v>
      </c>
    </row>
    <row r="212" spans="1:8">
      <c r="A212" t="s">
        <v>3362</v>
      </c>
      <c r="B212" s="24">
        <v>46174</v>
      </c>
      <c r="C212" s="27" t="s">
        <v>5797</v>
      </c>
      <c r="D212" s="27" t="s">
        <v>3219</v>
      </c>
      <c r="E212" t="s">
        <v>627</v>
      </c>
      <c r="F212" t="s">
        <v>104</v>
      </c>
      <c r="G212" t="s">
        <v>105</v>
      </c>
      <c r="H212" t="s">
        <v>106</v>
      </c>
    </row>
    <row r="213" spans="1:8">
      <c r="A213" t="s">
        <v>3363</v>
      </c>
      <c r="B213" s="24">
        <v>46175</v>
      </c>
      <c r="C213" s="27" t="s">
        <v>5797</v>
      </c>
      <c r="D213" s="27" t="s">
        <v>3219</v>
      </c>
      <c r="E213" t="s">
        <v>628</v>
      </c>
      <c r="F213" t="s">
        <v>104</v>
      </c>
      <c r="G213" t="s">
        <v>105</v>
      </c>
      <c r="H213" t="s">
        <v>106</v>
      </c>
    </row>
    <row r="214" spans="1:8">
      <c r="A214" t="s">
        <v>3364</v>
      </c>
      <c r="B214" s="24">
        <v>46176</v>
      </c>
      <c r="C214" s="27" t="s">
        <v>5797</v>
      </c>
      <c r="D214" s="27" t="s">
        <v>3219</v>
      </c>
      <c r="E214" t="s">
        <v>629</v>
      </c>
      <c r="F214" t="s">
        <v>104</v>
      </c>
      <c r="G214" t="s">
        <v>105</v>
      </c>
      <c r="H214" t="s">
        <v>106</v>
      </c>
    </row>
    <row r="215" spans="1:8">
      <c r="A215" t="s">
        <v>3365</v>
      </c>
      <c r="B215" s="24">
        <v>46177</v>
      </c>
      <c r="C215" s="27" t="s">
        <v>5797</v>
      </c>
      <c r="D215" s="27" t="s">
        <v>3219</v>
      </c>
      <c r="E215" t="s">
        <v>630</v>
      </c>
      <c r="F215" t="s">
        <v>104</v>
      </c>
      <c r="G215" t="s">
        <v>105</v>
      </c>
      <c r="H215" t="s">
        <v>106</v>
      </c>
    </row>
    <row r="216" spans="1:8">
      <c r="A216" t="s">
        <v>3366</v>
      </c>
      <c r="B216" s="24">
        <v>46178</v>
      </c>
      <c r="C216" s="27" t="s">
        <v>5797</v>
      </c>
      <c r="D216" s="27" t="s">
        <v>3219</v>
      </c>
      <c r="E216" t="s">
        <v>631</v>
      </c>
      <c r="F216" t="s">
        <v>104</v>
      </c>
      <c r="G216" t="s">
        <v>105</v>
      </c>
      <c r="H216" t="s">
        <v>106</v>
      </c>
    </row>
    <row r="217" spans="1:8">
      <c r="A217" t="s">
        <v>3367</v>
      </c>
      <c r="B217" s="24">
        <v>46181</v>
      </c>
      <c r="C217" s="27" t="s">
        <v>5797</v>
      </c>
      <c r="D217" s="27" t="s">
        <v>3219</v>
      </c>
      <c r="E217" t="s">
        <v>632</v>
      </c>
      <c r="F217" t="s">
        <v>104</v>
      </c>
      <c r="G217" t="s">
        <v>105</v>
      </c>
      <c r="H217" t="s">
        <v>106</v>
      </c>
    </row>
    <row r="218" spans="1:8">
      <c r="A218" t="s">
        <v>3368</v>
      </c>
      <c r="B218" s="24">
        <v>46182</v>
      </c>
      <c r="C218" s="27" t="s">
        <v>5797</v>
      </c>
      <c r="D218" s="27" t="s">
        <v>3219</v>
      </c>
      <c r="E218" t="s">
        <v>633</v>
      </c>
      <c r="F218" t="s">
        <v>104</v>
      </c>
      <c r="G218" t="s">
        <v>105</v>
      </c>
      <c r="H218" t="s">
        <v>106</v>
      </c>
    </row>
    <row r="219" spans="1:8">
      <c r="A219" t="s">
        <v>3369</v>
      </c>
      <c r="B219" s="24">
        <v>46183</v>
      </c>
      <c r="C219" s="27" t="s">
        <v>5797</v>
      </c>
      <c r="D219" s="27" t="s">
        <v>3219</v>
      </c>
      <c r="E219" t="s">
        <v>634</v>
      </c>
      <c r="F219" t="s">
        <v>104</v>
      </c>
      <c r="G219" t="s">
        <v>105</v>
      </c>
      <c r="H219" t="s">
        <v>106</v>
      </c>
    </row>
    <row r="220" spans="1:8">
      <c r="A220" t="s">
        <v>3370</v>
      </c>
      <c r="B220" s="24">
        <v>46184</v>
      </c>
      <c r="C220" s="27" t="s">
        <v>5797</v>
      </c>
      <c r="D220" s="27" t="s">
        <v>3219</v>
      </c>
      <c r="E220" t="s">
        <v>635</v>
      </c>
      <c r="F220" t="s">
        <v>104</v>
      </c>
      <c r="G220" t="s">
        <v>105</v>
      </c>
      <c r="H220" t="s">
        <v>106</v>
      </c>
    </row>
    <row r="221" spans="1:8">
      <c r="A221" t="s">
        <v>3371</v>
      </c>
      <c r="B221" s="24">
        <v>46185</v>
      </c>
      <c r="C221" s="27" t="s">
        <v>5797</v>
      </c>
      <c r="D221" s="27" t="s">
        <v>3219</v>
      </c>
      <c r="E221" t="s">
        <v>636</v>
      </c>
      <c r="F221" t="s">
        <v>104</v>
      </c>
      <c r="G221" t="s">
        <v>105</v>
      </c>
      <c r="H221" t="s">
        <v>106</v>
      </c>
    </row>
    <row r="222" spans="1:8">
      <c r="A222" t="s">
        <v>3372</v>
      </c>
      <c r="B222" s="24">
        <v>46174</v>
      </c>
      <c r="C222" s="27" t="s">
        <v>5797</v>
      </c>
      <c r="D222" s="27" t="s">
        <v>3219</v>
      </c>
      <c r="E222" t="s">
        <v>637</v>
      </c>
      <c r="F222" t="s">
        <v>104</v>
      </c>
      <c r="G222" t="s">
        <v>105</v>
      </c>
      <c r="H222" t="s">
        <v>106</v>
      </c>
    </row>
    <row r="223" spans="1:8">
      <c r="A223" t="s">
        <v>3373</v>
      </c>
      <c r="B223" s="24">
        <v>46175</v>
      </c>
      <c r="C223" s="27" t="s">
        <v>5797</v>
      </c>
      <c r="D223" s="27" t="s">
        <v>3219</v>
      </c>
      <c r="E223" t="s">
        <v>638</v>
      </c>
      <c r="F223" t="s">
        <v>104</v>
      </c>
      <c r="G223" t="s">
        <v>105</v>
      </c>
      <c r="H223" t="s">
        <v>106</v>
      </c>
    </row>
    <row r="224" spans="1:8">
      <c r="A224" t="s">
        <v>3374</v>
      </c>
      <c r="B224" s="24">
        <v>46176</v>
      </c>
      <c r="C224" s="27" t="s">
        <v>5797</v>
      </c>
      <c r="D224" s="27" t="s">
        <v>3219</v>
      </c>
      <c r="E224" t="s">
        <v>639</v>
      </c>
      <c r="F224" t="s">
        <v>104</v>
      </c>
      <c r="G224" t="s">
        <v>105</v>
      </c>
      <c r="H224" t="s">
        <v>106</v>
      </c>
    </row>
    <row r="225" spans="1:8">
      <c r="A225" t="s">
        <v>3375</v>
      </c>
      <c r="B225" s="24">
        <v>46177</v>
      </c>
      <c r="C225" s="27" t="s">
        <v>5797</v>
      </c>
      <c r="D225" s="27" t="s">
        <v>3219</v>
      </c>
      <c r="E225" t="s">
        <v>640</v>
      </c>
      <c r="F225" t="s">
        <v>104</v>
      </c>
      <c r="G225" t="s">
        <v>105</v>
      </c>
      <c r="H225" t="s">
        <v>106</v>
      </c>
    </row>
    <row r="226" spans="1:8">
      <c r="A226" t="s">
        <v>3376</v>
      </c>
      <c r="B226" s="24">
        <v>46178</v>
      </c>
      <c r="C226" s="27" t="s">
        <v>5797</v>
      </c>
      <c r="D226" s="27" t="s">
        <v>3219</v>
      </c>
      <c r="E226" t="s">
        <v>641</v>
      </c>
      <c r="F226" t="s">
        <v>104</v>
      </c>
      <c r="G226" t="s">
        <v>105</v>
      </c>
      <c r="H226" t="s">
        <v>106</v>
      </c>
    </row>
    <row r="227" spans="1:8">
      <c r="A227" t="s">
        <v>3377</v>
      </c>
      <c r="B227" s="24">
        <v>46181</v>
      </c>
      <c r="C227" s="27" t="s">
        <v>5797</v>
      </c>
      <c r="D227" s="27" t="s">
        <v>3219</v>
      </c>
      <c r="E227" t="s">
        <v>642</v>
      </c>
      <c r="F227" t="s">
        <v>104</v>
      </c>
      <c r="G227" t="s">
        <v>105</v>
      </c>
      <c r="H227" t="s">
        <v>106</v>
      </c>
    </row>
    <row r="228" spans="1:8">
      <c r="A228" t="s">
        <v>3378</v>
      </c>
      <c r="B228" s="24">
        <v>46182</v>
      </c>
      <c r="C228" s="27" t="s">
        <v>5797</v>
      </c>
      <c r="D228" s="27" t="s">
        <v>3219</v>
      </c>
      <c r="E228" t="s">
        <v>643</v>
      </c>
      <c r="F228" t="s">
        <v>104</v>
      </c>
      <c r="G228" t="s">
        <v>105</v>
      </c>
      <c r="H228" t="s">
        <v>106</v>
      </c>
    </row>
    <row r="229" spans="1:8">
      <c r="A229" t="s">
        <v>3379</v>
      </c>
      <c r="B229" s="24">
        <v>46183</v>
      </c>
      <c r="C229" s="27" t="s">
        <v>5797</v>
      </c>
      <c r="D229" s="27" t="s">
        <v>3219</v>
      </c>
      <c r="E229" t="s">
        <v>644</v>
      </c>
      <c r="F229" t="s">
        <v>104</v>
      </c>
      <c r="G229" t="s">
        <v>105</v>
      </c>
      <c r="H229" t="s">
        <v>106</v>
      </c>
    </row>
    <row r="230" spans="1:8">
      <c r="A230" t="s">
        <v>3380</v>
      </c>
      <c r="B230" s="24">
        <v>46184</v>
      </c>
      <c r="C230" s="27" t="s">
        <v>5797</v>
      </c>
      <c r="D230" s="27" t="s">
        <v>3219</v>
      </c>
      <c r="E230" t="s">
        <v>645</v>
      </c>
      <c r="F230" t="s">
        <v>104</v>
      </c>
      <c r="G230" t="s">
        <v>105</v>
      </c>
      <c r="H230" t="s">
        <v>106</v>
      </c>
    </row>
    <row r="231" spans="1:8">
      <c r="A231" t="s">
        <v>3381</v>
      </c>
      <c r="B231" s="24">
        <v>46185</v>
      </c>
      <c r="C231" s="27" t="s">
        <v>5797</v>
      </c>
      <c r="D231" s="27" t="s">
        <v>3219</v>
      </c>
      <c r="E231" t="s">
        <v>646</v>
      </c>
      <c r="F231" t="s">
        <v>104</v>
      </c>
      <c r="G231" t="s">
        <v>105</v>
      </c>
      <c r="H231" t="s">
        <v>106</v>
      </c>
    </row>
    <row r="232" spans="1:8">
      <c r="A232" t="s">
        <v>3382</v>
      </c>
      <c r="B232" s="24">
        <v>46174</v>
      </c>
      <c r="C232" s="27" t="s">
        <v>5797</v>
      </c>
      <c r="D232" s="27" t="s">
        <v>3219</v>
      </c>
      <c r="E232" t="s">
        <v>647</v>
      </c>
      <c r="F232" t="s">
        <v>104</v>
      </c>
      <c r="G232" t="s">
        <v>105</v>
      </c>
      <c r="H232" t="s">
        <v>106</v>
      </c>
    </row>
    <row r="233" spans="1:8">
      <c r="A233" t="s">
        <v>3383</v>
      </c>
      <c r="B233" s="24">
        <v>46175</v>
      </c>
      <c r="C233" s="27" t="s">
        <v>5797</v>
      </c>
      <c r="D233" s="27" t="s">
        <v>3219</v>
      </c>
      <c r="E233" t="s">
        <v>648</v>
      </c>
      <c r="F233" t="s">
        <v>104</v>
      </c>
      <c r="G233" t="s">
        <v>105</v>
      </c>
      <c r="H233" t="s">
        <v>106</v>
      </c>
    </row>
    <row r="234" spans="1:8">
      <c r="A234" t="s">
        <v>3384</v>
      </c>
      <c r="B234" s="24">
        <v>46176</v>
      </c>
      <c r="C234" s="27" t="s">
        <v>5797</v>
      </c>
      <c r="D234" s="27" t="s">
        <v>3219</v>
      </c>
      <c r="E234" t="s">
        <v>649</v>
      </c>
      <c r="F234" t="s">
        <v>104</v>
      </c>
      <c r="G234" t="s">
        <v>105</v>
      </c>
      <c r="H234" t="s">
        <v>106</v>
      </c>
    </row>
    <row r="235" spans="1:8">
      <c r="A235" t="s">
        <v>3385</v>
      </c>
      <c r="B235" s="24">
        <v>46177</v>
      </c>
      <c r="C235" s="27" t="s">
        <v>5797</v>
      </c>
      <c r="D235" s="27" t="s">
        <v>3219</v>
      </c>
      <c r="E235" t="s">
        <v>650</v>
      </c>
      <c r="F235" t="s">
        <v>104</v>
      </c>
      <c r="G235" t="s">
        <v>105</v>
      </c>
      <c r="H235" t="s">
        <v>106</v>
      </c>
    </row>
    <row r="236" spans="1:8">
      <c r="A236" t="s">
        <v>3386</v>
      </c>
      <c r="B236" s="24">
        <v>46178</v>
      </c>
      <c r="C236" s="27" t="s">
        <v>5797</v>
      </c>
      <c r="D236" s="27" t="s">
        <v>3219</v>
      </c>
      <c r="E236" t="s">
        <v>651</v>
      </c>
      <c r="F236" t="s">
        <v>104</v>
      </c>
      <c r="G236" t="s">
        <v>105</v>
      </c>
      <c r="H236" t="s">
        <v>106</v>
      </c>
    </row>
    <row r="237" spans="1:8">
      <c r="A237" t="s">
        <v>3387</v>
      </c>
      <c r="B237" s="24">
        <v>46181</v>
      </c>
      <c r="C237" s="27" t="s">
        <v>5797</v>
      </c>
      <c r="D237" s="27" t="s">
        <v>3219</v>
      </c>
      <c r="E237" t="s">
        <v>652</v>
      </c>
      <c r="F237" t="s">
        <v>104</v>
      </c>
      <c r="G237" t="s">
        <v>105</v>
      </c>
      <c r="H237" t="s">
        <v>106</v>
      </c>
    </row>
    <row r="238" spans="1:8">
      <c r="A238" t="s">
        <v>3388</v>
      </c>
      <c r="B238" s="24">
        <v>46182</v>
      </c>
      <c r="C238" s="27" t="s">
        <v>5797</v>
      </c>
      <c r="D238" s="27" t="s">
        <v>3219</v>
      </c>
      <c r="E238" t="s">
        <v>653</v>
      </c>
      <c r="F238" t="s">
        <v>104</v>
      </c>
      <c r="G238" t="s">
        <v>105</v>
      </c>
      <c r="H238" t="s">
        <v>106</v>
      </c>
    </row>
    <row r="239" spans="1:8">
      <c r="A239" t="s">
        <v>3389</v>
      </c>
      <c r="B239" s="24">
        <v>46183</v>
      </c>
      <c r="C239" s="27" t="s">
        <v>5797</v>
      </c>
      <c r="D239" s="27" t="s">
        <v>3219</v>
      </c>
      <c r="E239" t="s">
        <v>654</v>
      </c>
      <c r="F239" t="s">
        <v>104</v>
      </c>
      <c r="G239" t="s">
        <v>105</v>
      </c>
      <c r="H239" t="s">
        <v>106</v>
      </c>
    </row>
    <row r="240" spans="1:8">
      <c r="A240" t="s">
        <v>3390</v>
      </c>
      <c r="B240" s="24">
        <v>46184</v>
      </c>
      <c r="C240" s="27" t="s">
        <v>5797</v>
      </c>
      <c r="D240" s="27" t="s">
        <v>3219</v>
      </c>
      <c r="E240" t="s">
        <v>655</v>
      </c>
      <c r="F240" t="s">
        <v>104</v>
      </c>
      <c r="G240" t="s">
        <v>105</v>
      </c>
      <c r="H240" t="s">
        <v>106</v>
      </c>
    </row>
    <row r="241" spans="1:8">
      <c r="A241" t="s">
        <v>3391</v>
      </c>
      <c r="B241" s="24">
        <v>46185</v>
      </c>
      <c r="C241" s="27" t="s">
        <v>5797</v>
      </c>
      <c r="D241" s="27" t="s">
        <v>3219</v>
      </c>
      <c r="E241" t="s">
        <v>656</v>
      </c>
      <c r="F241" t="s">
        <v>104</v>
      </c>
      <c r="G241" t="s">
        <v>105</v>
      </c>
      <c r="H241" t="s">
        <v>106</v>
      </c>
    </row>
    <row r="242" spans="1:8">
      <c r="A242" t="s">
        <v>3392</v>
      </c>
      <c r="B242" s="24">
        <v>46174</v>
      </c>
      <c r="C242" s="27" t="s">
        <v>5797</v>
      </c>
      <c r="D242" s="27" t="s">
        <v>3219</v>
      </c>
      <c r="E242" t="s">
        <v>657</v>
      </c>
      <c r="F242" t="s">
        <v>104</v>
      </c>
      <c r="G242" t="s">
        <v>105</v>
      </c>
      <c r="H242" t="s">
        <v>106</v>
      </c>
    </row>
    <row r="243" spans="1:8">
      <c r="A243" t="s">
        <v>3393</v>
      </c>
      <c r="B243" s="24">
        <v>46175</v>
      </c>
      <c r="C243" s="27" t="s">
        <v>5797</v>
      </c>
      <c r="D243" s="27" t="s">
        <v>3219</v>
      </c>
      <c r="E243" t="s">
        <v>658</v>
      </c>
      <c r="F243" t="s">
        <v>104</v>
      </c>
      <c r="G243" t="s">
        <v>105</v>
      </c>
      <c r="H243" t="s">
        <v>106</v>
      </c>
    </row>
    <row r="244" spans="1:8">
      <c r="A244" t="s">
        <v>3394</v>
      </c>
      <c r="B244" s="24">
        <v>46176</v>
      </c>
      <c r="C244" s="27" t="s">
        <v>5797</v>
      </c>
      <c r="D244" s="27" t="s">
        <v>3219</v>
      </c>
      <c r="E244" t="s">
        <v>659</v>
      </c>
      <c r="F244" t="s">
        <v>104</v>
      </c>
      <c r="G244" t="s">
        <v>105</v>
      </c>
      <c r="H244" t="s">
        <v>106</v>
      </c>
    </row>
    <row r="245" spans="1:8">
      <c r="A245" t="s">
        <v>3395</v>
      </c>
      <c r="B245" s="24">
        <v>46177</v>
      </c>
      <c r="C245" s="27" t="s">
        <v>5797</v>
      </c>
      <c r="D245" s="27" t="s">
        <v>3219</v>
      </c>
      <c r="E245" t="s">
        <v>660</v>
      </c>
      <c r="F245" t="s">
        <v>104</v>
      </c>
      <c r="G245" t="s">
        <v>105</v>
      </c>
      <c r="H245" t="s">
        <v>106</v>
      </c>
    </row>
    <row r="246" spans="1:8">
      <c r="A246" t="s">
        <v>3396</v>
      </c>
      <c r="B246" s="24">
        <v>46178</v>
      </c>
      <c r="C246" s="27" t="s">
        <v>5797</v>
      </c>
      <c r="D246" s="27" t="s">
        <v>3219</v>
      </c>
      <c r="E246" t="s">
        <v>661</v>
      </c>
      <c r="F246" t="s">
        <v>104</v>
      </c>
      <c r="G246" t="s">
        <v>105</v>
      </c>
      <c r="H246" t="s">
        <v>106</v>
      </c>
    </row>
    <row r="247" spans="1:8">
      <c r="A247" t="s">
        <v>3397</v>
      </c>
      <c r="B247" s="24">
        <v>46181</v>
      </c>
      <c r="C247" s="27" t="s">
        <v>5797</v>
      </c>
      <c r="D247" s="27" t="s">
        <v>3219</v>
      </c>
      <c r="E247" t="s">
        <v>662</v>
      </c>
      <c r="F247" t="s">
        <v>104</v>
      </c>
      <c r="G247" t="s">
        <v>105</v>
      </c>
      <c r="H247" t="s">
        <v>106</v>
      </c>
    </row>
    <row r="248" spans="1:8">
      <c r="A248" t="s">
        <v>3398</v>
      </c>
      <c r="B248" s="24">
        <v>46182</v>
      </c>
      <c r="C248" s="27" t="s">
        <v>5797</v>
      </c>
      <c r="D248" s="27" t="s">
        <v>3219</v>
      </c>
      <c r="E248" t="s">
        <v>663</v>
      </c>
      <c r="F248" t="s">
        <v>104</v>
      </c>
      <c r="G248" t="s">
        <v>105</v>
      </c>
      <c r="H248" t="s">
        <v>106</v>
      </c>
    </row>
    <row r="249" spans="1:8">
      <c r="A249" t="s">
        <v>3399</v>
      </c>
      <c r="B249" s="24">
        <v>46183</v>
      </c>
      <c r="C249" s="27" t="s">
        <v>5797</v>
      </c>
      <c r="D249" s="27" t="s">
        <v>3219</v>
      </c>
      <c r="E249" t="s">
        <v>664</v>
      </c>
      <c r="F249" t="s">
        <v>104</v>
      </c>
      <c r="G249" t="s">
        <v>105</v>
      </c>
      <c r="H249" t="s">
        <v>106</v>
      </c>
    </row>
    <row r="250" spans="1:8">
      <c r="A250" t="s">
        <v>3400</v>
      </c>
      <c r="B250" s="24">
        <v>46184</v>
      </c>
      <c r="C250" s="27" t="s">
        <v>5797</v>
      </c>
      <c r="D250" s="27" t="s">
        <v>3219</v>
      </c>
      <c r="E250" t="s">
        <v>665</v>
      </c>
      <c r="F250" t="s">
        <v>104</v>
      </c>
      <c r="G250" t="s">
        <v>105</v>
      </c>
      <c r="H250" t="s">
        <v>106</v>
      </c>
    </row>
    <row r="251" spans="1:8">
      <c r="A251" t="s">
        <v>3401</v>
      </c>
      <c r="B251" s="24">
        <v>46185</v>
      </c>
      <c r="C251" s="27" t="s">
        <v>5797</v>
      </c>
      <c r="D251" s="27" t="s">
        <v>3219</v>
      </c>
      <c r="E251" t="s">
        <v>666</v>
      </c>
      <c r="F251" t="s">
        <v>104</v>
      </c>
      <c r="G251" t="s">
        <v>105</v>
      </c>
      <c r="H251" t="s">
        <v>106</v>
      </c>
    </row>
    <row r="252" spans="1:8">
      <c r="A252" t="s">
        <v>3402</v>
      </c>
      <c r="B252" s="24">
        <v>46174</v>
      </c>
      <c r="C252" s="27" t="s">
        <v>5797</v>
      </c>
      <c r="D252" s="27" t="s">
        <v>3219</v>
      </c>
      <c r="E252" t="s">
        <v>667</v>
      </c>
      <c r="F252" t="s">
        <v>104</v>
      </c>
      <c r="G252" t="s">
        <v>105</v>
      </c>
      <c r="H252" t="s">
        <v>106</v>
      </c>
    </row>
    <row r="253" spans="1:8">
      <c r="A253" t="s">
        <v>3403</v>
      </c>
      <c r="B253" s="24">
        <v>46175</v>
      </c>
      <c r="C253" s="27" t="s">
        <v>5797</v>
      </c>
      <c r="D253" s="27" t="s">
        <v>3219</v>
      </c>
      <c r="E253" t="s">
        <v>668</v>
      </c>
      <c r="F253" t="s">
        <v>104</v>
      </c>
      <c r="G253" t="s">
        <v>105</v>
      </c>
      <c r="H253" t="s">
        <v>106</v>
      </c>
    </row>
    <row r="254" spans="1:8">
      <c r="A254" t="s">
        <v>3404</v>
      </c>
      <c r="B254" s="24">
        <v>46176</v>
      </c>
      <c r="C254" s="27" t="s">
        <v>5797</v>
      </c>
      <c r="D254" s="27" t="s">
        <v>3219</v>
      </c>
      <c r="E254" t="s">
        <v>669</v>
      </c>
      <c r="F254" t="s">
        <v>104</v>
      </c>
      <c r="G254" t="s">
        <v>105</v>
      </c>
      <c r="H254" t="s">
        <v>106</v>
      </c>
    </row>
    <row r="255" spans="1:8">
      <c r="A255" t="s">
        <v>3405</v>
      </c>
      <c r="B255" s="24">
        <v>46177</v>
      </c>
      <c r="C255" s="27" t="s">
        <v>5797</v>
      </c>
      <c r="D255" s="27" t="s">
        <v>3219</v>
      </c>
      <c r="E255" t="s">
        <v>670</v>
      </c>
      <c r="F255" t="s">
        <v>104</v>
      </c>
      <c r="G255" t="s">
        <v>105</v>
      </c>
      <c r="H255" t="s">
        <v>106</v>
      </c>
    </row>
    <row r="256" spans="1:8">
      <c r="A256" t="s">
        <v>3406</v>
      </c>
      <c r="B256" s="24">
        <v>46178</v>
      </c>
      <c r="C256" s="27" t="s">
        <v>5797</v>
      </c>
      <c r="D256" s="27" t="s">
        <v>3219</v>
      </c>
      <c r="E256" t="s">
        <v>671</v>
      </c>
      <c r="F256" t="s">
        <v>104</v>
      </c>
      <c r="G256" t="s">
        <v>105</v>
      </c>
      <c r="H256" t="s">
        <v>106</v>
      </c>
    </row>
    <row r="257" spans="1:8">
      <c r="A257" t="s">
        <v>3407</v>
      </c>
      <c r="B257" s="24">
        <v>46181</v>
      </c>
      <c r="C257" s="27" t="s">
        <v>5797</v>
      </c>
      <c r="D257" s="27" t="s">
        <v>3219</v>
      </c>
      <c r="E257" t="s">
        <v>672</v>
      </c>
      <c r="F257" t="s">
        <v>104</v>
      </c>
      <c r="G257" t="s">
        <v>105</v>
      </c>
      <c r="H257" t="s">
        <v>106</v>
      </c>
    </row>
    <row r="258" spans="1:8">
      <c r="A258" t="s">
        <v>3408</v>
      </c>
      <c r="B258" s="24">
        <v>46182</v>
      </c>
      <c r="C258" s="27" t="s">
        <v>5797</v>
      </c>
      <c r="D258" s="27" t="s">
        <v>3219</v>
      </c>
      <c r="E258" t="s">
        <v>673</v>
      </c>
      <c r="F258" t="s">
        <v>104</v>
      </c>
      <c r="G258" t="s">
        <v>105</v>
      </c>
      <c r="H258" t="s">
        <v>106</v>
      </c>
    </row>
    <row r="259" spans="1:8">
      <c r="A259" t="s">
        <v>3409</v>
      </c>
      <c r="B259" s="24">
        <v>46183</v>
      </c>
      <c r="C259" s="27" t="s">
        <v>5797</v>
      </c>
      <c r="D259" s="27" t="s">
        <v>3219</v>
      </c>
      <c r="E259" t="s">
        <v>674</v>
      </c>
      <c r="F259" t="s">
        <v>104</v>
      </c>
      <c r="G259" t="s">
        <v>105</v>
      </c>
      <c r="H259" t="s">
        <v>106</v>
      </c>
    </row>
    <row r="260" spans="1:8">
      <c r="A260" t="s">
        <v>3410</v>
      </c>
      <c r="B260" s="24">
        <v>46184</v>
      </c>
      <c r="C260" s="27" t="s">
        <v>5797</v>
      </c>
      <c r="D260" s="27" t="s">
        <v>3219</v>
      </c>
      <c r="E260" t="s">
        <v>675</v>
      </c>
      <c r="F260" t="s">
        <v>104</v>
      </c>
      <c r="G260" t="s">
        <v>105</v>
      </c>
      <c r="H260" t="s">
        <v>106</v>
      </c>
    </row>
    <row r="261" spans="1:8">
      <c r="A261" t="s">
        <v>3411</v>
      </c>
      <c r="B261" s="24">
        <v>46185</v>
      </c>
      <c r="C261" s="27" t="s">
        <v>5797</v>
      </c>
      <c r="D261" s="27" t="s">
        <v>3219</v>
      </c>
      <c r="E261" t="s">
        <v>676</v>
      </c>
      <c r="F261" t="s">
        <v>104</v>
      </c>
      <c r="G261" t="s">
        <v>105</v>
      </c>
      <c r="H261" t="s">
        <v>106</v>
      </c>
    </row>
    <row r="262" spans="1:8">
      <c r="A262" t="s">
        <v>3412</v>
      </c>
      <c r="B262" s="24">
        <v>46174</v>
      </c>
      <c r="C262" s="27" t="s">
        <v>5797</v>
      </c>
      <c r="D262" s="27" t="s">
        <v>3219</v>
      </c>
      <c r="E262" t="s">
        <v>677</v>
      </c>
      <c r="F262" t="s">
        <v>104</v>
      </c>
      <c r="G262" t="s">
        <v>105</v>
      </c>
      <c r="H262" t="s">
        <v>106</v>
      </c>
    </row>
    <row r="263" spans="1:8">
      <c r="A263" t="s">
        <v>3413</v>
      </c>
      <c r="B263" s="24">
        <v>46175</v>
      </c>
      <c r="C263" s="27" t="s">
        <v>5797</v>
      </c>
      <c r="D263" s="27" t="s">
        <v>3219</v>
      </c>
      <c r="E263" t="s">
        <v>678</v>
      </c>
      <c r="F263" t="s">
        <v>104</v>
      </c>
      <c r="G263" t="s">
        <v>105</v>
      </c>
      <c r="H263" t="s">
        <v>106</v>
      </c>
    </row>
    <row r="264" spans="1:8">
      <c r="A264" t="s">
        <v>3414</v>
      </c>
      <c r="B264" s="24">
        <v>46176</v>
      </c>
      <c r="C264" s="27" t="s">
        <v>5797</v>
      </c>
      <c r="D264" s="27" t="s">
        <v>3219</v>
      </c>
      <c r="E264" t="s">
        <v>679</v>
      </c>
      <c r="F264" t="s">
        <v>104</v>
      </c>
      <c r="G264" t="s">
        <v>105</v>
      </c>
      <c r="H264" t="s">
        <v>106</v>
      </c>
    </row>
    <row r="265" spans="1:8">
      <c r="A265" t="s">
        <v>3415</v>
      </c>
      <c r="B265" s="24">
        <v>46177</v>
      </c>
      <c r="C265" s="27" t="s">
        <v>5797</v>
      </c>
      <c r="D265" s="27" t="s">
        <v>3219</v>
      </c>
      <c r="E265" t="s">
        <v>680</v>
      </c>
      <c r="F265" t="s">
        <v>104</v>
      </c>
      <c r="G265" t="s">
        <v>105</v>
      </c>
      <c r="H265" t="s">
        <v>106</v>
      </c>
    </row>
    <row r="266" spans="1:8">
      <c r="A266" t="s">
        <v>3416</v>
      </c>
      <c r="B266" s="24">
        <v>46178</v>
      </c>
      <c r="C266" s="27" t="s">
        <v>5797</v>
      </c>
      <c r="D266" s="27" t="s">
        <v>3219</v>
      </c>
      <c r="E266" t="s">
        <v>681</v>
      </c>
      <c r="F266" t="s">
        <v>104</v>
      </c>
      <c r="G266" t="s">
        <v>105</v>
      </c>
      <c r="H266" t="s">
        <v>106</v>
      </c>
    </row>
    <row r="267" spans="1:8">
      <c r="A267" t="s">
        <v>3417</v>
      </c>
      <c r="B267" s="24">
        <v>46181</v>
      </c>
      <c r="C267" s="27" t="s">
        <v>5797</v>
      </c>
      <c r="D267" s="27" t="s">
        <v>3219</v>
      </c>
      <c r="E267" t="s">
        <v>682</v>
      </c>
      <c r="F267" t="s">
        <v>104</v>
      </c>
      <c r="G267" t="s">
        <v>105</v>
      </c>
      <c r="H267" t="s">
        <v>106</v>
      </c>
    </row>
    <row r="268" spans="1:8">
      <c r="A268" t="s">
        <v>3418</v>
      </c>
      <c r="B268" s="24">
        <v>46182</v>
      </c>
      <c r="C268" s="27" t="s">
        <v>5797</v>
      </c>
      <c r="D268" s="27" t="s">
        <v>3219</v>
      </c>
      <c r="E268" t="s">
        <v>683</v>
      </c>
      <c r="F268" t="s">
        <v>104</v>
      </c>
      <c r="G268" t="s">
        <v>105</v>
      </c>
      <c r="H268" t="s">
        <v>106</v>
      </c>
    </row>
    <row r="269" spans="1:8">
      <c r="A269" t="s">
        <v>3419</v>
      </c>
      <c r="B269" s="24">
        <v>46183</v>
      </c>
      <c r="C269" s="27" t="s">
        <v>5797</v>
      </c>
      <c r="D269" s="27" t="s">
        <v>3219</v>
      </c>
      <c r="E269" t="s">
        <v>684</v>
      </c>
      <c r="F269" t="s">
        <v>104</v>
      </c>
      <c r="G269" t="s">
        <v>105</v>
      </c>
      <c r="H269" t="s">
        <v>106</v>
      </c>
    </row>
    <row r="270" spans="1:8">
      <c r="A270" t="s">
        <v>3420</v>
      </c>
      <c r="B270" s="24">
        <v>46184</v>
      </c>
      <c r="C270" s="27" t="s">
        <v>5797</v>
      </c>
      <c r="D270" s="27" t="s">
        <v>3219</v>
      </c>
      <c r="E270" t="s">
        <v>685</v>
      </c>
      <c r="F270" t="s">
        <v>104</v>
      </c>
      <c r="G270" t="s">
        <v>105</v>
      </c>
      <c r="H270" t="s">
        <v>106</v>
      </c>
    </row>
    <row r="271" spans="1:8">
      <c r="A271" t="s">
        <v>3421</v>
      </c>
      <c r="B271" s="24">
        <v>46185</v>
      </c>
      <c r="C271" s="27" t="s">
        <v>5797</v>
      </c>
      <c r="D271" s="27" t="s">
        <v>3219</v>
      </c>
      <c r="E271" t="s">
        <v>686</v>
      </c>
      <c r="F271" t="s">
        <v>104</v>
      </c>
      <c r="G271" t="s">
        <v>105</v>
      </c>
      <c r="H271" t="s">
        <v>106</v>
      </c>
    </row>
    <row r="272" spans="1:8">
      <c r="A272" t="s">
        <v>3422</v>
      </c>
      <c r="B272" s="24">
        <v>46174</v>
      </c>
      <c r="C272" s="27" t="s">
        <v>5797</v>
      </c>
      <c r="D272" s="27" t="s">
        <v>3219</v>
      </c>
      <c r="E272" t="s">
        <v>687</v>
      </c>
      <c r="F272" t="s">
        <v>104</v>
      </c>
      <c r="G272" t="s">
        <v>105</v>
      </c>
      <c r="H272">
        <v>0</v>
      </c>
    </row>
    <row r="273" spans="1:8">
      <c r="A273" t="s">
        <v>3423</v>
      </c>
      <c r="B273" s="24">
        <v>46175</v>
      </c>
      <c r="C273" s="27" t="s">
        <v>5797</v>
      </c>
      <c r="D273" s="27" t="s">
        <v>3219</v>
      </c>
      <c r="E273" t="s">
        <v>688</v>
      </c>
      <c r="F273" t="s">
        <v>104</v>
      </c>
      <c r="G273" t="s">
        <v>105</v>
      </c>
      <c r="H273">
        <v>0</v>
      </c>
    </row>
    <row r="274" spans="1:8">
      <c r="A274" t="s">
        <v>3424</v>
      </c>
      <c r="B274" s="24">
        <v>46176</v>
      </c>
      <c r="C274" s="27" t="s">
        <v>5797</v>
      </c>
      <c r="D274" s="27" t="s">
        <v>3219</v>
      </c>
      <c r="E274" t="s">
        <v>689</v>
      </c>
      <c r="F274" t="s">
        <v>104</v>
      </c>
      <c r="G274" t="s">
        <v>105</v>
      </c>
      <c r="H274">
        <v>0</v>
      </c>
    </row>
    <row r="275" spans="1:8">
      <c r="A275" t="s">
        <v>3425</v>
      </c>
      <c r="B275" s="24">
        <v>46177</v>
      </c>
      <c r="C275" s="27" t="s">
        <v>5797</v>
      </c>
      <c r="D275" s="27" t="s">
        <v>3219</v>
      </c>
      <c r="E275" t="s">
        <v>690</v>
      </c>
      <c r="F275" t="s">
        <v>104</v>
      </c>
      <c r="G275" t="s">
        <v>105</v>
      </c>
      <c r="H275">
        <v>0</v>
      </c>
    </row>
    <row r="276" spans="1:8">
      <c r="A276" t="s">
        <v>3426</v>
      </c>
      <c r="B276" s="24">
        <v>46178</v>
      </c>
      <c r="C276" s="27" t="s">
        <v>5797</v>
      </c>
      <c r="D276" s="27" t="s">
        <v>3219</v>
      </c>
      <c r="E276" t="s">
        <v>691</v>
      </c>
      <c r="F276" t="s">
        <v>104</v>
      </c>
      <c r="G276" t="s">
        <v>105</v>
      </c>
      <c r="H276">
        <v>0</v>
      </c>
    </row>
    <row r="277" spans="1:8">
      <c r="A277" t="s">
        <v>3427</v>
      </c>
      <c r="B277" s="24">
        <v>46181</v>
      </c>
      <c r="C277" s="27" t="s">
        <v>5797</v>
      </c>
      <c r="D277" s="27" t="s">
        <v>3219</v>
      </c>
      <c r="E277" t="s">
        <v>692</v>
      </c>
      <c r="F277" t="s">
        <v>104</v>
      </c>
      <c r="G277" t="s">
        <v>105</v>
      </c>
      <c r="H277">
        <v>0</v>
      </c>
    </row>
    <row r="278" spans="1:8">
      <c r="A278" t="s">
        <v>3428</v>
      </c>
      <c r="B278" s="24">
        <v>46182</v>
      </c>
      <c r="C278" s="27" t="s">
        <v>5797</v>
      </c>
      <c r="D278" s="27" t="s">
        <v>3219</v>
      </c>
      <c r="E278" t="s">
        <v>693</v>
      </c>
      <c r="F278" t="s">
        <v>104</v>
      </c>
      <c r="G278" t="s">
        <v>105</v>
      </c>
      <c r="H278">
        <v>0</v>
      </c>
    </row>
    <row r="279" spans="1:8">
      <c r="A279" t="s">
        <v>3429</v>
      </c>
      <c r="B279" s="24">
        <v>46183</v>
      </c>
      <c r="C279" s="27" t="s">
        <v>5797</v>
      </c>
      <c r="D279" s="27" t="s">
        <v>3219</v>
      </c>
      <c r="E279" t="s">
        <v>694</v>
      </c>
      <c r="F279" t="s">
        <v>104</v>
      </c>
      <c r="G279" t="s">
        <v>105</v>
      </c>
      <c r="H279">
        <v>0</v>
      </c>
    </row>
    <row r="280" spans="1:8">
      <c r="A280" t="s">
        <v>3430</v>
      </c>
      <c r="B280" s="24">
        <v>46184</v>
      </c>
      <c r="C280" s="27" t="s">
        <v>5797</v>
      </c>
      <c r="D280" s="27" t="s">
        <v>3219</v>
      </c>
      <c r="E280" t="s">
        <v>695</v>
      </c>
      <c r="F280" t="s">
        <v>104</v>
      </c>
      <c r="G280" t="s">
        <v>105</v>
      </c>
      <c r="H280">
        <v>0</v>
      </c>
    </row>
    <row r="281" spans="1:8">
      <c r="A281" t="s">
        <v>3431</v>
      </c>
      <c r="B281" s="24">
        <v>46185</v>
      </c>
      <c r="C281" s="27" t="s">
        <v>5797</v>
      </c>
      <c r="D281" s="27" t="s">
        <v>3219</v>
      </c>
      <c r="E281" t="s">
        <v>696</v>
      </c>
      <c r="F281" t="s">
        <v>104</v>
      </c>
      <c r="G281" t="s">
        <v>105</v>
      </c>
      <c r="H281">
        <v>0</v>
      </c>
    </row>
    <row r="282" spans="1:8">
      <c r="A282" t="s">
        <v>3432</v>
      </c>
      <c r="B282" s="24">
        <v>46174</v>
      </c>
      <c r="C282" s="27" t="s">
        <v>5797</v>
      </c>
      <c r="D282" s="27" t="s">
        <v>3219</v>
      </c>
      <c r="E282" t="s">
        <v>697</v>
      </c>
      <c r="F282" t="s">
        <v>104</v>
      </c>
      <c r="G282" t="s">
        <v>105</v>
      </c>
      <c r="H282">
        <v>0</v>
      </c>
    </row>
    <row r="283" spans="1:8">
      <c r="A283" t="s">
        <v>3433</v>
      </c>
      <c r="B283" s="24">
        <v>46175</v>
      </c>
      <c r="C283" s="27" t="s">
        <v>5797</v>
      </c>
      <c r="D283" s="27" t="s">
        <v>3219</v>
      </c>
      <c r="E283" t="s">
        <v>698</v>
      </c>
      <c r="F283" t="s">
        <v>104</v>
      </c>
      <c r="G283" t="s">
        <v>105</v>
      </c>
      <c r="H283">
        <v>0</v>
      </c>
    </row>
    <row r="284" spans="1:8">
      <c r="A284" t="s">
        <v>3434</v>
      </c>
      <c r="B284" s="24">
        <v>46176</v>
      </c>
      <c r="C284" s="27" t="s">
        <v>5797</v>
      </c>
      <c r="D284" s="27" t="s">
        <v>3219</v>
      </c>
      <c r="E284" t="s">
        <v>699</v>
      </c>
      <c r="F284" t="s">
        <v>104</v>
      </c>
      <c r="G284" t="s">
        <v>105</v>
      </c>
      <c r="H284">
        <v>0</v>
      </c>
    </row>
    <row r="285" spans="1:8">
      <c r="A285" t="s">
        <v>3435</v>
      </c>
      <c r="B285" s="24">
        <v>46177</v>
      </c>
      <c r="C285" s="27" t="s">
        <v>5797</v>
      </c>
      <c r="D285" s="27" t="s">
        <v>3219</v>
      </c>
      <c r="E285" t="s">
        <v>700</v>
      </c>
      <c r="F285" t="s">
        <v>104</v>
      </c>
      <c r="G285" t="s">
        <v>105</v>
      </c>
      <c r="H285">
        <v>0</v>
      </c>
    </row>
    <row r="286" spans="1:8">
      <c r="A286" t="s">
        <v>3436</v>
      </c>
      <c r="B286" s="24">
        <v>46178</v>
      </c>
      <c r="C286" s="27" t="s">
        <v>5797</v>
      </c>
      <c r="D286" s="27" t="s">
        <v>3219</v>
      </c>
      <c r="E286" t="s">
        <v>701</v>
      </c>
      <c r="F286" t="s">
        <v>104</v>
      </c>
      <c r="G286" t="s">
        <v>105</v>
      </c>
      <c r="H286">
        <v>0</v>
      </c>
    </row>
    <row r="287" spans="1:8">
      <c r="A287" t="s">
        <v>3437</v>
      </c>
      <c r="B287" s="24">
        <v>46181</v>
      </c>
      <c r="C287" s="27" t="s">
        <v>5797</v>
      </c>
      <c r="D287" s="27" t="s">
        <v>3219</v>
      </c>
      <c r="E287" t="s">
        <v>702</v>
      </c>
      <c r="F287" t="s">
        <v>104</v>
      </c>
      <c r="G287" t="s">
        <v>105</v>
      </c>
      <c r="H287">
        <v>0</v>
      </c>
    </row>
    <row r="288" spans="1:8">
      <c r="A288" t="s">
        <v>3438</v>
      </c>
      <c r="B288" s="24">
        <v>46182</v>
      </c>
      <c r="C288" s="27" t="s">
        <v>5797</v>
      </c>
      <c r="D288" s="27" t="s">
        <v>3219</v>
      </c>
      <c r="E288" t="s">
        <v>703</v>
      </c>
      <c r="F288" t="s">
        <v>104</v>
      </c>
      <c r="G288" t="s">
        <v>105</v>
      </c>
      <c r="H288">
        <v>0</v>
      </c>
    </row>
    <row r="289" spans="1:8">
      <c r="A289" t="s">
        <v>3439</v>
      </c>
      <c r="B289" s="24">
        <v>46183</v>
      </c>
      <c r="C289" s="27" t="s">
        <v>5797</v>
      </c>
      <c r="D289" s="27" t="s">
        <v>3219</v>
      </c>
      <c r="E289" t="s">
        <v>704</v>
      </c>
      <c r="F289" t="s">
        <v>104</v>
      </c>
      <c r="G289" t="s">
        <v>105</v>
      </c>
      <c r="H289">
        <v>0</v>
      </c>
    </row>
    <row r="290" spans="1:8">
      <c r="A290" t="s">
        <v>3440</v>
      </c>
      <c r="B290" s="24">
        <v>46184</v>
      </c>
      <c r="C290" s="27" t="s">
        <v>5797</v>
      </c>
      <c r="D290" s="27" t="s">
        <v>3219</v>
      </c>
      <c r="E290" t="s">
        <v>705</v>
      </c>
      <c r="F290" t="s">
        <v>104</v>
      </c>
      <c r="G290" t="s">
        <v>105</v>
      </c>
      <c r="H290">
        <v>0</v>
      </c>
    </row>
    <row r="291" spans="1:8">
      <c r="A291" t="s">
        <v>3441</v>
      </c>
      <c r="B291" s="24">
        <v>46185</v>
      </c>
      <c r="C291" s="27" t="s">
        <v>5797</v>
      </c>
      <c r="D291" s="27" t="s">
        <v>3219</v>
      </c>
      <c r="E291" t="s">
        <v>706</v>
      </c>
      <c r="F291" t="s">
        <v>104</v>
      </c>
      <c r="G291" t="s">
        <v>105</v>
      </c>
      <c r="H291">
        <v>0</v>
      </c>
    </row>
    <row r="292" spans="1:8">
      <c r="A292" t="s">
        <v>3442</v>
      </c>
      <c r="B292" s="24">
        <v>46174</v>
      </c>
      <c r="C292" s="27" t="s">
        <v>5797</v>
      </c>
      <c r="D292" s="27" t="s">
        <v>3219</v>
      </c>
      <c r="E292" t="s">
        <v>707</v>
      </c>
      <c r="F292" t="s">
        <v>104</v>
      </c>
      <c r="G292" t="s">
        <v>105</v>
      </c>
      <c r="H292">
        <v>0</v>
      </c>
    </row>
    <row r="293" spans="1:8">
      <c r="A293" t="s">
        <v>3443</v>
      </c>
      <c r="B293" s="24">
        <v>46175</v>
      </c>
      <c r="C293" s="27" t="s">
        <v>5797</v>
      </c>
      <c r="D293" s="27" t="s">
        <v>3219</v>
      </c>
      <c r="E293" t="s">
        <v>708</v>
      </c>
      <c r="F293" t="s">
        <v>104</v>
      </c>
      <c r="G293" t="s">
        <v>105</v>
      </c>
      <c r="H293">
        <v>0</v>
      </c>
    </row>
    <row r="294" spans="1:8">
      <c r="A294" t="s">
        <v>3444</v>
      </c>
      <c r="B294" s="24">
        <v>46176</v>
      </c>
      <c r="C294" s="27" t="s">
        <v>5797</v>
      </c>
      <c r="D294" s="27" t="s">
        <v>3219</v>
      </c>
      <c r="E294" t="s">
        <v>709</v>
      </c>
      <c r="F294" t="s">
        <v>104</v>
      </c>
      <c r="G294" t="s">
        <v>105</v>
      </c>
      <c r="H294">
        <v>0</v>
      </c>
    </row>
    <row r="295" spans="1:8">
      <c r="A295" t="s">
        <v>3445</v>
      </c>
      <c r="B295" s="24">
        <v>46177</v>
      </c>
      <c r="C295" s="27" t="s">
        <v>5797</v>
      </c>
      <c r="D295" s="27" t="s">
        <v>3219</v>
      </c>
      <c r="E295" t="s">
        <v>710</v>
      </c>
      <c r="F295" t="s">
        <v>104</v>
      </c>
      <c r="G295" t="s">
        <v>105</v>
      </c>
      <c r="H295">
        <v>0</v>
      </c>
    </row>
    <row r="296" spans="1:8">
      <c r="A296" t="s">
        <v>3446</v>
      </c>
      <c r="B296" s="24">
        <v>46178</v>
      </c>
      <c r="C296" s="27" t="s">
        <v>5797</v>
      </c>
      <c r="D296" s="27" t="s">
        <v>3219</v>
      </c>
      <c r="E296" t="s">
        <v>711</v>
      </c>
      <c r="F296" t="s">
        <v>104</v>
      </c>
      <c r="G296" t="s">
        <v>105</v>
      </c>
      <c r="H296">
        <v>0</v>
      </c>
    </row>
    <row r="297" spans="1:8">
      <c r="A297" t="s">
        <v>3447</v>
      </c>
      <c r="B297" s="24">
        <v>46181</v>
      </c>
      <c r="C297" s="27" t="s">
        <v>5797</v>
      </c>
      <c r="D297" s="27" t="s">
        <v>3219</v>
      </c>
      <c r="E297" t="s">
        <v>712</v>
      </c>
      <c r="F297" t="s">
        <v>104</v>
      </c>
      <c r="G297" t="s">
        <v>105</v>
      </c>
      <c r="H297">
        <v>0</v>
      </c>
    </row>
    <row r="298" spans="1:8">
      <c r="A298" t="s">
        <v>3448</v>
      </c>
      <c r="B298" s="24">
        <v>46182</v>
      </c>
      <c r="C298" s="27" t="s">
        <v>5797</v>
      </c>
      <c r="D298" s="27" t="s">
        <v>3219</v>
      </c>
      <c r="E298" t="s">
        <v>713</v>
      </c>
      <c r="F298" t="s">
        <v>104</v>
      </c>
      <c r="H298" t="s">
        <v>5762</v>
      </c>
    </row>
    <row r="299" spans="1:8">
      <c r="A299" t="s">
        <v>3449</v>
      </c>
      <c r="B299" s="24">
        <v>46183</v>
      </c>
      <c r="C299" s="27" t="s">
        <v>5797</v>
      </c>
      <c r="D299" s="27" t="s">
        <v>3219</v>
      </c>
      <c r="E299" t="s">
        <v>714</v>
      </c>
      <c r="F299" t="s">
        <v>104</v>
      </c>
      <c r="H299" t="s">
        <v>5762</v>
      </c>
    </row>
    <row r="300" spans="1:8">
      <c r="A300" t="s">
        <v>3450</v>
      </c>
      <c r="B300" s="24">
        <v>46184</v>
      </c>
      <c r="C300" s="27" t="s">
        <v>5797</v>
      </c>
      <c r="D300" s="27" t="s">
        <v>3219</v>
      </c>
      <c r="E300" t="s">
        <v>715</v>
      </c>
      <c r="F300" t="s">
        <v>104</v>
      </c>
      <c r="H300" t="s">
        <v>5762</v>
      </c>
    </row>
    <row r="301" spans="1:8">
      <c r="A301" t="s">
        <v>3451</v>
      </c>
      <c r="B301" s="24">
        <v>46185</v>
      </c>
      <c r="C301" s="27" t="s">
        <v>5797</v>
      </c>
      <c r="D301" s="27" t="s">
        <v>3219</v>
      </c>
      <c r="E301" t="s">
        <v>716</v>
      </c>
      <c r="F301" t="s">
        <v>104</v>
      </c>
      <c r="H301" t="s">
        <v>5762</v>
      </c>
    </row>
    <row r="302" spans="1:8">
      <c r="A302" t="s">
        <v>3452</v>
      </c>
      <c r="B302" s="24">
        <v>46174</v>
      </c>
      <c r="C302" s="27" t="s">
        <v>5797</v>
      </c>
      <c r="D302" s="27" t="s">
        <v>3219</v>
      </c>
      <c r="E302" t="s">
        <v>717</v>
      </c>
      <c r="F302" t="s">
        <v>104</v>
      </c>
      <c r="H302" t="s">
        <v>5762</v>
      </c>
    </row>
    <row r="303" spans="1:8">
      <c r="A303" t="s">
        <v>3453</v>
      </c>
      <c r="B303" s="24">
        <v>46175</v>
      </c>
      <c r="C303" s="27" t="s">
        <v>5797</v>
      </c>
      <c r="D303" s="27" t="s">
        <v>3219</v>
      </c>
      <c r="E303" t="s">
        <v>718</v>
      </c>
      <c r="F303" t="s">
        <v>104</v>
      </c>
      <c r="H303" t="s">
        <v>5762</v>
      </c>
    </row>
    <row r="304" spans="1:8">
      <c r="A304" t="s">
        <v>3454</v>
      </c>
      <c r="B304" s="24">
        <v>46176</v>
      </c>
      <c r="C304" s="27" t="s">
        <v>5797</v>
      </c>
      <c r="D304" s="27" t="s">
        <v>3219</v>
      </c>
      <c r="E304" t="s">
        <v>719</v>
      </c>
      <c r="F304" t="s">
        <v>104</v>
      </c>
      <c r="H304" t="s">
        <v>5762</v>
      </c>
    </row>
    <row r="305" spans="1:8">
      <c r="A305" t="s">
        <v>3455</v>
      </c>
      <c r="B305" s="24">
        <v>46177</v>
      </c>
      <c r="C305" s="27" t="s">
        <v>5797</v>
      </c>
      <c r="D305" s="27" t="s">
        <v>3219</v>
      </c>
      <c r="E305" t="s">
        <v>720</v>
      </c>
      <c r="F305" t="s">
        <v>104</v>
      </c>
      <c r="H305" t="s">
        <v>5762</v>
      </c>
    </row>
    <row r="306" spans="1:8">
      <c r="A306" t="s">
        <v>3456</v>
      </c>
      <c r="B306" s="24">
        <v>46178</v>
      </c>
      <c r="C306" s="27" t="s">
        <v>5797</v>
      </c>
      <c r="D306" s="27" t="s">
        <v>3219</v>
      </c>
      <c r="E306" t="s">
        <v>721</v>
      </c>
      <c r="F306" t="s">
        <v>104</v>
      </c>
      <c r="H306" t="s">
        <v>5762</v>
      </c>
    </row>
    <row r="307" spans="1:8">
      <c r="A307" t="s">
        <v>3457</v>
      </c>
      <c r="B307" s="24">
        <v>46181</v>
      </c>
      <c r="C307" s="27" t="s">
        <v>5797</v>
      </c>
      <c r="D307" s="27" t="s">
        <v>3219</v>
      </c>
      <c r="E307" t="s">
        <v>722</v>
      </c>
      <c r="F307" t="s">
        <v>104</v>
      </c>
      <c r="H307" t="s">
        <v>5762</v>
      </c>
    </row>
    <row r="308" spans="1:8">
      <c r="A308" t="s">
        <v>3458</v>
      </c>
      <c r="B308" s="24">
        <v>46182</v>
      </c>
      <c r="C308" s="27" t="s">
        <v>5797</v>
      </c>
      <c r="D308" s="27" t="s">
        <v>3219</v>
      </c>
      <c r="E308" t="s">
        <v>723</v>
      </c>
      <c r="F308" t="s">
        <v>104</v>
      </c>
      <c r="H308" t="s">
        <v>5762</v>
      </c>
    </row>
    <row r="309" spans="1:8">
      <c r="A309" t="s">
        <v>3459</v>
      </c>
      <c r="B309" s="24">
        <v>46183</v>
      </c>
      <c r="C309" s="27" t="s">
        <v>5797</v>
      </c>
      <c r="D309" s="27" t="s">
        <v>3219</v>
      </c>
      <c r="E309" t="s">
        <v>724</v>
      </c>
      <c r="F309" t="s">
        <v>104</v>
      </c>
      <c r="H309" t="s">
        <v>5762</v>
      </c>
    </row>
    <row r="310" spans="1:8">
      <c r="A310" t="s">
        <v>3460</v>
      </c>
      <c r="B310" s="24">
        <v>46184</v>
      </c>
      <c r="C310" s="27" t="s">
        <v>5797</v>
      </c>
      <c r="D310" s="27" t="s">
        <v>3219</v>
      </c>
      <c r="E310" t="s">
        <v>725</v>
      </c>
      <c r="F310" t="s">
        <v>104</v>
      </c>
      <c r="H310" t="s">
        <v>5762</v>
      </c>
    </row>
    <row r="311" spans="1:8">
      <c r="A311" t="s">
        <v>3461</v>
      </c>
      <c r="B311" s="24">
        <v>46185</v>
      </c>
      <c r="C311" s="27" t="s">
        <v>5797</v>
      </c>
      <c r="D311" s="27" t="s">
        <v>3219</v>
      </c>
      <c r="E311" t="s">
        <v>726</v>
      </c>
      <c r="F311" t="s">
        <v>104</v>
      </c>
      <c r="H311" t="s">
        <v>5762</v>
      </c>
    </row>
    <row r="312" spans="1:8">
      <c r="A312" t="s">
        <v>3462</v>
      </c>
      <c r="B312" s="24">
        <v>46174</v>
      </c>
      <c r="C312" s="27" t="s">
        <v>5797</v>
      </c>
      <c r="D312" s="27" t="s">
        <v>3219</v>
      </c>
      <c r="E312" t="s">
        <v>727</v>
      </c>
      <c r="F312" t="s">
        <v>104</v>
      </c>
      <c r="H312" t="s">
        <v>5762</v>
      </c>
    </row>
    <row r="313" spans="1:8">
      <c r="A313" t="s">
        <v>3463</v>
      </c>
      <c r="B313" s="24">
        <v>46175</v>
      </c>
      <c r="C313" s="27" t="s">
        <v>5797</v>
      </c>
      <c r="D313" s="27" t="s">
        <v>3219</v>
      </c>
      <c r="E313" t="s">
        <v>728</v>
      </c>
      <c r="F313" t="s">
        <v>104</v>
      </c>
      <c r="H313" t="s">
        <v>5762</v>
      </c>
    </row>
    <row r="314" spans="1:8">
      <c r="A314" t="s">
        <v>3464</v>
      </c>
      <c r="B314" s="24">
        <v>46176</v>
      </c>
      <c r="C314" s="27" t="s">
        <v>5797</v>
      </c>
      <c r="D314" s="27" t="s">
        <v>3219</v>
      </c>
      <c r="E314" t="s">
        <v>729</v>
      </c>
      <c r="F314" t="s">
        <v>104</v>
      </c>
      <c r="H314" t="s">
        <v>5762</v>
      </c>
    </row>
    <row r="315" spans="1:8">
      <c r="A315" t="s">
        <v>3465</v>
      </c>
      <c r="B315" s="24">
        <v>46177</v>
      </c>
      <c r="C315" s="27" t="s">
        <v>5797</v>
      </c>
      <c r="D315" s="27" t="s">
        <v>3219</v>
      </c>
      <c r="E315" t="s">
        <v>730</v>
      </c>
      <c r="F315" t="s">
        <v>104</v>
      </c>
      <c r="H315" t="s">
        <v>5762</v>
      </c>
    </row>
    <row r="316" spans="1:8">
      <c r="A316" t="s">
        <v>3466</v>
      </c>
      <c r="B316" s="24">
        <v>46178</v>
      </c>
      <c r="C316" s="27" t="s">
        <v>5797</v>
      </c>
      <c r="D316" s="27" t="s">
        <v>3219</v>
      </c>
      <c r="E316" t="s">
        <v>731</v>
      </c>
      <c r="F316" t="s">
        <v>104</v>
      </c>
      <c r="H316" t="s">
        <v>5762</v>
      </c>
    </row>
    <row r="317" spans="1:8">
      <c r="A317" t="s">
        <v>3467</v>
      </c>
      <c r="B317" s="24">
        <v>46181</v>
      </c>
      <c r="C317" s="27" t="s">
        <v>5797</v>
      </c>
      <c r="D317" s="27" t="s">
        <v>3219</v>
      </c>
      <c r="E317" t="s">
        <v>732</v>
      </c>
      <c r="F317" t="s">
        <v>104</v>
      </c>
      <c r="H317" t="s">
        <v>5762</v>
      </c>
    </row>
    <row r="318" spans="1:8">
      <c r="A318" t="s">
        <v>3468</v>
      </c>
      <c r="B318" s="24">
        <v>46182</v>
      </c>
      <c r="C318" s="27" t="s">
        <v>5797</v>
      </c>
      <c r="D318" s="27" t="s">
        <v>3219</v>
      </c>
      <c r="E318" t="s">
        <v>733</v>
      </c>
      <c r="F318" t="s">
        <v>104</v>
      </c>
      <c r="H318" t="s">
        <v>5762</v>
      </c>
    </row>
    <row r="319" spans="1:8">
      <c r="A319" t="s">
        <v>3469</v>
      </c>
      <c r="B319" s="24">
        <v>46183</v>
      </c>
      <c r="C319" s="27" t="s">
        <v>5797</v>
      </c>
      <c r="D319" s="27" t="s">
        <v>3219</v>
      </c>
      <c r="E319" t="s">
        <v>734</v>
      </c>
      <c r="F319" t="s">
        <v>104</v>
      </c>
      <c r="H319" t="s">
        <v>5762</v>
      </c>
    </row>
    <row r="320" spans="1:8">
      <c r="A320" t="s">
        <v>3470</v>
      </c>
      <c r="B320" s="24">
        <v>46184</v>
      </c>
      <c r="C320" s="27" t="s">
        <v>5797</v>
      </c>
      <c r="D320" s="27" t="s">
        <v>3219</v>
      </c>
      <c r="E320" t="s">
        <v>735</v>
      </c>
      <c r="F320" t="s">
        <v>104</v>
      </c>
      <c r="H320" t="s">
        <v>5762</v>
      </c>
    </row>
    <row r="321" spans="1:8">
      <c r="A321" t="s">
        <v>3471</v>
      </c>
      <c r="B321" s="24">
        <v>46185</v>
      </c>
      <c r="C321" s="27" t="s">
        <v>5797</v>
      </c>
      <c r="D321" s="27" t="s">
        <v>3219</v>
      </c>
      <c r="E321" t="s">
        <v>736</v>
      </c>
      <c r="F321" t="s">
        <v>104</v>
      </c>
      <c r="H321" t="s">
        <v>5762</v>
      </c>
    </row>
    <row r="322" spans="1:8">
      <c r="A322" t="s">
        <v>3472</v>
      </c>
      <c r="B322" s="24">
        <v>46174</v>
      </c>
      <c r="C322" s="27" t="s">
        <v>5797</v>
      </c>
      <c r="D322" s="27" t="s">
        <v>3219</v>
      </c>
      <c r="E322" t="s">
        <v>737</v>
      </c>
      <c r="F322" t="s">
        <v>104</v>
      </c>
      <c r="H322" t="s">
        <v>5762</v>
      </c>
    </row>
    <row r="323" spans="1:8">
      <c r="A323" t="s">
        <v>3473</v>
      </c>
      <c r="B323" s="24">
        <v>46175</v>
      </c>
      <c r="C323" s="27" t="s">
        <v>5797</v>
      </c>
      <c r="D323" s="27" t="s">
        <v>3219</v>
      </c>
      <c r="E323" t="s">
        <v>738</v>
      </c>
      <c r="F323" t="s">
        <v>104</v>
      </c>
      <c r="H323" t="s">
        <v>5762</v>
      </c>
    </row>
    <row r="324" spans="1:8">
      <c r="A324" t="s">
        <v>3474</v>
      </c>
      <c r="B324" s="24">
        <v>46176</v>
      </c>
      <c r="C324" s="27" t="s">
        <v>5797</v>
      </c>
      <c r="D324" s="27" t="s">
        <v>3219</v>
      </c>
      <c r="E324" t="s">
        <v>739</v>
      </c>
      <c r="F324" t="s">
        <v>104</v>
      </c>
      <c r="H324" t="s">
        <v>5762</v>
      </c>
    </row>
    <row r="325" spans="1:8">
      <c r="A325" t="s">
        <v>3475</v>
      </c>
      <c r="B325" s="24">
        <v>46177</v>
      </c>
      <c r="C325" s="27" t="s">
        <v>5797</v>
      </c>
      <c r="D325" s="27" t="s">
        <v>3219</v>
      </c>
      <c r="E325" t="s">
        <v>740</v>
      </c>
      <c r="F325" t="s">
        <v>104</v>
      </c>
      <c r="H325" t="s">
        <v>5762</v>
      </c>
    </row>
    <row r="326" spans="1:8">
      <c r="A326" t="s">
        <v>3476</v>
      </c>
      <c r="B326" s="24">
        <v>46178</v>
      </c>
      <c r="C326" s="27" t="s">
        <v>5797</v>
      </c>
      <c r="D326" s="27" t="s">
        <v>3219</v>
      </c>
      <c r="E326" t="s">
        <v>741</v>
      </c>
      <c r="F326" t="s">
        <v>104</v>
      </c>
      <c r="H326" t="s">
        <v>5762</v>
      </c>
    </row>
    <row r="327" spans="1:8">
      <c r="A327" t="s">
        <v>3477</v>
      </c>
      <c r="B327" s="24">
        <v>46181</v>
      </c>
      <c r="C327" s="27" t="s">
        <v>5797</v>
      </c>
      <c r="D327" s="27" t="s">
        <v>3219</v>
      </c>
      <c r="E327" t="s">
        <v>742</v>
      </c>
      <c r="F327" t="s">
        <v>104</v>
      </c>
      <c r="H327" t="s">
        <v>5762</v>
      </c>
    </row>
    <row r="328" spans="1:8">
      <c r="A328" t="s">
        <v>3478</v>
      </c>
      <c r="B328" s="24">
        <v>46182</v>
      </c>
      <c r="C328" s="27" t="s">
        <v>5797</v>
      </c>
      <c r="D328" s="27" t="s">
        <v>3219</v>
      </c>
      <c r="E328" t="s">
        <v>743</v>
      </c>
      <c r="F328" t="s">
        <v>104</v>
      </c>
      <c r="H328" t="s">
        <v>5762</v>
      </c>
    </row>
    <row r="329" spans="1:8">
      <c r="A329" t="s">
        <v>3479</v>
      </c>
      <c r="B329" s="24">
        <v>46183</v>
      </c>
      <c r="C329" s="27" t="s">
        <v>5797</v>
      </c>
      <c r="D329" s="27" t="s">
        <v>3219</v>
      </c>
      <c r="E329" t="s">
        <v>744</v>
      </c>
      <c r="F329" t="s">
        <v>104</v>
      </c>
      <c r="H329" t="s">
        <v>5762</v>
      </c>
    </row>
    <row r="330" spans="1:8">
      <c r="A330" t="s">
        <v>3480</v>
      </c>
      <c r="B330" s="24">
        <v>46184</v>
      </c>
      <c r="C330" s="27" t="s">
        <v>5797</v>
      </c>
      <c r="D330" s="27" t="s">
        <v>3219</v>
      </c>
      <c r="E330" t="s">
        <v>745</v>
      </c>
      <c r="F330" t="s">
        <v>104</v>
      </c>
      <c r="H330" t="s">
        <v>5762</v>
      </c>
    </row>
    <row r="331" spans="1:8">
      <c r="A331" t="s">
        <v>3481</v>
      </c>
      <c r="B331" s="24">
        <v>46185</v>
      </c>
      <c r="C331" s="27" t="s">
        <v>5797</v>
      </c>
      <c r="D331" s="27" t="s">
        <v>3219</v>
      </c>
      <c r="E331" t="s">
        <v>746</v>
      </c>
      <c r="F331" t="s">
        <v>104</v>
      </c>
      <c r="H331" t="s">
        <v>5762</v>
      </c>
    </row>
    <row r="332" spans="1:8">
      <c r="A332" t="s">
        <v>3482</v>
      </c>
      <c r="B332" s="24">
        <v>46174</v>
      </c>
      <c r="C332" s="27" t="s">
        <v>5797</v>
      </c>
      <c r="D332" s="27" t="s">
        <v>3219</v>
      </c>
      <c r="E332" t="s">
        <v>747</v>
      </c>
      <c r="F332" t="s">
        <v>104</v>
      </c>
      <c r="H332" t="s">
        <v>5762</v>
      </c>
    </row>
    <row r="333" spans="1:8">
      <c r="A333" t="s">
        <v>3483</v>
      </c>
      <c r="B333" s="24">
        <v>46175</v>
      </c>
      <c r="C333" s="27" t="s">
        <v>5797</v>
      </c>
      <c r="D333" s="27" t="s">
        <v>3219</v>
      </c>
      <c r="E333" t="s">
        <v>748</v>
      </c>
      <c r="F333" t="s">
        <v>104</v>
      </c>
      <c r="H333" t="s">
        <v>5762</v>
      </c>
    </row>
    <row r="334" spans="1:8">
      <c r="A334" t="s">
        <v>3484</v>
      </c>
      <c r="B334" s="24">
        <v>46176</v>
      </c>
      <c r="C334" s="27" t="s">
        <v>5797</v>
      </c>
      <c r="D334" s="27" t="s">
        <v>3219</v>
      </c>
      <c r="E334" t="s">
        <v>749</v>
      </c>
      <c r="F334" t="s">
        <v>104</v>
      </c>
      <c r="H334" t="s">
        <v>5762</v>
      </c>
    </row>
    <row r="335" spans="1:8">
      <c r="A335" t="s">
        <v>3485</v>
      </c>
      <c r="B335" s="24">
        <v>46177</v>
      </c>
      <c r="C335" s="27" t="s">
        <v>5797</v>
      </c>
      <c r="D335" s="27" t="s">
        <v>3219</v>
      </c>
      <c r="E335" t="s">
        <v>750</v>
      </c>
      <c r="F335" t="s">
        <v>104</v>
      </c>
      <c r="H335" t="s">
        <v>5762</v>
      </c>
    </row>
    <row r="336" spans="1:8">
      <c r="A336" t="s">
        <v>3486</v>
      </c>
      <c r="B336" s="24">
        <v>46178</v>
      </c>
      <c r="C336" s="27" t="s">
        <v>5797</v>
      </c>
      <c r="D336" s="27" t="s">
        <v>3219</v>
      </c>
      <c r="E336" t="s">
        <v>751</v>
      </c>
      <c r="F336" t="s">
        <v>104</v>
      </c>
      <c r="H336" t="s">
        <v>5762</v>
      </c>
    </row>
    <row r="337" spans="1:8">
      <c r="A337" t="s">
        <v>3487</v>
      </c>
      <c r="B337" s="24">
        <v>46181</v>
      </c>
      <c r="C337" s="27" t="s">
        <v>5797</v>
      </c>
      <c r="D337" s="27" t="s">
        <v>3219</v>
      </c>
      <c r="E337" t="s">
        <v>752</v>
      </c>
      <c r="F337" t="s">
        <v>104</v>
      </c>
      <c r="H337" t="s">
        <v>5762</v>
      </c>
    </row>
    <row r="338" spans="1:8">
      <c r="A338" t="s">
        <v>3488</v>
      </c>
      <c r="B338" s="24">
        <v>46182</v>
      </c>
      <c r="C338" s="27" t="s">
        <v>5797</v>
      </c>
      <c r="D338" s="27" t="s">
        <v>3219</v>
      </c>
      <c r="E338" t="s">
        <v>753</v>
      </c>
      <c r="F338" t="s">
        <v>104</v>
      </c>
      <c r="H338" t="s">
        <v>5762</v>
      </c>
    </row>
    <row r="339" spans="1:8">
      <c r="A339" t="s">
        <v>3489</v>
      </c>
      <c r="B339" s="24">
        <v>46183</v>
      </c>
      <c r="C339" s="27" t="s">
        <v>5797</v>
      </c>
      <c r="D339" s="27" t="s">
        <v>3219</v>
      </c>
      <c r="E339" t="s">
        <v>754</v>
      </c>
      <c r="F339" t="s">
        <v>104</v>
      </c>
      <c r="H339" t="s">
        <v>5762</v>
      </c>
    </row>
    <row r="340" spans="1:8">
      <c r="A340" t="s">
        <v>3490</v>
      </c>
      <c r="B340" s="24">
        <v>46184</v>
      </c>
      <c r="C340" s="27" t="s">
        <v>5797</v>
      </c>
      <c r="D340" s="27" t="s">
        <v>3219</v>
      </c>
      <c r="E340" t="s">
        <v>755</v>
      </c>
      <c r="F340" t="s">
        <v>104</v>
      </c>
      <c r="H340" t="s">
        <v>5762</v>
      </c>
    </row>
    <row r="341" spans="1:8">
      <c r="A341" t="s">
        <v>3491</v>
      </c>
      <c r="B341" s="24">
        <v>46185</v>
      </c>
      <c r="C341" s="27" t="s">
        <v>5797</v>
      </c>
      <c r="D341" s="27" t="s">
        <v>3219</v>
      </c>
      <c r="E341" t="s">
        <v>756</v>
      </c>
      <c r="F341" t="s">
        <v>104</v>
      </c>
      <c r="H341" t="s">
        <v>5762</v>
      </c>
    </row>
    <row r="342" spans="1:8">
      <c r="A342" t="s">
        <v>3492</v>
      </c>
      <c r="B342" s="24">
        <v>46174</v>
      </c>
      <c r="C342" s="27" t="s">
        <v>5797</v>
      </c>
      <c r="D342" s="27" t="s">
        <v>3219</v>
      </c>
      <c r="E342" t="s">
        <v>757</v>
      </c>
      <c r="F342" t="s">
        <v>104</v>
      </c>
      <c r="H342" t="s">
        <v>5762</v>
      </c>
    </row>
    <row r="343" spans="1:8">
      <c r="A343" t="s">
        <v>3493</v>
      </c>
      <c r="B343" s="24">
        <v>46175</v>
      </c>
      <c r="C343" s="27" t="s">
        <v>5797</v>
      </c>
      <c r="D343" s="27" t="s">
        <v>3219</v>
      </c>
      <c r="E343" t="s">
        <v>758</v>
      </c>
      <c r="F343" t="s">
        <v>104</v>
      </c>
      <c r="H343" t="s">
        <v>5762</v>
      </c>
    </row>
    <row r="344" spans="1:8">
      <c r="A344" t="s">
        <v>3494</v>
      </c>
      <c r="B344" s="24">
        <v>46176</v>
      </c>
      <c r="C344" s="27" t="s">
        <v>5797</v>
      </c>
      <c r="D344" s="27" t="s">
        <v>3219</v>
      </c>
      <c r="E344" t="s">
        <v>759</v>
      </c>
      <c r="F344" t="s">
        <v>104</v>
      </c>
      <c r="H344" t="s">
        <v>5762</v>
      </c>
    </row>
    <row r="345" spans="1:8">
      <c r="A345" t="s">
        <v>3495</v>
      </c>
      <c r="B345" s="24">
        <v>46177</v>
      </c>
      <c r="C345" s="27" t="s">
        <v>5797</v>
      </c>
      <c r="D345" s="27" t="s">
        <v>3219</v>
      </c>
      <c r="E345" t="s">
        <v>760</v>
      </c>
      <c r="F345" t="s">
        <v>104</v>
      </c>
      <c r="H345" t="s">
        <v>5762</v>
      </c>
    </row>
    <row r="346" spans="1:8">
      <c r="A346" t="s">
        <v>3496</v>
      </c>
      <c r="B346" s="24">
        <v>46178</v>
      </c>
      <c r="C346" s="27" t="s">
        <v>5797</v>
      </c>
      <c r="D346" s="27" t="s">
        <v>3219</v>
      </c>
      <c r="E346" t="s">
        <v>761</v>
      </c>
      <c r="F346" t="s">
        <v>104</v>
      </c>
      <c r="H346" t="s">
        <v>5762</v>
      </c>
    </row>
    <row r="347" spans="1:8">
      <c r="A347" t="s">
        <v>3497</v>
      </c>
      <c r="B347" s="24">
        <v>46181</v>
      </c>
      <c r="C347" s="27" t="s">
        <v>5797</v>
      </c>
      <c r="D347" s="27" t="s">
        <v>3219</v>
      </c>
      <c r="E347" t="s">
        <v>762</v>
      </c>
      <c r="F347" t="s">
        <v>104</v>
      </c>
      <c r="H347" t="s">
        <v>5762</v>
      </c>
    </row>
    <row r="348" spans="1:8">
      <c r="A348" t="s">
        <v>3498</v>
      </c>
      <c r="B348" s="24">
        <v>46182</v>
      </c>
      <c r="C348" s="27" t="s">
        <v>5797</v>
      </c>
      <c r="D348" s="27" t="s">
        <v>3219</v>
      </c>
      <c r="E348" t="s">
        <v>763</v>
      </c>
      <c r="F348" t="s">
        <v>104</v>
      </c>
      <c r="H348" t="s">
        <v>5762</v>
      </c>
    </row>
    <row r="349" spans="1:8">
      <c r="A349" t="s">
        <v>3499</v>
      </c>
      <c r="B349" s="24">
        <v>46183</v>
      </c>
      <c r="C349" s="27" t="s">
        <v>5797</v>
      </c>
      <c r="D349" s="27" t="s">
        <v>3219</v>
      </c>
      <c r="E349" t="s">
        <v>764</v>
      </c>
      <c r="F349" t="s">
        <v>104</v>
      </c>
      <c r="H349" t="s">
        <v>5762</v>
      </c>
    </row>
    <row r="350" spans="1:8">
      <c r="A350" t="s">
        <v>3500</v>
      </c>
      <c r="B350" s="24">
        <v>46184</v>
      </c>
      <c r="C350" s="27" t="s">
        <v>5797</v>
      </c>
      <c r="D350" s="27" t="s">
        <v>3219</v>
      </c>
      <c r="E350" t="s">
        <v>765</v>
      </c>
      <c r="F350" t="s">
        <v>104</v>
      </c>
      <c r="H350" t="s">
        <v>5762</v>
      </c>
    </row>
    <row r="351" spans="1:8">
      <c r="A351" t="s">
        <v>3501</v>
      </c>
      <c r="B351" s="24">
        <v>46185</v>
      </c>
      <c r="C351" s="27" t="s">
        <v>5797</v>
      </c>
      <c r="D351" s="27" t="s">
        <v>3219</v>
      </c>
      <c r="E351" t="s">
        <v>766</v>
      </c>
      <c r="F351" t="s">
        <v>104</v>
      </c>
      <c r="H351" t="s">
        <v>5762</v>
      </c>
    </row>
    <row r="352" spans="1:8">
      <c r="A352" t="s">
        <v>3502</v>
      </c>
      <c r="B352" s="24">
        <v>46174</v>
      </c>
      <c r="C352" s="27" t="s">
        <v>5797</v>
      </c>
      <c r="D352" s="27" t="s">
        <v>3219</v>
      </c>
      <c r="E352" t="s">
        <v>767</v>
      </c>
      <c r="F352" t="s">
        <v>104</v>
      </c>
      <c r="H352" t="s">
        <v>5762</v>
      </c>
    </row>
    <row r="353" spans="1:8">
      <c r="A353" t="s">
        <v>3503</v>
      </c>
      <c r="B353" s="24">
        <v>46175</v>
      </c>
      <c r="C353" s="27" t="s">
        <v>5797</v>
      </c>
      <c r="D353" s="27" t="s">
        <v>3219</v>
      </c>
      <c r="E353" t="s">
        <v>768</v>
      </c>
      <c r="F353" t="s">
        <v>104</v>
      </c>
      <c r="H353" t="s">
        <v>5762</v>
      </c>
    </row>
    <row r="354" spans="1:8">
      <c r="A354" t="s">
        <v>3504</v>
      </c>
      <c r="B354" s="24">
        <v>46176</v>
      </c>
      <c r="C354" s="27" t="s">
        <v>5797</v>
      </c>
      <c r="D354" s="27" t="s">
        <v>3219</v>
      </c>
      <c r="E354" t="s">
        <v>769</v>
      </c>
      <c r="F354" t="s">
        <v>104</v>
      </c>
      <c r="H354" t="s">
        <v>5762</v>
      </c>
    </row>
    <row r="355" spans="1:8">
      <c r="A355" t="s">
        <v>3505</v>
      </c>
      <c r="B355" s="24">
        <v>46177</v>
      </c>
      <c r="C355" s="27" t="s">
        <v>5797</v>
      </c>
      <c r="D355" s="27" t="s">
        <v>3219</v>
      </c>
      <c r="E355" t="s">
        <v>770</v>
      </c>
      <c r="F355" t="s">
        <v>104</v>
      </c>
      <c r="H355" t="s">
        <v>5762</v>
      </c>
    </row>
    <row r="356" spans="1:8">
      <c r="A356" t="s">
        <v>3506</v>
      </c>
      <c r="B356" s="24">
        <v>46178</v>
      </c>
      <c r="C356" s="27" t="s">
        <v>5797</v>
      </c>
      <c r="D356" s="27" t="s">
        <v>3219</v>
      </c>
      <c r="E356" t="s">
        <v>771</v>
      </c>
      <c r="F356" t="s">
        <v>104</v>
      </c>
      <c r="H356" t="s">
        <v>5762</v>
      </c>
    </row>
    <row r="357" spans="1:8">
      <c r="A357" t="s">
        <v>3507</v>
      </c>
      <c r="B357" s="24">
        <v>46181</v>
      </c>
      <c r="C357" s="27" t="s">
        <v>5797</v>
      </c>
      <c r="D357" s="27" t="s">
        <v>3219</v>
      </c>
      <c r="E357" t="s">
        <v>772</v>
      </c>
      <c r="F357" t="s">
        <v>104</v>
      </c>
      <c r="H357" t="s">
        <v>5762</v>
      </c>
    </row>
    <row r="358" spans="1:8">
      <c r="A358" t="s">
        <v>3508</v>
      </c>
      <c r="B358" s="24">
        <v>46182</v>
      </c>
      <c r="C358" s="27" t="s">
        <v>5797</v>
      </c>
      <c r="D358" s="27" t="s">
        <v>3219</v>
      </c>
      <c r="E358" t="s">
        <v>773</v>
      </c>
      <c r="F358" t="s">
        <v>104</v>
      </c>
      <c r="H358" t="s">
        <v>5762</v>
      </c>
    </row>
    <row r="359" spans="1:8">
      <c r="A359" t="s">
        <v>3509</v>
      </c>
      <c r="B359" s="24">
        <v>46183</v>
      </c>
      <c r="C359" s="27" t="s">
        <v>5797</v>
      </c>
      <c r="D359" s="27" t="s">
        <v>3219</v>
      </c>
      <c r="E359" t="s">
        <v>774</v>
      </c>
      <c r="F359" t="s">
        <v>104</v>
      </c>
      <c r="H359" t="s">
        <v>5762</v>
      </c>
    </row>
    <row r="360" spans="1:8">
      <c r="A360" t="s">
        <v>3510</v>
      </c>
      <c r="B360" s="24">
        <v>46184</v>
      </c>
      <c r="C360" s="27" t="s">
        <v>5797</v>
      </c>
      <c r="D360" s="27" t="s">
        <v>3219</v>
      </c>
      <c r="E360" t="s">
        <v>775</v>
      </c>
      <c r="F360" t="s">
        <v>104</v>
      </c>
      <c r="H360" t="s">
        <v>5762</v>
      </c>
    </row>
    <row r="361" spans="1:8">
      <c r="A361" t="s">
        <v>3511</v>
      </c>
      <c r="B361" s="24">
        <v>46185</v>
      </c>
      <c r="C361" s="27" t="s">
        <v>5797</v>
      </c>
      <c r="D361" s="27" t="s">
        <v>3219</v>
      </c>
      <c r="E361" t="s">
        <v>776</v>
      </c>
      <c r="F361" t="s">
        <v>104</v>
      </c>
      <c r="H361" t="s">
        <v>5762</v>
      </c>
    </row>
    <row r="362" spans="1:8">
      <c r="A362" t="s">
        <v>3512</v>
      </c>
      <c r="B362" s="24">
        <v>46174</v>
      </c>
      <c r="C362" s="27" t="s">
        <v>5797</v>
      </c>
      <c r="D362" s="27" t="s">
        <v>3219</v>
      </c>
      <c r="E362" t="s">
        <v>777</v>
      </c>
      <c r="F362" t="s">
        <v>104</v>
      </c>
      <c r="H362" t="s">
        <v>5762</v>
      </c>
    </row>
    <row r="363" spans="1:8">
      <c r="A363" t="s">
        <v>3513</v>
      </c>
      <c r="B363" s="24">
        <v>46175</v>
      </c>
      <c r="C363" s="27" t="s">
        <v>5797</v>
      </c>
      <c r="D363" s="27" t="s">
        <v>3219</v>
      </c>
      <c r="E363" t="s">
        <v>778</v>
      </c>
      <c r="F363" t="s">
        <v>104</v>
      </c>
      <c r="H363" t="s">
        <v>5762</v>
      </c>
    </row>
    <row r="364" spans="1:8">
      <c r="A364" t="s">
        <v>3514</v>
      </c>
      <c r="B364" s="24">
        <v>46176</v>
      </c>
      <c r="C364" s="27" t="s">
        <v>5797</v>
      </c>
      <c r="D364" s="27" t="s">
        <v>3219</v>
      </c>
      <c r="E364" t="s">
        <v>779</v>
      </c>
      <c r="F364" t="s">
        <v>104</v>
      </c>
      <c r="H364" t="s">
        <v>5762</v>
      </c>
    </row>
    <row r="365" spans="1:8">
      <c r="A365" t="s">
        <v>3515</v>
      </c>
      <c r="B365" s="24">
        <v>46177</v>
      </c>
      <c r="C365" s="27" t="s">
        <v>5797</v>
      </c>
      <c r="D365" s="27" t="s">
        <v>3219</v>
      </c>
      <c r="E365" t="s">
        <v>780</v>
      </c>
      <c r="F365" t="s">
        <v>104</v>
      </c>
      <c r="H365" t="s">
        <v>5762</v>
      </c>
    </row>
    <row r="366" spans="1:8">
      <c r="A366" t="s">
        <v>3516</v>
      </c>
      <c r="B366" s="24">
        <v>46178</v>
      </c>
      <c r="C366" s="27" t="s">
        <v>5797</v>
      </c>
      <c r="D366" s="27" t="s">
        <v>3219</v>
      </c>
      <c r="E366" t="s">
        <v>781</v>
      </c>
      <c r="F366" t="s">
        <v>104</v>
      </c>
      <c r="H366" t="s">
        <v>5762</v>
      </c>
    </row>
    <row r="367" spans="1:8">
      <c r="A367" t="s">
        <v>3517</v>
      </c>
      <c r="B367" s="24">
        <v>46181</v>
      </c>
      <c r="C367" s="27" t="s">
        <v>5797</v>
      </c>
      <c r="D367" s="27" t="s">
        <v>3219</v>
      </c>
      <c r="E367" t="s">
        <v>782</v>
      </c>
      <c r="F367" t="s">
        <v>104</v>
      </c>
      <c r="H367" t="s">
        <v>5762</v>
      </c>
    </row>
    <row r="368" spans="1:8">
      <c r="A368" t="s">
        <v>3518</v>
      </c>
      <c r="B368" s="24">
        <v>46182</v>
      </c>
      <c r="C368" s="27" t="s">
        <v>5797</v>
      </c>
      <c r="D368" s="27" t="s">
        <v>3219</v>
      </c>
      <c r="E368" t="s">
        <v>783</v>
      </c>
      <c r="F368" t="s">
        <v>104</v>
      </c>
      <c r="H368" t="s">
        <v>5762</v>
      </c>
    </row>
    <row r="369" spans="1:8">
      <c r="A369" t="s">
        <v>3519</v>
      </c>
      <c r="B369" s="24">
        <v>46183</v>
      </c>
      <c r="C369" s="27" t="s">
        <v>5797</v>
      </c>
      <c r="D369" s="27" t="s">
        <v>3219</v>
      </c>
      <c r="E369" t="s">
        <v>784</v>
      </c>
      <c r="F369" t="s">
        <v>104</v>
      </c>
      <c r="H369" t="s">
        <v>5762</v>
      </c>
    </row>
    <row r="370" spans="1:8">
      <c r="A370" t="s">
        <v>3520</v>
      </c>
      <c r="B370" s="24">
        <v>46184</v>
      </c>
      <c r="C370" s="27" t="s">
        <v>5797</v>
      </c>
      <c r="D370" s="27" t="s">
        <v>3219</v>
      </c>
      <c r="E370" t="s">
        <v>785</v>
      </c>
      <c r="F370" t="s">
        <v>104</v>
      </c>
      <c r="H370" t="s">
        <v>5762</v>
      </c>
    </row>
    <row r="371" spans="1:8">
      <c r="A371" t="s">
        <v>3521</v>
      </c>
      <c r="B371" s="24">
        <v>46185</v>
      </c>
      <c r="C371" s="27" t="s">
        <v>5797</v>
      </c>
      <c r="D371" s="27" t="s">
        <v>3219</v>
      </c>
      <c r="E371" t="s">
        <v>786</v>
      </c>
      <c r="F371" t="s">
        <v>104</v>
      </c>
      <c r="H371" t="s">
        <v>5762</v>
      </c>
    </row>
    <row r="372" spans="1:8">
      <c r="A372" t="s">
        <v>3522</v>
      </c>
      <c r="B372" s="24">
        <v>46174</v>
      </c>
      <c r="C372" s="27" t="s">
        <v>5797</v>
      </c>
      <c r="D372" s="27" t="s">
        <v>3219</v>
      </c>
      <c r="E372" t="s">
        <v>787</v>
      </c>
      <c r="F372" t="s">
        <v>104</v>
      </c>
      <c r="H372" t="s">
        <v>5762</v>
      </c>
    </row>
    <row r="373" spans="1:8">
      <c r="A373" t="s">
        <v>3523</v>
      </c>
      <c r="B373" s="24">
        <v>46175</v>
      </c>
      <c r="C373" s="27" t="s">
        <v>5797</v>
      </c>
      <c r="D373" s="27" t="s">
        <v>3219</v>
      </c>
      <c r="E373" t="s">
        <v>788</v>
      </c>
      <c r="F373" t="s">
        <v>104</v>
      </c>
      <c r="H373" t="s">
        <v>5762</v>
      </c>
    </row>
    <row r="374" spans="1:8">
      <c r="A374" t="s">
        <v>3524</v>
      </c>
      <c r="B374" s="24">
        <v>46176</v>
      </c>
      <c r="C374" s="27" t="s">
        <v>5797</v>
      </c>
      <c r="D374" s="27" t="s">
        <v>3219</v>
      </c>
      <c r="E374" t="s">
        <v>789</v>
      </c>
      <c r="F374" t="s">
        <v>104</v>
      </c>
      <c r="H374" t="s">
        <v>5762</v>
      </c>
    </row>
    <row r="375" spans="1:8">
      <c r="A375" t="s">
        <v>3525</v>
      </c>
      <c r="B375" s="24">
        <v>46177</v>
      </c>
      <c r="C375" s="27" t="s">
        <v>5797</v>
      </c>
      <c r="D375" s="27" t="s">
        <v>3219</v>
      </c>
      <c r="E375" t="s">
        <v>790</v>
      </c>
      <c r="F375" t="s">
        <v>104</v>
      </c>
      <c r="H375" t="s">
        <v>5762</v>
      </c>
    </row>
    <row r="376" spans="1:8">
      <c r="A376" t="s">
        <v>3526</v>
      </c>
      <c r="B376" s="24">
        <v>46178</v>
      </c>
      <c r="C376" s="27" t="s">
        <v>5797</v>
      </c>
      <c r="D376" s="27" t="s">
        <v>3219</v>
      </c>
      <c r="E376" t="s">
        <v>791</v>
      </c>
      <c r="F376" t="s">
        <v>104</v>
      </c>
      <c r="H376" t="s">
        <v>5762</v>
      </c>
    </row>
    <row r="377" spans="1:8">
      <c r="A377" t="s">
        <v>3527</v>
      </c>
      <c r="B377" s="24">
        <v>46181</v>
      </c>
      <c r="C377" s="27" t="s">
        <v>5797</v>
      </c>
      <c r="D377" s="27" t="s">
        <v>3219</v>
      </c>
      <c r="E377" t="s">
        <v>792</v>
      </c>
      <c r="F377" t="s">
        <v>104</v>
      </c>
      <c r="H377" t="s">
        <v>5762</v>
      </c>
    </row>
    <row r="378" spans="1:8">
      <c r="A378" t="s">
        <v>3528</v>
      </c>
      <c r="B378" s="24">
        <v>46182</v>
      </c>
      <c r="C378" s="27" t="s">
        <v>5797</v>
      </c>
      <c r="D378" s="27" t="s">
        <v>3219</v>
      </c>
      <c r="E378" t="s">
        <v>793</v>
      </c>
      <c r="F378" t="s">
        <v>104</v>
      </c>
      <c r="H378" t="s">
        <v>5762</v>
      </c>
    </row>
    <row r="379" spans="1:8">
      <c r="A379" t="s">
        <v>3529</v>
      </c>
      <c r="B379" s="24">
        <v>46183</v>
      </c>
      <c r="C379" s="27" t="s">
        <v>5797</v>
      </c>
      <c r="D379" s="27" t="s">
        <v>3219</v>
      </c>
      <c r="E379" t="s">
        <v>794</v>
      </c>
      <c r="F379" t="s">
        <v>104</v>
      </c>
      <c r="H379" t="s">
        <v>5762</v>
      </c>
    </row>
    <row r="380" spans="1:8">
      <c r="A380" t="s">
        <v>3530</v>
      </c>
      <c r="B380" s="24">
        <v>46184</v>
      </c>
      <c r="C380" s="27" t="s">
        <v>5797</v>
      </c>
      <c r="D380" s="27" t="s">
        <v>3219</v>
      </c>
      <c r="E380" t="s">
        <v>795</v>
      </c>
      <c r="F380" t="s">
        <v>104</v>
      </c>
      <c r="H380" t="s">
        <v>5762</v>
      </c>
    </row>
    <row r="381" spans="1:8">
      <c r="A381" t="s">
        <v>3531</v>
      </c>
      <c r="B381" s="24">
        <v>46185</v>
      </c>
      <c r="C381" s="27" t="s">
        <v>5797</v>
      </c>
      <c r="D381" s="27" t="s">
        <v>3219</v>
      </c>
      <c r="E381" t="s">
        <v>796</v>
      </c>
      <c r="F381" t="s">
        <v>104</v>
      </c>
      <c r="H381" t="s">
        <v>5762</v>
      </c>
    </row>
    <row r="382" spans="1:8">
      <c r="A382" t="s">
        <v>3532</v>
      </c>
      <c r="B382" s="24">
        <v>46174</v>
      </c>
      <c r="C382" s="27" t="s">
        <v>5797</v>
      </c>
      <c r="D382" s="27" t="s">
        <v>3219</v>
      </c>
      <c r="E382" t="s">
        <v>797</v>
      </c>
      <c r="F382" t="s">
        <v>104</v>
      </c>
      <c r="H382" t="s">
        <v>5762</v>
      </c>
    </row>
    <row r="383" spans="1:8">
      <c r="A383" t="s">
        <v>3533</v>
      </c>
      <c r="B383" s="24">
        <v>46175</v>
      </c>
      <c r="C383" s="27" t="s">
        <v>5797</v>
      </c>
      <c r="D383" s="27" t="s">
        <v>3219</v>
      </c>
      <c r="E383" t="s">
        <v>798</v>
      </c>
      <c r="F383" t="s">
        <v>104</v>
      </c>
      <c r="H383" t="s">
        <v>5762</v>
      </c>
    </row>
    <row r="384" spans="1:8">
      <c r="A384" t="s">
        <v>3534</v>
      </c>
      <c r="B384" s="24">
        <v>46176</v>
      </c>
      <c r="C384" s="27" t="s">
        <v>5797</v>
      </c>
      <c r="D384" s="27" t="s">
        <v>3219</v>
      </c>
      <c r="E384" t="s">
        <v>799</v>
      </c>
      <c r="F384" t="s">
        <v>104</v>
      </c>
      <c r="H384" t="s">
        <v>5762</v>
      </c>
    </row>
    <row r="385" spans="1:8">
      <c r="A385" t="s">
        <v>3535</v>
      </c>
      <c r="B385" s="24">
        <v>46177</v>
      </c>
      <c r="C385" s="27" t="s">
        <v>5797</v>
      </c>
      <c r="D385" s="27" t="s">
        <v>3219</v>
      </c>
      <c r="E385" t="s">
        <v>800</v>
      </c>
      <c r="F385" t="s">
        <v>104</v>
      </c>
      <c r="H385" t="s">
        <v>5762</v>
      </c>
    </row>
    <row r="386" spans="1:8">
      <c r="A386" t="s">
        <v>3536</v>
      </c>
      <c r="B386" s="24">
        <v>46178</v>
      </c>
      <c r="C386" s="27" t="s">
        <v>5797</v>
      </c>
      <c r="D386" s="27" t="s">
        <v>3219</v>
      </c>
      <c r="E386" t="s">
        <v>801</v>
      </c>
      <c r="F386" t="s">
        <v>104</v>
      </c>
      <c r="H386" t="s">
        <v>5762</v>
      </c>
    </row>
    <row r="387" spans="1:8">
      <c r="A387" t="s">
        <v>3537</v>
      </c>
      <c r="B387" s="24">
        <v>46181</v>
      </c>
      <c r="C387" s="27" t="s">
        <v>5797</v>
      </c>
      <c r="D387" s="27" t="s">
        <v>3219</v>
      </c>
      <c r="E387" t="s">
        <v>802</v>
      </c>
      <c r="F387" t="s">
        <v>104</v>
      </c>
      <c r="H387" t="s">
        <v>5762</v>
      </c>
    </row>
    <row r="388" spans="1:8">
      <c r="A388" t="s">
        <v>3538</v>
      </c>
      <c r="B388" s="24">
        <v>46182</v>
      </c>
      <c r="C388" s="27" t="s">
        <v>5797</v>
      </c>
      <c r="D388" s="27" t="s">
        <v>3219</v>
      </c>
      <c r="E388" t="s">
        <v>803</v>
      </c>
      <c r="F388" t="s">
        <v>104</v>
      </c>
      <c r="H388" t="s">
        <v>5762</v>
      </c>
    </row>
    <row r="389" spans="1:8">
      <c r="A389" t="s">
        <v>3539</v>
      </c>
      <c r="B389" s="24">
        <v>46183</v>
      </c>
      <c r="C389" s="27" t="s">
        <v>5797</v>
      </c>
      <c r="D389" s="27" t="s">
        <v>3219</v>
      </c>
      <c r="E389" t="s">
        <v>804</v>
      </c>
      <c r="F389" t="s">
        <v>104</v>
      </c>
      <c r="H389" t="s">
        <v>5762</v>
      </c>
    </row>
    <row r="390" spans="1:8">
      <c r="A390" t="s">
        <v>3540</v>
      </c>
      <c r="B390" s="24">
        <v>46184</v>
      </c>
      <c r="C390" s="27" t="s">
        <v>5797</v>
      </c>
      <c r="D390" s="27" t="s">
        <v>3219</v>
      </c>
      <c r="E390" t="s">
        <v>805</v>
      </c>
      <c r="F390" t="s">
        <v>104</v>
      </c>
      <c r="H390" t="s">
        <v>5762</v>
      </c>
    </row>
    <row r="391" spans="1:8">
      <c r="A391" t="s">
        <v>3541</v>
      </c>
      <c r="B391" s="24">
        <v>46185</v>
      </c>
      <c r="C391" s="27" t="s">
        <v>5797</v>
      </c>
      <c r="D391" s="27" t="s">
        <v>3219</v>
      </c>
      <c r="E391" t="s">
        <v>806</v>
      </c>
      <c r="F391" t="s">
        <v>104</v>
      </c>
      <c r="H391" t="s">
        <v>5762</v>
      </c>
    </row>
    <row r="392" spans="1:8">
      <c r="A392" t="s">
        <v>3542</v>
      </c>
      <c r="B392" s="24">
        <v>46174</v>
      </c>
      <c r="C392" s="27" t="s">
        <v>5797</v>
      </c>
      <c r="D392" s="27" t="s">
        <v>3219</v>
      </c>
      <c r="E392" t="s">
        <v>807</v>
      </c>
      <c r="F392" t="s">
        <v>104</v>
      </c>
      <c r="H392" t="s">
        <v>5762</v>
      </c>
    </row>
    <row r="393" spans="1:8">
      <c r="A393" t="s">
        <v>3543</v>
      </c>
      <c r="B393" s="24">
        <v>46175</v>
      </c>
      <c r="C393" s="27" t="s">
        <v>5797</v>
      </c>
      <c r="D393" s="27" t="s">
        <v>3219</v>
      </c>
      <c r="E393" t="s">
        <v>808</v>
      </c>
      <c r="F393" t="s">
        <v>104</v>
      </c>
      <c r="H393" t="s">
        <v>5762</v>
      </c>
    </row>
    <row r="394" spans="1:8">
      <c r="A394" t="s">
        <v>3544</v>
      </c>
      <c r="B394" s="24">
        <v>46176</v>
      </c>
      <c r="C394" s="27" t="s">
        <v>5797</v>
      </c>
      <c r="D394" s="27" t="s">
        <v>3219</v>
      </c>
      <c r="E394" t="s">
        <v>809</v>
      </c>
      <c r="F394" t="s">
        <v>104</v>
      </c>
      <c r="H394" t="s">
        <v>5762</v>
      </c>
    </row>
    <row r="395" spans="1:8">
      <c r="A395" t="s">
        <v>3545</v>
      </c>
      <c r="B395" s="24">
        <v>46177</v>
      </c>
      <c r="C395" s="27" t="s">
        <v>5797</v>
      </c>
      <c r="D395" s="27" t="s">
        <v>3219</v>
      </c>
      <c r="E395" t="s">
        <v>810</v>
      </c>
      <c r="F395" t="s">
        <v>104</v>
      </c>
      <c r="H395" t="s">
        <v>5762</v>
      </c>
    </row>
    <row r="396" spans="1:8">
      <c r="A396" t="s">
        <v>3546</v>
      </c>
      <c r="B396" s="24">
        <v>46178</v>
      </c>
      <c r="C396" s="27" t="s">
        <v>5797</v>
      </c>
      <c r="D396" s="27" t="s">
        <v>3219</v>
      </c>
      <c r="E396" t="s">
        <v>811</v>
      </c>
      <c r="F396" t="s">
        <v>104</v>
      </c>
      <c r="H396" t="s">
        <v>5762</v>
      </c>
    </row>
    <row r="397" spans="1:8">
      <c r="A397" t="s">
        <v>3547</v>
      </c>
      <c r="B397" s="24">
        <v>46181</v>
      </c>
      <c r="C397" s="27" t="s">
        <v>5797</v>
      </c>
      <c r="D397" s="27" t="s">
        <v>3219</v>
      </c>
      <c r="E397" t="s">
        <v>812</v>
      </c>
      <c r="F397" t="s">
        <v>104</v>
      </c>
      <c r="H397" t="s">
        <v>5762</v>
      </c>
    </row>
    <row r="398" spans="1:8">
      <c r="A398" t="s">
        <v>3548</v>
      </c>
      <c r="B398" s="24">
        <v>46182</v>
      </c>
      <c r="C398" s="27" t="s">
        <v>5797</v>
      </c>
      <c r="D398" s="27" t="s">
        <v>3219</v>
      </c>
      <c r="E398" t="s">
        <v>813</v>
      </c>
      <c r="F398" t="s">
        <v>104</v>
      </c>
      <c r="H398" t="s">
        <v>5762</v>
      </c>
    </row>
    <row r="399" spans="1:8">
      <c r="A399" t="s">
        <v>3549</v>
      </c>
      <c r="B399" s="24">
        <v>46183</v>
      </c>
      <c r="C399" s="27" t="s">
        <v>5797</v>
      </c>
      <c r="D399" s="27" t="s">
        <v>3219</v>
      </c>
      <c r="E399" t="s">
        <v>814</v>
      </c>
      <c r="F399" t="s">
        <v>104</v>
      </c>
      <c r="H399" t="s">
        <v>5762</v>
      </c>
    </row>
    <row r="400" spans="1:8">
      <c r="A400" t="s">
        <v>3550</v>
      </c>
      <c r="B400" s="24">
        <v>46184</v>
      </c>
      <c r="C400" s="27" t="s">
        <v>5797</v>
      </c>
      <c r="D400" s="27" t="s">
        <v>3219</v>
      </c>
      <c r="E400" t="s">
        <v>815</v>
      </c>
      <c r="F400" t="s">
        <v>104</v>
      </c>
      <c r="H400" t="s">
        <v>5762</v>
      </c>
    </row>
    <row r="401" spans="1:8">
      <c r="A401" t="s">
        <v>3551</v>
      </c>
      <c r="B401" s="24">
        <v>46185</v>
      </c>
      <c r="C401" s="27" t="s">
        <v>5797</v>
      </c>
      <c r="D401" s="27" t="s">
        <v>3219</v>
      </c>
      <c r="E401" t="s">
        <v>816</v>
      </c>
      <c r="F401" t="s">
        <v>104</v>
      </c>
      <c r="H401" t="s">
        <v>5762</v>
      </c>
    </row>
    <row r="402" spans="1:8">
      <c r="A402" t="s">
        <v>3552</v>
      </c>
      <c r="B402" s="24">
        <v>46174</v>
      </c>
      <c r="C402" s="27" t="s">
        <v>5797</v>
      </c>
      <c r="D402" s="27" t="s">
        <v>3219</v>
      </c>
      <c r="E402" t="s">
        <v>817</v>
      </c>
      <c r="F402" t="s">
        <v>104</v>
      </c>
      <c r="H402" t="s">
        <v>5762</v>
      </c>
    </row>
    <row r="403" spans="1:8">
      <c r="A403" t="s">
        <v>3553</v>
      </c>
      <c r="B403" s="24">
        <v>46175</v>
      </c>
      <c r="C403" s="27" t="s">
        <v>5797</v>
      </c>
      <c r="D403" s="27" t="s">
        <v>3219</v>
      </c>
      <c r="E403" t="s">
        <v>818</v>
      </c>
      <c r="F403" t="s">
        <v>104</v>
      </c>
      <c r="H403" t="s">
        <v>5762</v>
      </c>
    </row>
    <row r="404" spans="1:8">
      <c r="A404" t="s">
        <v>3554</v>
      </c>
      <c r="B404" s="24">
        <v>46176</v>
      </c>
      <c r="C404" s="27" t="s">
        <v>5797</v>
      </c>
      <c r="D404" s="27" t="s">
        <v>3219</v>
      </c>
      <c r="E404" t="s">
        <v>819</v>
      </c>
      <c r="F404" t="s">
        <v>104</v>
      </c>
      <c r="H404" t="s">
        <v>5762</v>
      </c>
    </row>
    <row r="405" spans="1:8">
      <c r="A405" t="s">
        <v>3555</v>
      </c>
      <c r="B405" s="24">
        <v>46177</v>
      </c>
      <c r="C405" s="27" t="s">
        <v>5797</v>
      </c>
      <c r="D405" s="27" t="s">
        <v>3219</v>
      </c>
      <c r="E405" t="s">
        <v>820</v>
      </c>
      <c r="F405" t="s">
        <v>104</v>
      </c>
      <c r="H405" t="s">
        <v>5762</v>
      </c>
    </row>
    <row r="406" spans="1:8">
      <c r="A406" t="s">
        <v>3556</v>
      </c>
      <c r="B406" s="24">
        <v>46178</v>
      </c>
      <c r="C406" s="27" t="s">
        <v>5797</v>
      </c>
      <c r="D406" s="27" t="s">
        <v>3219</v>
      </c>
      <c r="E406" t="s">
        <v>821</v>
      </c>
      <c r="F406" t="s">
        <v>104</v>
      </c>
      <c r="H406" t="s">
        <v>5762</v>
      </c>
    </row>
    <row r="407" spans="1:8">
      <c r="A407" t="s">
        <v>3557</v>
      </c>
      <c r="B407" s="24">
        <v>46181</v>
      </c>
      <c r="C407" s="27" t="s">
        <v>5797</v>
      </c>
      <c r="D407" s="27" t="s">
        <v>3219</v>
      </c>
      <c r="E407" t="s">
        <v>822</v>
      </c>
      <c r="F407" t="s">
        <v>104</v>
      </c>
      <c r="H407" t="s">
        <v>5762</v>
      </c>
    </row>
    <row r="408" spans="1:8">
      <c r="A408" t="s">
        <v>3558</v>
      </c>
      <c r="B408" s="24">
        <v>46182</v>
      </c>
      <c r="C408" s="27" t="s">
        <v>5797</v>
      </c>
      <c r="D408" s="27" t="s">
        <v>3219</v>
      </c>
      <c r="E408" t="s">
        <v>823</v>
      </c>
      <c r="F408" t="s">
        <v>104</v>
      </c>
      <c r="H408" t="s">
        <v>5762</v>
      </c>
    </row>
    <row r="409" spans="1:8">
      <c r="A409" t="s">
        <v>3559</v>
      </c>
      <c r="B409" s="24">
        <v>46183</v>
      </c>
      <c r="C409" s="27" t="s">
        <v>5797</v>
      </c>
      <c r="D409" s="27" t="s">
        <v>3219</v>
      </c>
      <c r="E409" t="s">
        <v>824</v>
      </c>
      <c r="F409" t="s">
        <v>104</v>
      </c>
      <c r="H409" t="s">
        <v>5762</v>
      </c>
    </row>
    <row r="410" spans="1:8">
      <c r="A410" t="s">
        <v>3560</v>
      </c>
      <c r="B410" s="24">
        <v>46184</v>
      </c>
      <c r="C410" s="27" t="s">
        <v>5797</v>
      </c>
      <c r="D410" s="27" t="s">
        <v>3219</v>
      </c>
      <c r="E410" t="s">
        <v>825</v>
      </c>
      <c r="F410" t="s">
        <v>104</v>
      </c>
      <c r="H410" t="s">
        <v>5762</v>
      </c>
    </row>
    <row r="411" spans="1:8">
      <c r="A411" t="s">
        <v>3561</v>
      </c>
      <c r="B411" s="24">
        <v>46185</v>
      </c>
      <c r="C411" s="27" t="s">
        <v>5797</v>
      </c>
      <c r="D411" s="27" t="s">
        <v>3219</v>
      </c>
      <c r="E411" t="s">
        <v>826</v>
      </c>
      <c r="F411" t="s">
        <v>104</v>
      </c>
      <c r="H411" t="s">
        <v>5762</v>
      </c>
    </row>
    <row r="412" spans="1:8">
      <c r="A412" t="s">
        <v>3562</v>
      </c>
      <c r="B412" s="24">
        <v>46174</v>
      </c>
      <c r="C412" s="27" t="s">
        <v>5797</v>
      </c>
      <c r="D412" s="27" t="s">
        <v>3219</v>
      </c>
      <c r="E412" t="s">
        <v>827</v>
      </c>
      <c r="F412" t="s">
        <v>104</v>
      </c>
      <c r="H412" t="s">
        <v>5762</v>
      </c>
    </row>
    <row r="413" spans="1:8">
      <c r="A413" t="s">
        <v>3563</v>
      </c>
      <c r="B413" s="24">
        <v>46175</v>
      </c>
      <c r="C413" s="27" t="s">
        <v>5797</v>
      </c>
      <c r="D413" s="27" t="s">
        <v>3219</v>
      </c>
      <c r="E413" t="s">
        <v>828</v>
      </c>
      <c r="F413" t="s">
        <v>104</v>
      </c>
      <c r="H413" t="s">
        <v>5762</v>
      </c>
    </row>
    <row r="414" spans="1:8">
      <c r="A414" t="s">
        <v>3564</v>
      </c>
      <c r="B414" s="24">
        <v>46176</v>
      </c>
      <c r="C414" s="27" t="s">
        <v>5797</v>
      </c>
      <c r="D414" s="27" t="s">
        <v>3219</v>
      </c>
      <c r="E414" t="s">
        <v>829</v>
      </c>
      <c r="F414" t="s">
        <v>104</v>
      </c>
      <c r="H414" t="s">
        <v>5762</v>
      </c>
    </row>
    <row r="415" spans="1:8">
      <c r="A415" t="s">
        <v>3565</v>
      </c>
      <c r="B415" s="24">
        <v>46177</v>
      </c>
      <c r="C415" s="27" t="s">
        <v>5797</v>
      </c>
      <c r="D415" s="27" t="s">
        <v>3219</v>
      </c>
      <c r="E415" t="s">
        <v>830</v>
      </c>
      <c r="F415" t="s">
        <v>104</v>
      </c>
      <c r="H415" t="s">
        <v>5762</v>
      </c>
    </row>
    <row r="416" spans="1:8">
      <c r="A416" t="s">
        <v>3566</v>
      </c>
      <c r="B416" s="24">
        <v>46178</v>
      </c>
      <c r="C416" s="27" t="s">
        <v>5797</v>
      </c>
      <c r="D416" s="27" t="s">
        <v>3219</v>
      </c>
      <c r="E416" t="s">
        <v>831</v>
      </c>
      <c r="F416" t="s">
        <v>104</v>
      </c>
      <c r="H416" t="s">
        <v>5762</v>
      </c>
    </row>
    <row r="417" spans="1:8">
      <c r="A417" t="s">
        <v>3567</v>
      </c>
      <c r="B417" s="24">
        <v>46181</v>
      </c>
      <c r="C417" s="27" t="s">
        <v>5797</v>
      </c>
      <c r="D417" s="27" t="s">
        <v>3220</v>
      </c>
      <c r="E417" t="s">
        <v>832</v>
      </c>
      <c r="F417" t="s">
        <v>104</v>
      </c>
      <c r="G417" t="s">
        <v>105</v>
      </c>
      <c r="H417">
        <v>0</v>
      </c>
    </row>
    <row r="418" spans="1:8">
      <c r="A418" t="s">
        <v>3568</v>
      </c>
      <c r="B418" s="24">
        <v>46182</v>
      </c>
      <c r="C418" s="27" t="s">
        <v>5797</v>
      </c>
      <c r="D418" s="27" t="s">
        <v>3220</v>
      </c>
      <c r="E418" t="s">
        <v>833</v>
      </c>
      <c r="F418" t="s">
        <v>104</v>
      </c>
      <c r="G418" t="s">
        <v>105</v>
      </c>
      <c r="H418">
        <v>0</v>
      </c>
    </row>
    <row r="419" spans="1:8">
      <c r="A419" t="s">
        <v>3569</v>
      </c>
      <c r="B419" s="24">
        <v>46183</v>
      </c>
      <c r="C419" s="27" t="s">
        <v>5797</v>
      </c>
      <c r="D419" s="27" t="s">
        <v>3220</v>
      </c>
      <c r="E419" t="s">
        <v>834</v>
      </c>
      <c r="F419" t="s">
        <v>104</v>
      </c>
      <c r="G419" t="s">
        <v>105</v>
      </c>
      <c r="H419">
        <v>0</v>
      </c>
    </row>
    <row r="420" spans="1:8">
      <c r="A420" t="s">
        <v>3570</v>
      </c>
      <c r="B420" s="24">
        <v>46184</v>
      </c>
      <c r="C420" s="27" t="s">
        <v>5797</v>
      </c>
      <c r="D420" s="27" t="s">
        <v>3220</v>
      </c>
      <c r="E420" t="s">
        <v>835</v>
      </c>
      <c r="F420" t="s">
        <v>104</v>
      </c>
      <c r="G420" t="s">
        <v>105</v>
      </c>
      <c r="H420">
        <v>0</v>
      </c>
    </row>
    <row r="421" spans="1:8">
      <c r="A421" t="s">
        <v>3571</v>
      </c>
      <c r="B421" s="24">
        <v>46185</v>
      </c>
      <c r="C421" s="27" t="s">
        <v>5797</v>
      </c>
      <c r="D421" s="27" t="s">
        <v>3220</v>
      </c>
      <c r="E421" t="s">
        <v>836</v>
      </c>
      <c r="F421" t="s">
        <v>104</v>
      </c>
      <c r="G421" t="s">
        <v>105</v>
      </c>
      <c r="H421">
        <v>0</v>
      </c>
    </row>
    <row r="422" spans="1:8">
      <c r="A422" t="s">
        <v>3572</v>
      </c>
      <c r="B422" s="24">
        <v>46174</v>
      </c>
      <c r="C422" s="27" t="s">
        <v>5797</v>
      </c>
      <c r="D422" s="27" t="s">
        <v>3220</v>
      </c>
      <c r="E422" t="s">
        <v>837</v>
      </c>
      <c r="F422" t="s">
        <v>104</v>
      </c>
      <c r="G422" t="s">
        <v>105</v>
      </c>
      <c r="H422">
        <v>0</v>
      </c>
    </row>
    <row r="423" spans="1:8">
      <c r="A423" t="s">
        <v>3573</v>
      </c>
      <c r="B423" s="24">
        <v>46175</v>
      </c>
      <c r="C423" s="27" t="s">
        <v>5797</v>
      </c>
      <c r="D423" s="27" t="s">
        <v>3220</v>
      </c>
      <c r="E423" t="s">
        <v>838</v>
      </c>
      <c r="F423" t="s">
        <v>104</v>
      </c>
      <c r="G423" t="s">
        <v>105</v>
      </c>
      <c r="H423">
        <v>0</v>
      </c>
    </row>
    <row r="424" spans="1:8">
      <c r="A424" t="s">
        <v>3574</v>
      </c>
      <c r="B424" s="24">
        <v>46176</v>
      </c>
      <c r="C424" s="27" t="s">
        <v>5797</v>
      </c>
      <c r="D424" s="27" t="s">
        <v>3220</v>
      </c>
      <c r="E424" t="s">
        <v>839</v>
      </c>
      <c r="F424" t="s">
        <v>104</v>
      </c>
      <c r="G424" t="s">
        <v>105</v>
      </c>
      <c r="H424">
        <v>0</v>
      </c>
    </row>
    <row r="425" spans="1:8">
      <c r="A425" t="s">
        <v>3575</v>
      </c>
      <c r="B425" s="24">
        <v>46177</v>
      </c>
      <c r="C425" s="27" t="s">
        <v>5797</v>
      </c>
      <c r="D425" s="27" t="s">
        <v>3220</v>
      </c>
      <c r="E425" t="s">
        <v>840</v>
      </c>
      <c r="F425" t="s">
        <v>104</v>
      </c>
      <c r="G425" t="s">
        <v>105</v>
      </c>
      <c r="H425">
        <v>0</v>
      </c>
    </row>
    <row r="426" spans="1:8">
      <c r="A426" t="s">
        <v>3576</v>
      </c>
      <c r="B426" s="24">
        <v>46178</v>
      </c>
      <c r="C426" s="27" t="s">
        <v>5797</v>
      </c>
      <c r="D426" s="27" t="s">
        <v>3220</v>
      </c>
      <c r="E426" t="s">
        <v>841</v>
      </c>
      <c r="F426" t="s">
        <v>104</v>
      </c>
      <c r="G426" t="s">
        <v>105</v>
      </c>
      <c r="H426">
        <v>0</v>
      </c>
    </row>
    <row r="427" spans="1:8">
      <c r="A427" t="s">
        <v>3577</v>
      </c>
      <c r="B427" s="24">
        <v>46181</v>
      </c>
      <c r="C427" s="27" t="s">
        <v>5797</v>
      </c>
      <c r="D427" s="27" t="s">
        <v>3220</v>
      </c>
      <c r="E427" t="s">
        <v>842</v>
      </c>
      <c r="F427" t="s">
        <v>104</v>
      </c>
      <c r="G427" t="s">
        <v>105</v>
      </c>
      <c r="H427">
        <v>0</v>
      </c>
    </row>
    <row r="428" spans="1:8">
      <c r="A428" t="s">
        <v>3578</v>
      </c>
      <c r="B428" s="24">
        <v>46182</v>
      </c>
      <c r="C428" s="27" t="s">
        <v>5797</v>
      </c>
      <c r="D428" s="27" t="s">
        <v>3220</v>
      </c>
      <c r="E428" t="s">
        <v>843</v>
      </c>
      <c r="F428" t="s">
        <v>104</v>
      </c>
      <c r="G428" t="s">
        <v>105</v>
      </c>
      <c r="H428">
        <v>0</v>
      </c>
    </row>
    <row r="429" spans="1:8">
      <c r="A429" t="s">
        <v>3579</v>
      </c>
      <c r="B429" s="24">
        <v>46183</v>
      </c>
      <c r="C429" s="27" t="s">
        <v>5797</v>
      </c>
      <c r="D429" s="27" t="s">
        <v>3220</v>
      </c>
      <c r="E429" t="s">
        <v>844</v>
      </c>
      <c r="F429" t="s">
        <v>104</v>
      </c>
      <c r="G429" t="s">
        <v>105</v>
      </c>
      <c r="H429">
        <v>0</v>
      </c>
    </row>
    <row r="430" spans="1:8">
      <c r="A430" t="s">
        <v>3580</v>
      </c>
      <c r="B430" s="24">
        <v>46184</v>
      </c>
      <c r="C430" s="27" t="s">
        <v>5797</v>
      </c>
      <c r="D430" s="27" t="s">
        <v>3220</v>
      </c>
      <c r="E430" t="s">
        <v>845</v>
      </c>
      <c r="F430" t="s">
        <v>104</v>
      </c>
      <c r="G430" t="s">
        <v>105</v>
      </c>
      <c r="H430">
        <v>0</v>
      </c>
    </row>
    <row r="431" spans="1:8">
      <c r="A431" t="s">
        <v>3581</v>
      </c>
      <c r="B431" s="24">
        <v>46185</v>
      </c>
      <c r="C431" s="27" t="s">
        <v>5797</v>
      </c>
      <c r="D431" s="27" t="s">
        <v>3220</v>
      </c>
      <c r="E431" t="s">
        <v>846</v>
      </c>
      <c r="F431" t="s">
        <v>104</v>
      </c>
      <c r="G431" t="s">
        <v>105</v>
      </c>
      <c r="H431">
        <v>0</v>
      </c>
    </row>
    <row r="432" spans="1:8">
      <c r="A432" t="s">
        <v>3582</v>
      </c>
      <c r="B432" s="24">
        <v>46174</v>
      </c>
      <c r="C432" s="27" t="s">
        <v>5797</v>
      </c>
      <c r="D432" s="27" t="s">
        <v>3220</v>
      </c>
      <c r="E432" t="s">
        <v>847</v>
      </c>
      <c r="F432" t="s">
        <v>104</v>
      </c>
      <c r="G432" t="s">
        <v>105</v>
      </c>
      <c r="H432">
        <v>0</v>
      </c>
    </row>
    <row r="433" spans="1:8">
      <c r="A433" t="s">
        <v>3583</v>
      </c>
      <c r="B433" s="24">
        <v>46175</v>
      </c>
      <c r="C433" s="27" t="s">
        <v>5797</v>
      </c>
      <c r="D433" s="27" t="s">
        <v>3220</v>
      </c>
      <c r="E433" t="s">
        <v>848</v>
      </c>
      <c r="F433" t="s">
        <v>104</v>
      </c>
      <c r="G433" t="s">
        <v>105</v>
      </c>
      <c r="H433">
        <v>0</v>
      </c>
    </row>
    <row r="434" spans="1:8">
      <c r="A434" t="s">
        <v>3584</v>
      </c>
      <c r="B434" s="24">
        <v>46176</v>
      </c>
      <c r="C434" s="27" t="s">
        <v>5797</v>
      </c>
      <c r="D434" s="27" t="s">
        <v>3220</v>
      </c>
      <c r="E434" t="s">
        <v>849</v>
      </c>
      <c r="F434" t="s">
        <v>104</v>
      </c>
      <c r="G434" t="s">
        <v>105</v>
      </c>
      <c r="H434">
        <v>0</v>
      </c>
    </row>
    <row r="435" spans="1:8">
      <c r="A435" t="s">
        <v>3585</v>
      </c>
      <c r="B435" s="24">
        <v>46177</v>
      </c>
      <c r="C435" s="27" t="s">
        <v>5797</v>
      </c>
      <c r="D435" s="27" t="s">
        <v>3220</v>
      </c>
      <c r="E435" t="s">
        <v>850</v>
      </c>
      <c r="F435" t="s">
        <v>104</v>
      </c>
      <c r="G435" t="s">
        <v>105</v>
      </c>
      <c r="H435">
        <v>0</v>
      </c>
    </row>
    <row r="436" spans="1:8">
      <c r="A436" t="s">
        <v>3586</v>
      </c>
      <c r="B436" s="24">
        <v>46178</v>
      </c>
      <c r="C436" s="27" t="s">
        <v>5797</v>
      </c>
      <c r="D436" s="27" t="s">
        <v>3220</v>
      </c>
      <c r="E436" t="s">
        <v>851</v>
      </c>
      <c r="F436" t="s">
        <v>104</v>
      </c>
      <c r="G436" t="s">
        <v>105</v>
      </c>
      <c r="H436">
        <v>0</v>
      </c>
    </row>
    <row r="437" spans="1:8">
      <c r="A437" t="s">
        <v>3587</v>
      </c>
      <c r="B437" s="24">
        <v>46181</v>
      </c>
      <c r="C437" s="27" t="s">
        <v>5797</v>
      </c>
      <c r="D437" s="27" t="s">
        <v>3220</v>
      </c>
      <c r="E437" t="s">
        <v>852</v>
      </c>
      <c r="F437" t="s">
        <v>104</v>
      </c>
      <c r="G437" t="s">
        <v>105</v>
      </c>
      <c r="H437">
        <v>0</v>
      </c>
    </row>
    <row r="438" spans="1:8">
      <c r="A438" t="s">
        <v>3588</v>
      </c>
      <c r="B438" s="24">
        <v>46182</v>
      </c>
      <c r="C438" s="27" t="s">
        <v>5797</v>
      </c>
      <c r="D438" s="27" t="s">
        <v>3220</v>
      </c>
      <c r="E438" t="s">
        <v>853</v>
      </c>
      <c r="F438" t="s">
        <v>104</v>
      </c>
      <c r="G438" t="s">
        <v>105</v>
      </c>
      <c r="H438">
        <v>0</v>
      </c>
    </row>
    <row r="439" spans="1:8">
      <c r="A439" t="s">
        <v>3589</v>
      </c>
      <c r="B439" s="24">
        <v>46183</v>
      </c>
      <c r="C439" s="27" t="s">
        <v>5797</v>
      </c>
      <c r="D439" s="27" t="s">
        <v>3220</v>
      </c>
      <c r="E439" t="s">
        <v>854</v>
      </c>
      <c r="F439" t="s">
        <v>104</v>
      </c>
      <c r="G439" t="s">
        <v>105</v>
      </c>
      <c r="H439">
        <v>0</v>
      </c>
    </row>
    <row r="440" spans="1:8">
      <c r="A440" t="s">
        <v>3590</v>
      </c>
      <c r="B440" s="24">
        <v>46184</v>
      </c>
      <c r="C440" s="27" t="s">
        <v>5797</v>
      </c>
      <c r="D440" s="27" t="s">
        <v>3220</v>
      </c>
      <c r="E440" t="s">
        <v>855</v>
      </c>
      <c r="F440" t="s">
        <v>104</v>
      </c>
      <c r="G440" t="s">
        <v>105</v>
      </c>
      <c r="H440">
        <v>0</v>
      </c>
    </row>
    <row r="441" spans="1:8">
      <c r="A441" t="s">
        <v>3591</v>
      </c>
      <c r="B441" s="24">
        <v>46185</v>
      </c>
      <c r="C441" s="27" t="s">
        <v>5797</v>
      </c>
      <c r="D441" s="27" t="s">
        <v>3220</v>
      </c>
      <c r="E441" t="s">
        <v>856</v>
      </c>
      <c r="F441" t="s">
        <v>104</v>
      </c>
      <c r="G441" t="s">
        <v>105</v>
      </c>
      <c r="H441">
        <v>0</v>
      </c>
    </row>
    <row r="442" spans="1:8">
      <c r="A442" t="s">
        <v>3592</v>
      </c>
      <c r="B442" s="24">
        <v>46174</v>
      </c>
      <c r="C442" s="27" t="s">
        <v>5797</v>
      </c>
      <c r="D442" s="27" t="s">
        <v>3220</v>
      </c>
      <c r="E442" t="s">
        <v>857</v>
      </c>
      <c r="F442" t="s">
        <v>104</v>
      </c>
      <c r="G442" t="s">
        <v>105</v>
      </c>
      <c r="H442">
        <v>0</v>
      </c>
    </row>
    <row r="443" spans="1:8">
      <c r="A443" t="s">
        <v>3593</v>
      </c>
      <c r="B443" s="24">
        <v>46175</v>
      </c>
      <c r="C443" s="27" t="s">
        <v>5797</v>
      </c>
      <c r="D443" s="27" t="s">
        <v>3220</v>
      </c>
      <c r="E443" t="s">
        <v>858</v>
      </c>
      <c r="F443" t="s">
        <v>104</v>
      </c>
      <c r="G443" t="s">
        <v>105</v>
      </c>
      <c r="H443">
        <v>0</v>
      </c>
    </row>
    <row r="444" spans="1:8">
      <c r="A444" t="s">
        <v>3594</v>
      </c>
      <c r="B444" s="24">
        <v>46176</v>
      </c>
      <c r="C444" s="27" t="s">
        <v>5797</v>
      </c>
      <c r="D444" s="27" t="s">
        <v>3220</v>
      </c>
      <c r="E444" t="s">
        <v>859</v>
      </c>
      <c r="F444" t="s">
        <v>104</v>
      </c>
      <c r="G444" t="s">
        <v>105</v>
      </c>
      <c r="H444">
        <v>0</v>
      </c>
    </row>
    <row r="445" spans="1:8">
      <c r="A445" t="s">
        <v>3595</v>
      </c>
      <c r="B445" s="24">
        <v>46177</v>
      </c>
      <c r="C445" s="27" t="s">
        <v>5797</v>
      </c>
      <c r="D445" s="27" t="s">
        <v>3220</v>
      </c>
      <c r="E445" t="s">
        <v>860</v>
      </c>
      <c r="F445" t="s">
        <v>104</v>
      </c>
      <c r="G445" t="s">
        <v>105</v>
      </c>
      <c r="H445">
        <v>0</v>
      </c>
    </row>
    <row r="446" spans="1:8">
      <c r="A446" t="s">
        <v>3596</v>
      </c>
      <c r="B446" s="24">
        <v>46178</v>
      </c>
      <c r="C446" s="27" t="s">
        <v>5797</v>
      </c>
      <c r="D446" s="27" t="s">
        <v>3220</v>
      </c>
      <c r="E446" t="s">
        <v>861</v>
      </c>
      <c r="F446" t="s">
        <v>104</v>
      </c>
      <c r="G446" t="s">
        <v>105</v>
      </c>
      <c r="H446">
        <v>0</v>
      </c>
    </row>
    <row r="447" spans="1:8">
      <c r="A447" t="s">
        <v>3597</v>
      </c>
      <c r="B447" s="24">
        <v>46181</v>
      </c>
      <c r="C447" s="27" t="s">
        <v>5797</v>
      </c>
      <c r="D447" s="27" t="s">
        <v>3220</v>
      </c>
      <c r="E447" t="s">
        <v>862</v>
      </c>
      <c r="F447" t="s">
        <v>104</v>
      </c>
      <c r="G447" t="s">
        <v>105</v>
      </c>
      <c r="H447">
        <v>0</v>
      </c>
    </row>
    <row r="448" spans="1:8">
      <c r="A448" t="s">
        <v>3598</v>
      </c>
      <c r="B448" s="24">
        <v>46182</v>
      </c>
      <c r="C448" s="27" t="s">
        <v>5797</v>
      </c>
      <c r="D448" s="27" t="s">
        <v>3220</v>
      </c>
      <c r="E448" t="s">
        <v>863</v>
      </c>
      <c r="F448" t="s">
        <v>104</v>
      </c>
      <c r="G448" t="s">
        <v>105</v>
      </c>
      <c r="H448">
        <v>0</v>
      </c>
    </row>
    <row r="449" spans="1:8">
      <c r="A449" t="s">
        <v>3599</v>
      </c>
      <c r="B449" s="24">
        <v>46183</v>
      </c>
      <c r="C449" s="27" t="s">
        <v>5797</v>
      </c>
      <c r="D449" s="27" t="s">
        <v>3220</v>
      </c>
      <c r="E449" t="s">
        <v>864</v>
      </c>
      <c r="F449" t="s">
        <v>104</v>
      </c>
      <c r="G449" t="s">
        <v>105</v>
      </c>
      <c r="H449">
        <v>0</v>
      </c>
    </row>
    <row r="450" spans="1:8">
      <c r="A450" t="s">
        <v>3600</v>
      </c>
      <c r="B450" s="24">
        <v>46184</v>
      </c>
      <c r="C450" s="27" t="s">
        <v>5797</v>
      </c>
      <c r="D450" s="27" t="s">
        <v>3220</v>
      </c>
      <c r="E450" t="s">
        <v>865</v>
      </c>
      <c r="F450" t="s">
        <v>104</v>
      </c>
      <c r="G450" t="s">
        <v>105</v>
      </c>
      <c r="H450">
        <v>0</v>
      </c>
    </row>
    <row r="451" spans="1:8">
      <c r="A451" t="s">
        <v>3601</v>
      </c>
      <c r="B451" s="24">
        <v>46185</v>
      </c>
      <c r="C451" s="27" t="s">
        <v>5797</v>
      </c>
      <c r="D451" s="27" t="s">
        <v>3220</v>
      </c>
      <c r="E451" t="s">
        <v>866</v>
      </c>
      <c r="F451" t="s">
        <v>104</v>
      </c>
      <c r="G451" t="s">
        <v>105</v>
      </c>
      <c r="H451">
        <v>0</v>
      </c>
    </row>
    <row r="452" spans="1:8">
      <c r="A452" t="s">
        <v>3602</v>
      </c>
      <c r="B452" s="24">
        <v>46174</v>
      </c>
      <c r="C452" s="27" t="s">
        <v>5797</v>
      </c>
      <c r="D452" s="27" t="s">
        <v>3220</v>
      </c>
      <c r="E452" t="s">
        <v>867</v>
      </c>
      <c r="F452" t="s">
        <v>104</v>
      </c>
      <c r="G452" t="s">
        <v>105</v>
      </c>
      <c r="H452">
        <v>0</v>
      </c>
    </row>
    <row r="453" spans="1:8">
      <c r="A453" t="s">
        <v>3603</v>
      </c>
      <c r="B453" s="24">
        <v>46175</v>
      </c>
      <c r="C453" s="27" t="s">
        <v>5797</v>
      </c>
      <c r="D453" s="27" t="s">
        <v>3220</v>
      </c>
      <c r="E453" t="s">
        <v>868</v>
      </c>
      <c r="F453" t="s">
        <v>104</v>
      </c>
      <c r="G453" t="s">
        <v>105</v>
      </c>
      <c r="H453">
        <v>0</v>
      </c>
    </row>
    <row r="454" spans="1:8">
      <c r="A454" t="s">
        <v>3604</v>
      </c>
      <c r="B454" s="24">
        <v>46176</v>
      </c>
      <c r="C454" s="27" t="s">
        <v>5797</v>
      </c>
      <c r="D454" s="27" t="s">
        <v>3220</v>
      </c>
      <c r="E454" t="s">
        <v>869</v>
      </c>
      <c r="F454" t="s">
        <v>104</v>
      </c>
      <c r="G454" t="s">
        <v>105</v>
      </c>
      <c r="H454">
        <v>0</v>
      </c>
    </row>
    <row r="455" spans="1:8">
      <c r="A455" t="s">
        <v>3605</v>
      </c>
      <c r="B455" s="24">
        <v>46177</v>
      </c>
      <c r="C455" s="27" t="s">
        <v>5797</v>
      </c>
      <c r="D455" s="27" t="s">
        <v>3220</v>
      </c>
      <c r="E455" t="s">
        <v>870</v>
      </c>
      <c r="F455" t="s">
        <v>104</v>
      </c>
      <c r="G455" t="s">
        <v>105</v>
      </c>
      <c r="H455">
        <v>0</v>
      </c>
    </row>
    <row r="456" spans="1:8">
      <c r="A456" t="s">
        <v>3606</v>
      </c>
      <c r="B456" s="24">
        <v>46178</v>
      </c>
      <c r="C456" s="27" t="s">
        <v>5797</v>
      </c>
      <c r="D456" s="27" t="s">
        <v>3220</v>
      </c>
      <c r="E456" t="s">
        <v>871</v>
      </c>
      <c r="F456" t="s">
        <v>104</v>
      </c>
      <c r="G456" t="s">
        <v>105</v>
      </c>
      <c r="H456">
        <v>0</v>
      </c>
    </row>
    <row r="457" spans="1:8">
      <c r="A457" t="s">
        <v>3607</v>
      </c>
      <c r="B457" s="24">
        <v>46181</v>
      </c>
      <c r="C457" s="27" t="s">
        <v>5797</v>
      </c>
      <c r="D457" s="27" t="s">
        <v>3220</v>
      </c>
      <c r="E457" t="s">
        <v>872</v>
      </c>
      <c r="F457" t="s">
        <v>104</v>
      </c>
      <c r="G457" t="s">
        <v>105</v>
      </c>
      <c r="H457">
        <v>0</v>
      </c>
    </row>
    <row r="458" spans="1:8">
      <c r="A458" t="s">
        <v>3608</v>
      </c>
      <c r="B458" s="24">
        <v>46182</v>
      </c>
      <c r="C458" s="27" t="s">
        <v>5797</v>
      </c>
      <c r="D458" s="27" t="s">
        <v>3220</v>
      </c>
      <c r="E458" t="s">
        <v>873</v>
      </c>
      <c r="F458" t="s">
        <v>104</v>
      </c>
      <c r="G458" t="s">
        <v>105</v>
      </c>
      <c r="H458">
        <v>0</v>
      </c>
    </row>
    <row r="459" spans="1:8">
      <c r="A459" t="s">
        <v>3609</v>
      </c>
      <c r="B459" s="24">
        <v>46183</v>
      </c>
      <c r="C459" s="27" t="s">
        <v>5797</v>
      </c>
      <c r="D459" s="27" t="s">
        <v>3220</v>
      </c>
      <c r="E459" t="s">
        <v>874</v>
      </c>
      <c r="F459" t="s">
        <v>104</v>
      </c>
      <c r="G459" t="s">
        <v>105</v>
      </c>
      <c r="H459">
        <v>0</v>
      </c>
    </row>
    <row r="460" spans="1:8">
      <c r="A460" t="s">
        <v>3610</v>
      </c>
      <c r="B460" s="24">
        <v>46184</v>
      </c>
      <c r="C460" s="27" t="s">
        <v>5797</v>
      </c>
      <c r="D460" s="27" t="s">
        <v>3220</v>
      </c>
      <c r="E460" t="s">
        <v>875</v>
      </c>
      <c r="F460" t="s">
        <v>104</v>
      </c>
      <c r="G460" t="s">
        <v>105</v>
      </c>
      <c r="H460">
        <v>0</v>
      </c>
    </row>
    <row r="461" spans="1:8">
      <c r="A461" t="s">
        <v>3611</v>
      </c>
      <c r="B461" s="24">
        <v>46185</v>
      </c>
      <c r="C461" s="27" t="s">
        <v>5797</v>
      </c>
      <c r="D461" s="27" t="s">
        <v>3220</v>
      </c>
      <c r="E461" t="s">
        <v>876</v>
      </c>
      <c r="F461" t="s">
        <v>104</v>
      </c>
      <c r="G461" t="s">
        <v>105</v>
      </c>
      <c r="H461">
        <v>0</v>
      </c>
    </row>
    <row r="462" spans="1:8">
      <c r="A462" t="s">
        <v>3612</v>
      </c>
      <c r="B462" s="24">
        <v>46174</v>
      </c>
      <c r="C462" s="27" t="s">
        <v>5797</v>
      </c>
      <c r="D462" s="27" t="s">
        <v>3220</v>
      </c>
      <c r="E462" t="s">
        <v>877</v>
      </c>
      <c r="F462" t="s">
        <v>104</v>
      </c>
      <c r="G462" t="s">
        <v>105</v>
      </c>
      <c r="H462">
        <v>0</v>
      </c>
    </row>
    <row r="463" spans="1:8">
      <c r="A463" t="s">
        <v>3613</v>
      </c>
      <c r="B463" s="24">
        <v>46175</v>
      </c>
      <c r="C463" s="27" t="s">
        <v>5797</v>
      </c>
      <c r="D463" s="27" t="s">
        <v>3220</v>
      </c>
      <c r="E463" t="s">
        <v>878</v>
      </c>
      <c r="F463" t="s">
        <v>104</v>
      </c>
      <c r="G463" t="s">
        <v>105</v>
      </c>
      <c r="H463">
        <v>0</v>
      </c>
    </row>
    <row r="464" spans="1:8">
      <c r="A464" t="s">
        <v>3614</v>
      </c>
      <c r="B464" s="24">
        <v>46176</v>
      </c>
      <c r="C464" s="27" t="s">
        <v>5797</v>
      </c>
      <c r="D464" s="27" t="s">
        <v>3220</v>
      </c>
      <c r="E464" t="s">
        <v>879</v>
      </c>
      <c r="F464" t="s">
        <v>104</v>
      </c>
      <c r="G464" t="s">
        <v>105</v>
      </c>
      <c r="H464">
        <v>0</v>
      </c>
    </row>
    <row r="465" spans="1:8">
      <c r="A465" t="s">
        <v>3615</v>
      </c>
      <c r="B465" s="24">
        <v>46177</v>
      </c>
      <c r="C465" s="27" t="s">
        <v>5797</v>
      </c>
      <c r="D465" s="27" t="s">
        <v>3220</v>
      </c>
      <c r="E465" t="s">
        <v>880</v>
      </c>
      <c r="F465" t="s">
        <v>104</v>
      </c>
      <c r="G465" t="s">
        <v>105</v>
      </c>
      <c r="H465">
        <v>0</v>
      </c>
    </row>
    <row r="466" spans="1:8">
      <c r="A466" t="s">
        <v>3616</v>
      </c>
      <c r="B466" s="24">
        <v>46178</v>
      </c>
      <c r="C466" s="27" t="s">
        <v>5797</v>
      </c>
      <c r="D466" s="27" t="s">
        <v>3220</v>
      </c>
      <c r="E466" t="s">
        <v>881</v>
      </c>
      <c r="F466" t="s">
        <v>104</v>
      </c>
      <c r="G466" t="s">
        <v>105</v>
      </c>
      <c r="H466">
        <v>0</v>
      </c>
    </row>
    <row r="467" spans="1:8">
      <c r="A467" t="s">
        <v>3617</v>
      </c>
      <c r="B467" s="24">
        <v>46181</v>
      </c>
      <c r="C467" s="27" t="s">
        <v>5797</v>
      </c>
      <c r="D467" s="27" t="s">
        <v>3220</v>
      </c>
      <c r="E467" t="s">
        <v>882</v>
      </c>
      <c r="F467" t="s">
        <v>104</v>
      </c>
      <c r="G467" t="s">
        <v>105</v>
      </c>
      <c r="H467">
        <v>0</v>
      </c>
    </row>
    <row r="468" spans="1:8">
      <c r="A468" t="s">
        <v>3618</v>
      </c>
      <c r="B468" s="24">
        <v>46182</v>
      </c>
      <c r="C468" s="27" t="s">
        <v>5797</v>
      </c>
      <c r="D468" s="27" t="s">
        <v>3220</v>
      </c>
      <c r="E468" t="s">
        <v>883</v>
      </c>
      <c r="F468" t="s">
        <v>104</v>
      </c>
      <c r="G468" t="s">
        <v>105</v>
      </c>
      <c r="H468">
        <v>0</v>
      </c>
    </row>
    <row r="469" spans="1:8">
      <c r="A469" t="s">
        <v>3619</v>
      </c>
      <c r="B469" s="24">
        <v>46183</v>
      </c>
      <c r="C469" s="27" t="s">
        <v>5797</v>
      </c>
      <c r="D469" s="27" t="s">
        <v>3220</v>
      </c>
      <c r="E469" t="s">
        <v>884</v>
      </c>
      <c r="F469" t="s">
        <v>104</v>
      </c>
      <c r="G469" t="s">
        <v>105</v>
      </c>
      <c r="H469">
        <v>0</v>
      </c>
    </row>
    <row r="470" spans="1:8">
      <c r="A470" t="s">
        <v>3620</v>
      </c>
      <c r="B470" s="24">
        <v>46184</v>
      </c>
      <c r="C470" s="27" t="s">
        <v>5797</v>
      </c>
      <c r="D470" s="27" t="s">
        <v>3220</v>
      </c>
      <c r="E470" t="s">
        <v>885</v>
      </c>
      <c r="F470" t="s">
        <v>104</v>
      </c>
      <c r="G470" t="s">
        <v>105</v>
      </c>
      <c r="H470">
        <v>0</v>
      </c>
    </row>
    <row r="471" spans="1:8">
      <c r="A471" t="s">
        <v>3621</v>
      </c>
      <c r="B471" s="24">
        <v>46185</v>
      </c>
      <c r="C471" s="27" t="s">
        <v>5797</v>
      </c>
      <c r="D471" s="27" t="s">
        <v>3220</v>
      </c>
      <c r="E471" t="s">
        <v>886</v>
      </c>
      <c r="F471" t="s">
        <v>104</v>
      </c>
      <c r="G471" t="s">
        <v>105</v>
      </c>
      <c r="H471">
        <v>0</v>
      </c>
    </row>
    <row r="472" spans="1:8">
      <c r="A472" t="s">
        <v>3622</v>
      </c>
      <c r="B472" s="24">
        <v>46174</v>
      </c>
      <c r="C472" s="27" t="s">
        <v>5797</v>
      </c>
      <c r="D472" s="27" t="s">
        <v>3220</v>
      </c>
      <c r="E472" t="s">
        <v>887</v>
      </c>
      <c r="F472" t="s">
        <v>104</v>
      </c>
      <c r="G472" t="s">
        <v>105</v>
      </c>
      <c r="H472">
        <v>0</v>
      </c>
    </row>
    <row r="473" spans="1:8">
      <c r="A473" t="s">
        <v>3623</v>
      </c>
      <c r="B473" s="24">
        <v>46175</v>
      </c>
      <c r="C473" s="27" t="s">
        <v>5797</v>
      </c>
      <c r="D473" s="27" t="s">
        <v>3220</v>
      </c>
      <c r="E473" t="s">
        <v>888</v>
      </c>
      <c r="F473" t="s">
        <v>104</v>
      </c>
      <c r="G473" t="s">
        <v>105</v>
      </c>
      <c r="H473">
        <v>0</v>
      </c>
    </row>
    <row r="474" spans="1:8">
      <c r="A474" t="s">
        <v>3624</v>
      </c>
      <c r="B474" s="24">
        <v>46176</v>
      </c>
      <c r="C474" s="27" t="s">
        <v>5797</v>
      </c>
      <c r="D474" s="27" t="s">
        <v>3220</v>
      </c>
      <c r="E474" t="s">
        <v>889</v>
      </c>
      <c r="F474" t="s">
        <v>104</v>
      </c>
      <c r="G474" t="s">
        <v>105</v>
      </c>
      <c r="H474">
        <v>0</v>
      </c>
    </row>
    <row r="475" spans="1:8">
      <c r="A475" t="s">
        <v>3625</v>
      </c>
      <c r="B475" s="24">
        <v>46177</v>
      </c>
      <c r="C475" s="27" t="s">
        <v>5797</v>
      </c>
      <c r="D475" s="27" t="s">
        <v>3220</v>
      </c>
      <c r="E475" t="s">
        <v>890</v>
      </c>
      <c r="F475" t="s">
        <v>104</v>
      </c>
      <c r="G475" t="s">
        <v>105</v>
      </c>
      <c r="H475">
        <v>0</v>
      </c>
    </row>
    <row r="476" spans="1:8">
      <c r="A476" t="s">
        <v>3626</v>
      </c>
      <c r="B476" s="24">
        <v>46178</v>
      </c>
      <c r="C476" s="27" t="s">
        <v>5797</v>
      </c>
      <c r="D476" s="27" t="s">
        <v>3220</v>
      </c>
      <c r="E476" t="s">
        <v>891</v>
      </c>
      <c r="F476" t="s">
        <v>104</v>
      </c>
      <c r="G476" t="s">
        <v>105</v>
      </c>
      <c r="H476">
        <v>0</v>
      </c>
    </row>
    <row r="477" spans="1:8">
      <c r="A477" t="s">
        <v>3627</v>
      </c>
      <c r="B477" s="24">
        <v>46181</v>
      </c>
      <c r="C477" s="27" t="s">
        <v>5797</v>
      </c>
      <c r="D477" s="27" t="s">
        <v>3220</v>
      </c>
      <c r="E477" t="s">
        <v>892</v>
      </c>
      <c r="F477" t="s">
        <v>104</v>
      </c>
      <c r="G477" t="s">
        <v>105</v>
      </c>
      <c r="H477">
        <v>0</v>
      </c>
    </row>
    <row r="478" spans="1:8">
      <c r="A478" t="s">
        <v>3628</v>
      </c>
      <c r="B478" s="24">
        <v>46182</v>
      </c>
      <c r="C478" s="27" t="s">
        <v>5797</v>
      </c>
      <c r="D478" s="27" t="s">
        <v>3220</v>
      </c>
      <c r="E478" t="s">
        <v>893</v>
      </c>
      <c r="F478" t="s">
        <v>104</v>
      </c>
      <c r="G478" t="s">
        <v>105</v>
      </c>
      <c r="H478">
        <v>0</v>
      </c>
    </row>
    <row r="479" spans="1:8">
      <c r="A479" t="s">
        <v>3629</v>
      </c>
      <c r="B479" s="24">
        <v>46183</v>
      </c>
      <c r="C479" s="27" t="s">
        <v>5797</v>
      </c>
      <c r="D479" s="27" t="s">
        <v>3220</v>
      </c>
      <c r="E479" t="s">
        <v>894</v>
      </c>
      <c r="F479" t="s">
        <v>104</v>
      </c>
      <c r="G479" t="s">
        <v>105</v>
      </c>
      <c r="H479">
        <v>0</v>
      </c>
    </row>
    <row r="480" spans="1:8">
      <c r="A480" t="s">
        <v>3630</v>
      </c>
      <c r="B480" s="24">
        <v>46184</v>
      </c>
      <c r="C480" s="27" t="s">
        <v>5797</v>
      </c>
      <c r="D480" s="27" t="s">
        <v>3220</v>
      </c>
      <c r="E480" t="s">
        <v>895</v>
      </c>
      <c r="F480" t="s">
        <v>104</v>
      </c>
      <c r="G480" t="s">
        <v>105</v>
      </c>
      <c r="H480">
        <v>0</v>
      </c>
    </row>
    <row r="481" spans="1:8">
      <c r="A481" t="s">
        <v>3631</v>
      </c>
      <c r="B481" s="24">
        <v>46185</v>
      </c>
      <c r="C481" s="27" t="s">
        <v>5797</v>
      </c>
      <c r="D481" s="27" t="s">
        <v>3220</v>
      </c>
      <c r="E481" t="s">
        <v>896</v>
      </c>
      <c r="F481" t="s">
        <v>104</v>
      </c>
      <c r="G481" t="s">
        <v>105</v>
      </c>
      <c r="H481">
        <v>0</v>
      </c>
    </row>
    <row r="482" spans="1:8">
      <c r="A482" t="s">
        <v>3632</v>
      </c>
      <c r="B482" s="24">
        <v>46174</v>
      </c>
      <c r="C482" s="27" t="s">
        <v>5797</v>
      </c>
      <c r="D482" s="27" t="s">
        <v>3220</v>
      </c>
      <c r="E482" t="s">
        <v>897</v>
      </c>
      <c r="F482" t="s">
        <v>104</v>
      </c>
      <c r="G482" t="s">
        <v>105</v>
      </c>
      <c r="H482">
        <v>0</v>
      </c>
    </row>
    <row r="483" spans="1:8">
      <c r="A483" t="s">
        <v>3633</v>
      </c>
      <c r="B483" s="24">
        <v>46175</v>
      </c>
      <c r="C483" s="27" t="s">
        <v>5797</v>
      </c>
      <c r="D483" s="27" t="s">
        <v>3220</v>
      </c>
      <c r="E483" t="s">
        <v>898</v>
      </c>
      <c r="F483" t="s">
        <v>104</v>
      </c>
      <c r="G483" t="s">
        <v>105</v>
      </c>
      <c r="H483">
        <v>0</v>
      </c>
    </row>
    <row r="484" spans="1:8">
      <c r="A484" t="s">
        <v>3634</v>
      </c>
      <c r="B484" s="24">
        <v>46176</v>
      </c>
      <c r="C484" s="27" t="s">
        <v>5797</v>
      </c>
      <c r="D484" s="27" t="s">
        <v>3220</v>
      </c>
      <c r="E484" t="s">
        <v>899</v>
      </c>
      <c r="F484" t="s">
        <v>104</v>
      </c>
      <c r="G484" t="s">
        <v>105</v>
      </c>
      <c r="H484">
        <v>0</v>
      </c>
    </row>
    <row r="485" spans="1:8">
      <c r="A485" t="s">
        <v>3635</v>
      </c>
      <c r="B485" s="24">
        <v>46177</v>
      </c>
      <c r="C485" s="27" t="s">
        <v>5797</v>
      </c>
      <c r="D485" s="27" t="s">
        <v>3220</v>
      </c>
      <c r="E485" t="s">
        <v>900</v>
      </c>
      <c r="F485" t="s">
        <v>104</v>
      </c>
      <c r="G485" t="s">
        <v>105</v>
      </c>
      <c r="H485">
        <v>0</v>
      </c>
    </row>
    <row r="486" spans="1:8">
      <c r="A486" t="s">
        <v>3636</v>
      </c>
      <c r="B486" s="24">
        <v>46178</v>
      </c>
      <c r="C486" s="27" t="s">
        <v>5797</v>
      </c>
      <c r="D486" s="27" t="s">
        <v>3220</v>
      </c>
      <c r="E486" t="s">
        <v>901</v>
      </c>
      <c r="F486" t="s">
        <v>104</v>
      </c>
      <c r="G486" t="s">
        <v>105</v>
      </c>
      <c r="H486">
        <v>0</v>
      </c>
    </row>
    <row r="487" spans="1:8">
      <c r="A487" t="s">
        <v>3637</v>
      </c>
      <c r="B487" s="24">
        <v>46181</v>
      </c>
      <c r="C487" s="27" t="s">
        <v>5797</v>
      </c>
      <c r="D487" s="27" t="s">
        <v>3220</v>
      </c>
      <c r="E487" t="s">
        <v>902</v>
      </c>
      <c r="F487" t="s">
        <v>104</v>
      </c>
      <c r="G487" t="s">
        <v>105</v>
      </c>
      <c r="H487">
        <v>0</v>
      </c>
    </row>
    <row r="488" spans="1:8">
      <c r="A488" t="s">
        <v>3638</v>
      </c>
      <c r="B488" s="24">
        <v>46182</v>
      </c>
      <c r="C488" s="27" t="s">
        <v>5797</v>
      </c>
      <c r="D488" s="27" t="s">
        <v>3220</v>
      </c>
      <c r="E488" t="s">
        <v>903</v>
      </c>
      <c r="F488" t="s">
        <v>104</v>
      </c>
      <c r="G488" t="s">
        <v>105</v>
      </c>
      <c r="H488">
        <v>0</v>
      </c>
    </row>
    <row r="489" spans="1:8">
      <c r="A489" t="s">
        <v>3639</v>
      </c>
      <c r="B489" s="24">
        <v>46183</v>
      </c>
      <c r="C489" s="27" t="s">
        <v>5797</v>
      </c>
      <c r="D489" s="27" t="s">
        <v>3220</v>
      </c>
      <c r="E489" t="s">
        <v>904</v>
      </c>
      <c r="F489" t="s">
        <v>104</v>
      </c>
      <c r="G489" t="s">
        <v>105</v>
      </c>
      <c r="H489">
        <v>0</v>
      </c>
    </row>
    <row r="490" spans="1:8">
      <c r="A490" t="s">
        <v>3640</v>
      </c>
      <c r="B490" s="24">
        <v>46184</v>
      </c>
      <c r="C490" s="27" t="s">
        <v>5797</v>
      </c>
      <c r="D490" s="27" t="s">
        <v>3220</v>
      </c>
      <c r="E490" t="s">
        <v>905</v>
      </c>
      <c r="F490" t="s">
        <v>104</v>
      </c>
      <c r="G490" t="s">
        <v>105</v>
      </c>
      <c r="H490">
        <v>0</v>
      </c>
    </row>
    <row r="491" spans="1:8">
      <c r="A491" t="s">
        <v>3641</v>
      </c>
      <c r="B491" s="24">
        <v>46185</v>
      </c>
      <c r="C491" s="27" t="s">
        <v>5797</v>
      </c>
      <c r="D491" s="27" t="s">
        <v>3220</v>
      </c>
      <c r="E491" t="s">
        <v>906</v>
      </c>
      <c r="F491" t="s">
        <v>104</v>
      </c>
      <c r="G491" t="s">
        <v>105</v>
      </c>
      <c r="H491">
        <v>0</v>
      </c>
    </row>
    <row r="492" spans="1:8">
      <c r="A492" t="s">
        <v>3642</v>
      </c>
      <c r="B492" s="24">
        <v>46174</v>
      </c>
      <c r="C492" s="27" t="s">
        <v>5797</v>
      </c>
      <c r="D492" s="27" t="s">
        <v>3220</v>
      </c>
      <c r="E492" t="s">
        <v>907</v>
      </c>
      <c r="F492" t="s">
        <v>104</v>
      </c>
      <c r="G492" t="s">
        <v>105</v>
      </c>
      <c r="H492">
        <v>0</v>
      </c>
    </row>
    <row r="493" spans="1:8">
      <c r="A493" t="s">
        <v>3643</v>
      </c>
      <c r="B493" s="24">
        <v>46175</v>
      </c>
      <c r="C493" s="27" t="s">
        <v>5797</v>
      </c>
      <c r="D493" s="27" t="s">
        <v>3220</v>
      </c>
      <c r="E493" t="s">
        <v>908</v>
      </c>
      <c r="F493" t="s">
        <v>104</v>
      </c>
      <c r="G493" t="s">
        <v>105</v>
      </c>
      <c r="H493">
        <v>0</v>
      </c>
    </row>
    <row r="494" spans="1:8">
      <c r="A494" t="s">
        <v>3644</v>
      </c>
      <c r="B494" s="24">
        <v>46176</v>
      </c>
      <c r="C494" s="27" t="s">
        <v>5797</v>
      </c>
      <c r="D494" s="27" t="s">
        <v>3220</v>
      </c>
      <c r="E494" t="s">
        <v>909</v>
      </c>
      <c r="F494" t="s">
        <v>104</v>
      </c>
      <c r="G494" t="s">
        <v>105</v>
      </c>
      <c r="H494">
        <v>0</v>
      </c>
    </row>
    <row r="495" spans="1:8">
      <c r="A495" t="s">
        <v>3645</v>
      </c>
      <c r="B495" s="24">
        <v>46177</v>
      </c>
      <c r="C495" s="27" t="s">
        <v>5797</v>
      </c>
      <c r="D495" s="27" t="s">
        <v>3220</v>
      </c>
      <c r="E495" t="s">
        <v>910</v>
      </c>
      <c r="F495" t="s">
        <v>104</v>
      </c>
      <c r="G495" t="s">
        <v>105</v>
      </c>
      <c r="H495">
        <v>0</v>
      </c>
    </row>
    <row r="496" spans="1:8">
      <c r="A496" t="s">
        <v>3646</v>
      </c>
      <c r="B496" s="24">
        <v>46178</v>
      </c>
      <c r="C496" s="27" t="s">
        <v>5797</v>
      </c>
      <c r="D496" s="27" t="s">
        <v>3220</v>
      </c>
      <c r="E496" t="s">
        <v>911</v>
      </c>
      <c r="F496" t="s">
        <v>104</v>
      </c>
      <c r="G496" t="s">
        <v>105</v>
      </c>
      <c r="H496">
        <v>0</v>
      </c>
    </row>
    <row r="497" spans="1:8">
      <c r="A497" t="s">
        <v>3647</v>
      </c>
      <c r="B497" s="24">
        <v>46181</v>
      </c>
      <c r="C497" s="27" t="s">
        <v>5797</v>
      </c>
      <c r="D497" s="27" t="s">
        <v>3220</v>
      </c>
      <c r="E497" t="s">
        <v>912</v>
      </c>
      <c r="F497" t="s">
        <v>104</v>
      </c>
      <c r="G497" t="s">
        <v>105</v>
      </c>
      <c r="H497">
        <v>0</v>
      </c>
    </row>
    <row r="498" spans="1:8">
      <c r="A498" t="s">
        <v>3648</v>
      </c>
      <c r="B498" s="24">
        <v>46182</v>
      </c>
      <c r="C498" s="27" t="s">
        <v>5797</v>
      </c>
      <c r="D498" s="27" t="s">
        <v>3220</v>
      </c>
      <c r="E498" t="s">
        <v>913</v>
      </c>
      <c r="F498" t="s">
        <v>104</v>
      </c>
      <c r="G498" t="s">
        <v>105</v>
      </c>
      <c r="H498">
        <v>0</v>
      </c>
    </row>
    <row r="499" spans="1:8">
      <c r="A499" t="s">
        <v>3649</v>
      </c>
      <c r="B499" s="24">
        <v>46183</v>
      </c>
      <c r="C499" s="27" t="s">
        <v>5797</v>
      </c>
      <c r="D499" s="27" t="s">
        <v>3220</v>
      </c>
      <c r="E499" t="s">
        <v>914</v>
      </c>
      <c r="F499" t="s">
        <v>104</v>
      </c>
      <c r="G499" t="s">
        <v>105</v>
      </c>
      <c r="H499">
        <v>0</v>
      </c>
    </row>
    <row r="500" spans="1:8">
      <c r="A500" t="s">
        <v>3650</v>
      </c>
      <c r="B500" s="24">
        <v>46184</v>
      </c>
      <c r="C500" s="27" t="s">
        <v>5797</v>
      </c>
      <c r="D500" s="27" t="s">
        <v>3220</v>
      </c>
      <c r="E500" t="s">
        <v>915</v>
      </c>
      <c r="F500" t="s">
        <v>104</v>
      </c>
      <c r="G500" t="s">
        <v>105</v>
      </c>
      <c r="H500">
        <v>0</v>
      </c>
    </row>
    <row r="501" spans="1:8">
      <c r="A501" t="s">
        <v>3651</v>
      </c>
      <c r="B501" s="24">
        <v>46185</v>
      </c>
      <c r="C501" s="27" t="s">
        <v>5797</v>
      </c>
      <c r="D501" s="27" t="s">
        <v>3220</v>
      </c>
      <c r="E501" t="s">
        <v>916</v>
      </c>
      <c r="F501" t="s">
        <v>104</v>
      </c>
      <c r="G501" t="s">
        <v>105</v>
      </c>
      <c r="H501">
        <v>0</v>
      </c>
    </row>
    <row r="502" spans="1:8">
      <c r="A502" t="s">
        <v>3652</v>
      </c>
      <c r="B502" s="24">
        <v>46174</v>
      </c>
      <c r="C502" s="27" t="s">
        <v>5797</v>
      </c>
      <c r="D502" s="27" t="s">
        <v>3220</v>
      </c>
      <c r="E502" t="s">
        <v>917</v>
      </c>
      <c r="F502" t="s">
        <v>104</v>
      </c>
      <c r="G502" t="s">
        <v>105</v>
      </c>
      <c r="H502">
        <v>0</v>
      </c>
    </row>
    <row r="503" spans="1:8">
      <c r="A503" t="s">
        <v>3653</v>
      </c>
      <c r="B503" s="24">
        <v>46175</v>
      </c>
      <c r="C503" s="27" t="s">
        <v>5797</v>
      </c>
      <c r="D503" s="27" t="s">
        <v>3220</v>
      </c>
      <c r="E503" t="s">
        <v>918</v>
      </c>
      <c r="F503" t="s">
        <v>104</v>
      </c>
      <c r="G503" t="s">
        <v>105</v>
      </c>
      <c r="H503">
        <v>0</v>
      </c>
    </row>
    <row r="504" spans="1:8">
      <c r="A504" t="s">
        <v>3654</v>
      </c>
      <c r="B504" s="24">
        <v>46176</v>
      </c>
      <c r="C504" s="27" t="s">
        <v>5797</v>
      </c>
      <c r="D504" s="27" t="s">
        <v>3220</v>
      </c>
      <c r="E504" t="s">
        <v>919</v>
      </c>
      <c r="F504" t="s">
        <v>104</v>
      </c>
      <c r="G504" t="s">
        <v>105</v>
      </c>
      <c r="H504">
        <v>0</v>
      </c>
    </row>
    <row r="505" spans="1:8">
      <c r="A505" t="s">
        <v>3655</v>
      </c>
      <c r="B505" s="24">
        <v>46177</v>
      </c>
      <c r="C505" s="27" t="s">
        <v>5797</v>
      </c>
      <c r="D505" s="27" t="s">
        <v>3220</v>
      </c>
      <c r="E505" t="s">
        <v>920</v>
      </c>
      <c r="F505" t="s">
        <v>104</v>
      </c>
      <c r="G505" t="s">
        <v>105</v>
      </c>
      <c r="H505">
        <v>0</v>
      </c>
    </row>
    <row r="506" spans="1:8">
      <c r="A506" t="s">
        <v>3656</v>
      </c>
      <c r="B506" s="24">
        <v>46178</v>
      </c>
      <c r="C506" s="27" t="s">
        <v>5797</v>
      </c>
      <c r="D506" s="27" t="s">
        <v>3220</v>
      </c>
      <c r="E506" t="s">
        <v>921</v>
      </c>
      <c r="F506" t="s">
        <v>104</v>
      </c>
      <c r="G506" t="s">
        <v>105</v>
      </c>
      <c r="H506">
        <v>0</v>
      </c>
    </row>
    <row r="507" spans="1:8">
      <c r="A507" t="s">
        <v>3657</v>
      </c>
      <c r="B507" s="24">
        <v>46181</v>
      </c>
      <c r="C507" s="27" t="s">
        <v>5797</v>
      </c>
      <c r="D507" s="27" t="s">
        <v>3220</v>
      </c>
      <c r="E507" t="s">
        <v>922</v>
      </c>
      <c r="F507" t="s">
        <v>104</v>
      </c>
      <c r="G507" t="s">
        <v>105</v>
      </c>
      <c r="H507">
        <v>0</v>
      </c>
    </row>
    <row r="508" spans="1:8">
      <c r="A508" t="s">
        <v>3658</v>
      </c>
      <c r="B508" s="24">
        <v>46182</v>
      </c>
      <c r="C508" s="27" t="s">
        <v>5797</v>
      </c>
      <c r="D508" s="27" t="s">
        <v>3220</v>
      </c>
      <c r="E508" t="s">
        <v>923</v>
      </c>
      <c r="F508" t="s">
        <v>104</v>
      </c>
      <c r="G508" t="s">
        <v>105</v>
      </c>
      <c r="H508">
        <v>0</v>
      </c>
    </row>
    <row r="509" spans="1:8">
      <c r="A509" t="s">
        <v>3659</v>
      </c>
      <c r="B509" s="24">
        <v>46183</v>
      </c>
      <c r="C509" s="27" t="s">
        <v>5797</v>
      </c>
      <c r="D509" s="27" t="s">
        <v>3220</v>
      </c>
      <c r="E509" t="s">
        <v>924</v>
      </c>
      <c r="F509" t="s">
        <v>104</v>
      </c>
      <c r="G509" t="s">
        <v>105</v>
      </c>
      <c r="H509">
        <v>0</v>
      </c>
    </row>
    <row r="510" spans="1:8">
      <c r="A510" t="s">
        <v>3660</v>
      </c>
      <c r="B510" s="24">
        <v>46184</v>
      </c>
      <c r="C510" s="27" t="s">
        <v>5797</v>
      </c>
      <c r="D510" s="27" t="s">
        <v>3220</v>
      </c>
      <c r="E510" t="s">
        <v>925</v>
      </c>
      <c r="F510" t="s">
        <v>104</v>
      </c>
      <c r="G510" t="s">
        <v>105</v>
      </c>
      <c r="H510">
        <v>0</v>
      </c>
    </row>
    <row r="511" spans="1:8">
      <c r="A511" t="s">
        <v>3661</v>
      </c>
      <c r="B511" s="24">
        <v>46185</v>
      </c>
      <c r="C511" s="27" t="s">
        <v>5797</v>
      </c>
      <c r="D511" s="27" t="s">
        <v>3220</v>
      </c>
      <c r="E511" t="s">
        <v>926</v>
      </c>
      <c r="F511" t="s">
        <v>104</v>
      </c>
      <c r="G511" t="s">
        <v>105</v>
      </c>
      <c r="H511">
        <v>0</v>
      </c>
    </row>
    <row r="512" spans="1:8">
      <c r="A512" t="s">
        <v>3662</v>
      </c>
      <c r="B512" s="24">
        <v>46174</v>
      </c>
      <c r="C512" s="27" t="s">
        <v>5797</v>
      </c>
      <c r="D512" s="27" t="s">
        <v>3220</v>
      </c>
      <c r="E512" t="s">
        <v>927</v>
      </c>
      <c r="F512" t="s">
        <v>104</v>
      </c>
      <c r="G512" t="s">
        <v>105</v>
      </c>
      <c r="H512">
        <v>0</v>
      </c>
    </row>
    <row r="513" spans="1:8">
      <c r="A513" t="s">
        <v>3663</v>
      </c>
      <c r="B513" s="24">
        <v>46175</v>
      </c>
      <c r="C513" s="27" t="s">
        <v>5797</v>
      </c>
      <c r="D513" s="27" t="s">
        <v>3220</v>
      </c>
      <c r="E513" t="s">
        <v>928</v>
      </c>
      <c r="F513" t="s">
        <v>104</v>
      </c>
      <c r="G513" t="s">
        <v>105</v>
      </c>
      <c r="H513">
        <v>0</v>
      </c>
    </row>
    <row r="514" spans="1:8">
      <c r="A514" t="s">
        <v>3664</v>
      </c>
      <c r="B514" s="24">
        <v>46176</v>
      </c>
      <c r="C514" s="27" t="s">
        <v>5797</v>
      </c>
      <c r="D514" s="27" t="s">
        <v>3220</v>
      </c>
      <c r="E514" t="s">
        <v>929</v>
      </c>
      <c r="F514" t="s">
        <v>104</v>
      </c>
      <c r="G514" t="s">
        <v>105</v>
      </c>
      <c r="H514">
        <v>0</v>
      </c>
    </row>
    <row r="515" spans="1:8">
      <c r="A515" t="s">
        <v>3665</v>
      </c>
      <c r="B515" s="24">
        <v>46177</v>
      </c>
      <c r="C515" s="27" t="s">
        <v>5797</v>
      </c>
      <c r="D515" s="27" t="s">
        <v>3220</v>
      </c>
      <c r="E515" t="s">
        <v>930</v>
      </c>
      <c r="F515" t="s">
        <v>104</v>
      </c>
      <c r="G515" t="s">
        <v>105</v>
      </c>
      <c r="H515">
        <v>0</v>
      </c>
    </row>
    <row r="516" spans="1:8">
      <c r="A516" t="s">
        <v>3666</v>
      </c>
      <c r="B516" s="24">
        <v>46178</v>
      </c>
      <c r="C516" s="27" t="s">
        <v>5797</v>
      </c>
      <c r="D516" s="27" t="s">
        <v>3220</v>
      </c>
      <c r="E516" t="s">
        <v>931</v>
      </c>
      <c r="F516" t="s">
        <v>104</v>
      </c>
      <c r="H516" t="s">
        <v>5762</v>
      </c>
    </row>
    <row r="517" spans="1:8">
      <c r="A517" t="s">
        <v>3667</v>
      </c>
      <c r="B517" s="24">
        <v>46181</v>
      </c>
      <c r="C517" s="27" t="s">
        <v>5797</v>
      </c>
      <c r="D517" s="27" t="s">
        <v>3220</v>
      </c>
      <c r="E517" t="s">
        <v>932</v>
      </c>
      <c r="F517" t="s">
        <v>104</v>
      </c>
      <c r="H517" t="s">
        <v>5762</v>
      </c>
    </row>
    <row r="518" spans="1:8">
      <c r="A518" t="s">
        <v>3668</v>
      </c>
      <c r="B518" s="24">
        <v>46182</v>
      </c>
      <c r="C518" s="27" t="s">
        <v>5797</v>
      </c>
      <c r="D518" s="27" t="s">
        <v>3220</v>
      </c>
      <c r="E518" t="s">
        <v>933</v>
      </c>
      <c r="F518" t="s">
        <v>104</v>
      </c>
      <c r="H518" t="s">
        <v>5762</v>
      </c>
    </row>
    <row r="519" spans="1:8">
      <c r="A519" t="s">
        <v>3669</v>
      </c>
      <c r="B519" s="24">
        <v>46183</v>
      </c>
      <c r="C519" s="27" t="s">
        <v>5797</v>
      </c>
      <c r="D519" s="27" t="s">
        <v>3220</v>
      </c>
      <c r="E519" t="s">
        <v>934</v>
      </c>
      <c r="F519" t="s">
        <v>104</v>
      </c>
      <c r="H519" t="s">
        <v>5762</v>
      </c>
    </row>
    <row r="520" spans="1:8">
      <c r="A520" t="s">
        <v>3670</v>
      </c>
      <c r="B520" s="24">
        <v>46184</v>
      </c>
      <c r="C520" s="27" t="s">
        <v>5797</v>
      </c>
      <c r="D520" s="27" t="s">
        <v>3220</v>
      </c>
      <c r="E520" t="s">
        <v>935</v>
      </c>
      <c r="F520" t="s">
        <v>104</v>
      </c>
      <c r="H520" t="s">
        <v>5762</v>
      </c>
    </row>
    <row r="521" spans="1:8">
      <c r="A521" t="s">
        <v>3671</v>
      </c>
      <c r="B521" s="24">
        <v>46185</v>
      </c>
      <c r="C521" s="27" t="s">
        <v>5797</v>
      </c>
      <c r="D521" s="27" t="s">
        <v>3220</v>
      </c>
      <c r="E521" t="s">
        <v>936</v>
      </c>
      <c r="F521" t="s">
        <v>104</v>
      </c>
      <c r="H521" t="s">
        <v>5762</v>
      </c>
    </row>
    <row r="522" spans="1:8">
      <c r="A522" t="s">
        <v>3672</v>
      </c>
      <c r="B522" s="24">
        <v>46174</v>
      </c>
      <c r="C522" s="27" t="s">
        <v>5797</v>
      </c>
      <c r="D522" s="27" t="s">
        <v>3220</v>
      </c>
      <c r="E522" t="s">
        <v>937</v>
      </c>
      <c r="F522" t="s">
        <v>104</v>
      </c>
      <c r="H522" t="s">
        <v>5762</v>
      </c>
    </row>
    <row r="523" spans="1:8">
      <c r="A523" t="s">
        <v>3673</v>
      </c>
      <c r="B523" s="24">
        <v>46175</v>
      </c>
      <c r="C523" s="27" t="s">
        <v>5797</v>
      </c>
      <c r="D523" s="27" t="s">
        <v>3220</v>
      </c>
      <c r="E523" t="s">
        <v>938</v>
      </c>
      <c r="F523" t="s">
        <v>104</v>
      </c>
      <c r="H523" t="s">
        <v>5762</v>
      </c>
    </row>
    <row r="524" spans="1:8">
      <c r="A524" t="s">
        <v>3674</v>
      </c>
      <c r="B524" s="24">
        <v>46176</v>
      </c>
      <c r="C524" s="27" t="s">
        <v>5797</v>
      </c>
      <c r="D524" s="27" t="s">
        <v>3220</v>
      </c>
      <c r="E524" t="s">
        <v>939</v>
      </c>
      <c r="F524" t="s">
        <v>104</v>
      </c>
      <c r="H524" t="s">
        <v>5762</v>
      </c>
    </row>
    <row r="525" spans="1:8">
      <c r="A525" t="s">
        <v>3675</v>
      </c>
      <c r="B525" s="24">
        <v>46177</v>
      </c>
      <c r="C525" s="27" t="s">
        <v>5797</v>
      </c>
      <c r="D525" s="27" t="s">
        <v>3220</v>
      </c>
      <c r="E525" t="s">
        <v>940</v>
      </c>
      <c r="F525" t="s">
        <v>104</v>
      </c>
      <c r="H525" t="s">
        <v>5762</v>
      </c>
    </row>
    <row r="526" spans="1:8">
      <c r="A526" t="s">
        <v>3676</v>
      </c>
      <c r="B526" s="24">
        <v>46178</v>
      </c>
      <c r="C526" s="27" t="s">
        <v>5797</v>
      </c>
      <c r="D526" s="27" t="s">
        <v>3220</v>
      </c>
      <c r="E526" t="s">
        <v>941</v>
      </c>
      <c r="F526" t="s">
        <v>104</v>
      </c>
      <c r="H526" t="s">
        <v>5762</v>
      </c>
    </row>
    <row r="527" spans="1:8">
      <c r="A527" t="s">
        <v>3677</v>
      </c>
      <c r="B527" s="24">
        <v>46181</v>
      </c>
      <c r="C527" s="27" t="s">
        <v>5797</v>
      </c>
      <c r="D527" s="27" t="s">
        <v>3220</v>
      </c>
      <c r="E527" t="s">
        <v>942</v>
      </c>
      <c r="F527" t="s">
        <v>104</v>
      </c>
      <c r="H527" t="s">
        <v>5762</v>
      </c>
    </row>
    <row r="528" spans="1:8">
      <c r="A528" t="s">
        <v>3678</v>
      </c>
      <c r="B528" s="24">
        <v>46182</v>
      </c>
      <c r="C528" s="27" t="s">
        <v>5797</v>
      </c>
      <c r="D528" s="27" t="s">
        <v>3220</v>
      </c>
      <c r="E528" t="s">
        <v>943</v>
      </c>
      <c r="F528" t="s">
        <v>104</v>
      </c>
      <c r="H528" t="s">
        <v>5762</v>
      </c>
    </row>
    <row r="529" spans="1:8">
      <c r="A529" t="s">
        <v>3679</v>
      </c>
      <c r="B529" s="24">
        <v>46183</v>
      </c>
      <c r="C529" s="27" t="s">
        <v>5797</v>
      </c>
      <c r="D529" s="27" t="s">
        <v>3220</v>
      </c>
      <c r="E529" t="s">
        <v>944</v>
      </c>
      <c r="F529" t="s">
        <v>104</v>
      </c>
      <c r="H529" t="s">
        <v>5762</v>
      </c>
    </row>
    <row r="530" spans="1:8">
      <c r="A530" t="s">
        <v>3680</v>
      </c>
      <c r="B530" s="24">
        <v>46184</v>
      </c>
      <c r="C530" s="27" t="s">
        <v>5797</v>
      </c>
      <c r="D530" s="27" t="s">
        <v>3220</v>
      </c>
      <c r="E530" t="s">
        <v>945</v>
      </c>
      <c r="F530" t="s">
        <v>104</v>
      </c>
      <c r="H530" t="s">
        <v>5762</v>
      </c>
    </row>
    <row r="531" spans="1:8">
      <c r="A531" t="s">
        <v>3681</v>
      </c>
      <c r="B531" s="24">
        <v>46185</v>
      </c>
      <c r="C531" s="27" t="s">
        <v>5797</v>
      </c>
      <c r="D531" s="27" t="s">
        <v>3220</v>
      </c>
      <c r="E531" t="s">
        <v>946</v>
      </c>
      <c r="F531" t="s">
        <v>104</v>
      </c>
      <c r="H531" t="s">
        <v>5762</v>
      </c>
    </row>
    <row r="532" spans="1:8">
      <c r="A532" t="s">
        <v>3682</v>
      </c>
      <c r="B532" s="24">
        <v>46174</v>
      </c>
      <c r="C532" s="27" t="s">
        <v>5797</v>
      </c>
      <c r="D532" s="27" t="s">
        <v>3220</v>
      </c>
      <c r="E532" t="s">
        <v>947</v>
      </c>
      <c r="F532" t="s">
        <v>104</v>
      </c>
      <c r="H532" t="s">
        <v>5762</v>
      </c>
    </row>
    <row r="533" spans="1:8">
      <c r="A533" t="s">
        <v>3683</v>
      </c>
      <c r="B533" s="24">
        <v>46175</v>
      </c>
      <c r="C533" s="27" t="s">
        <v>5797</v>
      </c>
      <c r="D533" s="27" t="s">
        <v>3220</v>
      </c>
      <c r="E533" t="s">
        <v>948</v>
      </c>
      <c r="F533" t="s">
        <v>104</v>
      </c>
      <c r="H533" t="s">
        <v>5762</v>
      </c>
    </row>
    <row r="534" spans="1:8">
      <c r="A534" t="s">
        <v>3684</v>
      </c>
      <c r="B534" s="24">
        <v>46176</v>
      </c>
      <c r="C534" s="27" t="s">
        <v>5797</v>
      </c>
      <c r="D534" s="27" t="s">
        <v>3220</v>
      </c>
      <c r="E534" t="s">
        <v>949</v>
      </c>
      <c r="F534" t="s">
        <v>104</v>
      </c>
      <c r="H534" t="s">
        <v>5762</v>
      </c>
    </row>
    <row r="535" spans="1:8">
      <c r="A535" t="s">
        <v>3685</v>
      </c>
      <c r="B535" s="24">
        <v>46177</v>
      </c>
      <c r="C535" s="27" t="s">
        <v>5797</v>
      </c>
      <c r="D535" s="27" t="s">
        <v>3220</v>
      </c>
      <c r="E535" t="s">
        <v>950</v>
      </c>
      <c r="F535" t="s">
        <v>104</v>
      </c>
      <c r="H535" t="s">
        <v>5762</v>
      </c>
    </row>
    <row r="536" spans="1:8">
      <c r="A536" t="s">
        <v>3686</v>
      </c>
      <c r="B536" s="24">
        <v>46178</v>
      </c>
      <c r="C536" s="27" t="s">
        <v>5797</v>
      </c>
      <c r="D536" s="27" t="s">
        <v>3220</v>
      </c>
      <c r="E536" t="s">
        <v>951</v>
      </c>
      <c r="F536" t="s">
        <v>104</v>
      </c>
      <c r="H536" t="s">
        <v>5762</v>
      </c>
    </row>
    <row r="537" spans="1:8">
      <c r="A537" t="s">
        <v>3687</v>
      </c>
      <c r="B537" s="24">
        <v>46181</v>
      </c>
      <c r="C537" s="27" t="s">
        <v>5797</v>
      </c>
      <c r="D537" s="27" t="s">
        <v>3220</v>
      </c>
      <c r="E537" t="s">
        <v>952</v>
      </c>
      <c r="F537" t="s">
        <v>104</v>
      </c>
      <c r="H537" t="s">
        <v>5762</v>
      </c>
    </row>
    <row r="538" spans="1:8">
      <c r="A538" t="s">
        <v>3688</v>
      </c>
      <c r="B538" s="24">
        <v>46182</v>
      </c>
      <c r="C538" s="27" t="s">
        <v>5797</v>
      </c>
      <c r="D538" s="27" t="s">
        <v>3220</v>
      </c>
      <c r="E538" t="s">
        <v>953</v>
      </c>
      <c r="F538" t="s">
        <v>104</v>
      </c>
      <c r="H538" t="s">
        <v>5762</v>
      </c>
    </row>
    <row r="539" spans="1:8">
      <c r="A539" t="s">
        <v>3689</v>
      </c>
      <c r="B539" s="24">
        <v>46183</v>
      </c>
      <c r="C539" s="27" t="s">
        <v>5797</v>
      </c>
      <c r="D539" s="27" t="s">
        <v>3220</v>
      </c>
      <c r="E539" t="s">
        <v>954</v>
      </c>
      <c r="F539" t="s">
        <v>104</v>
      </c>
      <c r="H539" t="s">
        <v>5762</v>
      </c>
    </row>
    <row r="540" spans="1:8">
      <c r="A540" t="s">
        <v>3690</v>
      </c>
      <c r="B540" s="24">
        <v>46184</v>
      </c>
      <c r="C540" s="27" t="s">
        <v>5797</v>
      </c>
      <c r="D540" s="27" t="s">
        <v>3220</v>
      </c>
      <c r="E540" t="s">
        <v>955</v>
      </c>
      <c r="F540" t="s">
        <v>104</v>
      </c>
      <c r="H540" t="s">
        <v>5762</v>
      </c>
    </row>
    <row r="541" spans="1:8">
      <c r="A541" t="s">
        <v>3691</v>
      </c>
      <c r="B541" s="24">
        <v>46185</v>
      </c>
      <c r="C541" s="27" t="s">
        <v>5797</v>
      </c>
      <c r="D541" s="27" t="s">
        <v>3220</v>
      </c>
      <c r="E541" t="s">
        <v>956</v>
      </c>
      <c r="F541" t="s">
        <v>104</v>
      </c>
      <c r="H541" t="s">
        <v>5762</v>
      </c>
    </row>
    <row r="542" spans="1:8">
      <c r="A542" t="s">
        <v>3692</v>
      </c>
      <c r="B542" s="24">
        <v>46186</v>
      </c>
      <c r="C542" s="27" t="s">
        <v>5797</v>
      </c>
      <c r="D542" s="27" t="s">
        <v>3220</v>
      </c>
      <c r="E542" t="s">
        <v>957</v>
      </c>
      <c r="F542" t="s">
        <v>104</v>
      </c>
      <c r="H542" t="s">
        <v>5762</v>
      </c>
    </row>
    <row r="543" spans="1:8">
      <c r="A543" t="s">
        <v>3693</v>
      </c>
      <c r="B543" s="24">
        <v>46187</v>
      </c>
      <c r="C543" s="27" t="s">
        <v>5797</v>
      </c>
      <c r="D543" s="27" t="s">
        <v>3220</v>
      </c>
      <c r="E543" t="s">
        <v>958</v>
      </c>
      <c r="F543" t="s">
        <v>104</v>
      </c>
      <c r="H543" t="s">
        <v>5762</v>
      </c>
    </row>
    <row r="544" spans="1:8">
      <c r="A544" t="s">
        <v>3694</v>
      </c>
      <c r="B544" s="24">
        <v>46188</v>
      </c>
      <c r="C544" s="27" t="s">
        <v>5797</v>
      </c>
      <c r="D544" s="27" t="s">
        <v>3220</v>
      </c>
      <c r="E544" t="s">
        <v>959</v>
      </c>
      <c r="F544" t="s">
        <v>104</v>
      </c>
      <c r="H544" t="s">
        <v>5762</v>
      </c>
    </row>
    <row r="545" spans="1:8">
      <c r="A545" t="s">
        <v>3695</v>
      </c>
      <c r="B545" s="24">
        <v>46189</v>
      </c>
      <c r="C545" s="27" t="s">
        <v>5797</v>
      </c>
      <c r="D545" s="27" t="s">
        <v>3220</v>
      </c>
      <c r="E545" t="s">
        <v>960</v>
      </c>
      <c r="F545" t="s">
        <v>104</v>
      </c>
      <c r="H545" t="s">
        <v>5762</v>
      </c>
    </row>
    <row r="546" spans="1:8">
      <c r="A546" t="s">
        <v>3696</v>
      </c>
      <c r="B546" s="24">
        <v>46190</v>
      </c>
      <c r="C546" s="27" t="s">
        <v>5797</v>
      </c>
      <c r="D546" s="27" t="s">
        <v>3220</v>
      </c>
      <c r="E546" t="s">
        <v>961</v>
      </c>
      <c r="F546" t="s">
        <v>104</v>
      </c>
      <c r="H546" t="s">
        <v>5762</v>
      </c>
    </row>
    <row r="547" spans="1:8">
      <c r="A547" t="s">
        <v>3697</v>
      </c>
      <c r="B547" s="24">
        <v>46174</v>
      </c>
      <c r="C547" s="27" t="s">
        <v>5797</v>
      </c>
      <c r="D547" s="27" t="s">
        <v>3220</v>
      </c>
      <c r="E547" t="s">
        <v>962</v>
      </c>
      <c r="F547" t="s">
        <v>104</v>
      </c>
      <c r="H547" t="s">
        <v>5762</v>
      </c>
    </row>
    <row r="548" spans="1:8">
      <c r="A548" t="s">
        <v>3698</v>
      </c>
      <c r="B548" s="24">
        <v>46175</v>
      </c>
      <c r="C548" s="27" t="s">
        <v>5797</v>
      </c>
      <c r="D548" s="27" t="s">
        <v>3220</v>
      </c>
      <c r="E548" t="s">
        <v>963</v>
      </c>
      <c r="F548" t="s">
        <v>104</v>
      </c>
      <c r="H548" t="s">
        <v>5762</v>
      </c>
    </row>
    <row r="549" spans="1:8">
      <c r="A549" t="s">
        <v>3699</v>
      </c>
      <c r="B549" s="24">
        <v>46176</v>
      </c>
      <c r="C549" s="27" t="s">
        <v>5797</v>
      </c>
      <c r="D549" s="27" t="s">
        <v>3220</v>
      </c>
      <c r="E549" t="s">
        <v>964</v>
      </c>
      <c r="F549" t="s">
        <v>104</v>
      </c>
      <c r="H549" t="s">
        <v>5762</v>
      </c>
    </row>
    <row r="550" spans="1:8">
      <c r="A550" t="s">
        <v>3700</v>
      </c>
      <c r="B550" s="24">
        <v>46177</v>
      </c>
      <c r="C550" s="27" t="s">
        <v>5797</v>
      </c>
      <c r="D550" s="27" t="s">
        <v>3220</v>
      </c>
      <c r="E550" t="s">
        <v>965</v>
      </c>
      <c r="F550" t="s">
        <v>104</v>
      </c>
      <c r="H550" t="s">
        <v>5762</v>
      </c>
    </row>
    <row r="551" spans="1:8">
      <c r="A551" t="s">
        <v>3701</v>
      </c>
      <c r="B551" s="24">
        <v>46178</v>
      </c>
      <c r="C551" s="27" t="s">
        <v>5797</v>
      </c>
      <c r="D551" s="27" t="s">
        <v>3220</v>
      </c>
      <c r="E551" t="s">
        <v>966</v>
      </c>
      <c r="F551" t="s">
        <v>104</v>
      </c>
      <c r="H551" t="s">
        <v>5762</v>
      </c>
    </row>
    <row r="552" spans="1:8">
      <c r="A552" t="s">
        <v>3702</v>
      </c>
      <c r="B552" s="24">
        <v>46181</v>
      </c>
      <c r="C552" s="27" t="s">
        <v>5797</v>
      </c>
      <c r="D552" s="27" t="s">
        <v>3220</v>
      </c>
      <c r="E552" t="s">
        <v>967</v>
      </c>
      <c r="F552" t="s">
        <v>104</v>
      </c>
      <c r="H552" t="s">
        <v>5762</v>
      </c>
    </row>
    <row r="553" spans="1:8">
      <c r="A553" t="s">
        <v>3703</v>
      </c>
      <c r="B553" s="24">
        <v>46182</v>
      </c>
      <c r="C553" s="27" t="s">
        <v>5797</v>
      </c>
      <c r="D553" s="27" t="s">
        <v>3220</v>
      </c>
      <c r="E553" t="s">
        <v>968</v>
      </c>
      <c r="F553" t="s">
        <v>104</v>
      </c>
      <c r="H553" t="s">
        <v>5762</v>
      </c>
    </row>
    <row r="554" spans="1:8">
      <c r="A554" t="s">
        <v>3704</v>
      </c>
      <c r="B554" s="24">
        <v>46183</v>
      </c>
      <c r="C554" s="27" t="s">
        <v>5797</v>
      </c>
      <c r="D554" s="27" t="s">
        <v>3220</v>
      </c>
      <c r="E554" t="s">
        <v>969</v>
      </c>
      <c r="F554" t="s">
        <v>104</v>
      </c>
      <c r="H554" t="s">
        <v>5762</v>
      </c>
    </row>
    <row r="555" spans="1:8">
      <c r="A555" t="s">
        <v>3705</v>
      </c>
      <c r="B555" s="24">
        <v>46184</v>
      </c>
      <c r="C555" s="27" t="s">
        <v>5797</v>
      </c>
      <c r="D555" s="27" t="s">
        <v>3220</v>
      </c>
      <c r="E555" t="s">
        <v>970</v>
      </c>
      <c r="F555" t="s">
        <v>104</v>
      </c>
      <c r="H555" t="s">
        <v>5762</v>
      </c>
    </row>
    <row r="556" spans="1:8">
      <c r="A556" t="s">
        <v>3706</v>
      </c>
      <c r="B556" s="24">
        <v>46185</v>
      </c>
      <c r="C556" s="27" t="s">
        <v>5797</v>
      </c>
      <c r="D556" s="27" t="s">
        <v>3220</v>
      </c>
      <c r="E556" t="s">
        <v>971</v>
      </c>
      <c r="F556" t="s">
        <v>104</v>
      </c>
      <c r="H556" t="s">
        <v>5762</v>
      </c>
    </row>
    <row r="557" spans="1:8">
      <c r="A557" t="s">
        <v>3707</v>
      </c>
      <c r="B557" s="24">
        <v>46174</v>
      </c>
      <c r="C557" s="27" t="s">
        <v>5797</v>
      </c>
      <c r="D557" s="27" t="s">
        <v>3220</v>
      </c>
      <c r="E557" t="s">
        <v>972</v>
      </c>
      <c r="F557" t="s">
        <v>104</v>
      </c>
      <c r="H557" t="s">
        <v>5762</v>
      </c>
    </row>
    <row r="558" spans="1:8">
      <c r="A558" t="s">
        <v>3708</v>
      </c>
      <c r="B558" s="24">
        <v>46175</v>
      </c>
      <c r="C558" s="27" t="s">
        <v>5797</v>
      </c>
      <c r="D558" s="27" t="s">
        <v>3220</v>
      </c>
      <c r="E558" t="s">
        <v>973</v>
      </c>
      <c r="F558" t="s">
        <v>104</v>
      </c>
      <c r="H558" t="s">
        <v>5762</v>
      </c>
    </row>
    <row r="559" spans="1:8">
      <c r="A559" t="s">
        <v>3709</v>
      </c>
      <c r="B559" s="24">
        <v>46176</v>
      </c>
      <c r="C559" s="27" t="s">
        <v>5797</v>
      </c>
      <c r="D559" s="27" t="s">
        <v>3220</v>
      </c>
      <c r="E559" t="s">
        <v>974</v>
      </c>
      <c r="F559" t="s">
        <v>104</v>
      </c>
      <c r="H559" t="s">
        <v>5762</v>
      </c>
    </row>
    <row r="560" spans="1:8">
      <c r="A560" t="s">
        <v>3710</v>
      </c>
      <c r="B560" s="24">
        <v>46177</v>
      </c>
      <c r="C560" s="27" t="s">
        <v>5797</v>
      </c>
      <c r="D560" s="27" t="s">
        <v>3220</v>
      </c>
      <c r="E560" t="s">
        <v>975</v>
      </c>
      <c r="F560" t="s">
        <v>104</v>
      </c>
      <c r="H560" t="s">
        <v>5762</v>
      </c>
    </row>
    <row r="561" spans="1:8">
      <c r="A561" t="s">
        <v>3711</v>
      </c>
      <c r="B561" s="24">
        <v>46178</v>
      </c>
      <c r="C561" s="27" t="s">
        <v>5797</v>
      </c>
      <c r="D561" s="27" t="s">
        <v>3220</v>
      </c>
      <c r="E561" t="s">
        <v>976</v>
      </c>
      <c r="F561" t="s">
        <v>104</v>
      </c>
      <c r="H561" t="s">
        <v>5762</v>
      </c>
    </row>
    <row r="562" spans="1:8">
      <c r="A562" t="s">
        <v>3712</v>
      </c>
      <c r="B562" s="24">
        <v>46181</v>
      </c>
      <c r="C562" s="27" t="s">
        <v>5797</v>
      </c>
      <c r="D562" s="27" t="s">
        <v>3220</v>
      </c>
      <c r="E562" t="s">
        <v>977</v>
      </c>
      <c r="F562" t="s">
        <v>104</v>
      </c>
      <c r="H562" t="s">
        <v>5762</v>
      </c>
    </row>
    <row r="563" spans="1:8">
      <c r="A563" t="s">
        <v>3713</v>
      </c>
      <c r="B563" s="24">
        <v>46182</v>
      </c>
      <c r="C563" s="27" t="s">
        <v>5797</v>
      </c>
      <c r="D563" s="27" t="s">
        <v>3220</v>
      </c>
      <c r="E563" t="s">
        <v>978</v>
      </c>
      <c r="F563" t="s">
        <v>104</v>
      </c>
      <c r="H563" t="s">
        <v>5762</v>
      </c>
    </row>
    <row r="564" spans="1:8">
      <c r="A564" t="s">
        <v>3714</v>
      </c>
      <c r="B564" s="24">
        <v>46183</v>
      </c>
      <c r="C564" s="27" t="s">
        <v>5797</v>
      </c>
      <c r="D564" s="27" t="s">
        <v>3220</v>
      </c>
      <c r="E564" t="s">
        <v>979</v>
      </c>
      <c r="F564" t="s">
        <v>104</v>
      </c>
      <c r="H564" t="s">
        <v>5762</v>
      </c>
    </row>
    <row r="565" spans="1:8">
      <c r="A565" t="s">
        <v>3715</v>
      </c>
      <c r="B565" s="24">
        <v>46184</v>
      </c>
      <c r="C565" s="27" t="s">
        <v>5797</v>
      </c>
      <c r="D565" s="27" t="s">
        <v>3220</v>
      </c>
      <c r="E565" t="s">
        <v>980</v>
      </c>
      <c r="F565" t="s">
        <v>104</v>
      </c>
      <c r="H565" t="s">
        <v>5762</v>
      </c>
    </row>
    <row r="566" spans="1:8">
      <c r="A566" t="s">
        <v>3716</v>
      </c>
      <c r="B566" s="24">
        <v>46185</v>
      </c>
      <c r="C566" s="27" t="s">
        <v>5797</v>
      </c>
      <c r="D566" s="27" t="s">
        <v>3220</v>
      </c>
      <c r="E566" t="s">
        <v>981</v>
      </c>
      <c r="F566" t="s">
        <v>104</v>
      </c>
      <c r="H566" t="s">
        <v>5762</v>
      </c>
    </row>
    <row r="567" spans="1:8">
      <c r="A567" t="s">
        <v>3717</v>
      </c>
      <c r="B567" s="24">
        <v>46174</v>
      </c>
      <c r="C567" s="27" t="s">
        <v>5797</v>
      </c>
      <c r="D567" s="27" t="s">
        <v>3220</v>
      </c>
      <c r="E567" t="s">
        <v>982</v>
      </c>
      <c r="F567" t="s">
        <v>104</v>
      </c>
      <c r="H567" t="s">
        <v>5762</v>
      </c>
    </row>
    <row r="568" spans="1:8">
      <c r="A568" t="s">
        <v>3718</v>
      </c>
      <c r="B568" s="24">
        <v>46175</v>
      </c>
      <c r="C568" s="27" t="s">
        <v>5797</v>
      </c>
      <c r="D568" s="27" t="s">
        <v>3220</v>
      </c>
      <c r="E568" t="s">
        <v>983</v>
      </c>
      <c r="F568" t="s">
        <v>104</v>
      </c>
      <c r="H568" t="s">
        <v>5762</v>
      </c>
    </row>
    <row r="569" spans="1:8">
      <c r="A569" t="s">
        <v>3719</v>
      </c>
      <c r="B569" s="24">
        <v>46176</v>
      </c>
      <c r="C569" s="27" t="s">
        <v>5797</v>
      </c>
      <c r="D569" s="27" t="s">
        <v>3220</v>
      </c>
      <c r="E569" t="s">
        <v>984</v>
      </c>
      <c r="F569" t="s">
        <v>104</v>
      </c>
      <c r="H569" t="s">
        <v>5762</v>
      </c>
    </row>
    <row r="570" spans="1:8">
      <c r="A570" t="s">
        <v>3720</v>
      </c>
      <c r="B570" s="24">
        <v>46177</v>
      </c>
      <c r="C570" s="27" t="s">
        <v>5797</v>
      </c>
      <c r="D570" s="27" t="s">
        <v>3220</v>
      </c>
      <c r="E570" t="s">
        <v>985</v>
      </c>
      <c r="F570" t="s">
        <v>104</v>
      </c>
      <c r="H570" t="s">
        <v>5762</v>
      </c>
    </row>
    <row r="571" spans="1:8">
      <c r="A571" t="s">
        <v>3721</v>
      </c>
      <c r="B571" s="24">
        <v>46178</v>
      </c>
      <c r="C571" s="27" t="s">
        <v>5797</v>
      </c>
      <c r="D571" s="27" t="s">
        <v>3220</v>
      </c>
      <c r="E571" t="s">
        <v>986</v>
      </c>
      <c r="F571" t="s">
        <v>104</v>
      </c>
      <c r="H571" t="s">
        <v>5762</v>
      </c>
    </row>
    <row r="572" spans="1:8">
      <c r="A572" t="s">
        <v>3722</v>
      </c>
      <c r="B572" s="24">
        <v>46181</v>
      </c>
      <c r="C572" s="27" t="s">
        <v>5797</v>
      </c>
      <c r="D572" s="27" t="s">
        <v>3220</v>
      </c>
      <c r="E572" t="s">
        <v>987</v>
      </c>
      <c r="F572" t="s">
        <v>104</v>
      </c>
      <c r="H572" t="s">
        <v>5762</v>
      </c>
    </row>
    <row r="573" spans="1:8">
      <c r="A573" t="s">
        <v>3723</v>
      </c>
      <c r="B573" s="24">
        <v>46182</v>
      </c>
      <c r="C573" s="27" t="s">
        <v>5797</v>
      </c>
      <c r="D573" s="27" t="s">
        <v>3220</v>
      </c>
      <c r="E573" t="s">
        <v>988</v>
      </c>
      <c r="F573" t="s">
        <v>104</v>
      </c>
      <c r="H573" t="s">
        <v>5762</v>
      </c>
    </row>
    <row r="574" spans="1:8">
      <c r="A574" t="s">
        <v>3724</v>
      </c>
      <c r="B574" s="24">
        <v>46183</v>
      </c>
      <c r="C574" s="27" t="s">
        <v>5797</v>
      </c>
      <c r="D574" s="27" t="s">
        <v>3220</v>
      </c>
      <c r="E574" t="s">
        <v>989</v>
      </c>
      <c r="F574" t="s">
        <v>104</v>
      </c>
      <c r="H574" t="s">
        <v>5762</v>
      </c>
    </row>
    <row r="575" spans="1:8">
      <c r="A575" t="s">
        <v>3725</v>
      </c>
      <c r="B575" s="24">
        <v>46184</v>
      </c>
      <c r="C575" s="27" t="s">
        <v>5797</v>
      </c>
      <c r="D575" s="27" t="s">
        <v>3220</v>
      </c>
      <c r="E575" t="s">
        <v>990</v>
      </c>
      <c r="F575" t="s">
        <v>104</v>
      </c>
      <c r="H575" t="s">
        <v>5762</v>
      </c>
    </row>
    <row r="576" spans="1:8">
      <c r="A576" t="s">
        <v>3726</v>
      </c>
      <c r="B576" s="24">
        <v>46185</v>
      </c>
      <c r="C576" s="27" t="s">
        <v>5797</v>
      </c>
      <c r="D576" s="27" t="s">
        <v>3220</v>
      </c>
      <c r="E576" t="s">
        <v>991</v>
      </c>
      <c r="F576" t="s">
        <v>104</v>
      </c>
      <c r="H576" t="s">
        <v>5762</v>
      </c>
    </row>
    <row r="577" spans="1:8">
      <c r="A577" t="s">
        <v>3727</v>
      </c>
      <c r="B577" s="24">
        <v>46174</v>
      </c>
      <c r="C577" s="27" t="s">
        <v>5797</v>
      </c>
      <c r="D577" s="27" t="s">
        <v>3220</v>
      </c>
      <c r="E577" t="s">
        <v>992</v>
      </c>
      <c r="F577" t="s">
        <v>104</v>
      </c>
      <c r="H577" t="s">
        <v>5762</v>
      </c>
    </row>
    <row r="578" spans="1:8">
      <c r="A578" t="s">
        <v>3728</v>
      </c>
      <c r="B578" s="24">
        <v>46175</v>
      </c>
      <c r="C578" s="27" t="s">
        <v>5797</v>
      </c>
      <c r="D578" s="27" t="s">
        <v>3220</v>
      </c>
      <c r="E578" t="s">
        <v>993</v>
      </c>
      <c r="F578" t="s">
        <v>104</v>
      </c>
      <c r="H578" t="s">
        <v>5762</v>
      </c>
    </row>
    <row r="579" spans="1:8">
      <c r="A579" t="s">
        <v>3729</v>
      </c>
      <c r="B579" s="24">
        <v>46176</v>
      </c>
      <c r="C579" s="27" t="s">
        <v>5797</v>
      </c>
      <c r="D579" s="27" t="s">
        <v>3220</v>
      </c>
      <c r="E579" t="s">
        <v>994</v>
      </c>
      <c r="F579" t="s">
        <v>104</v>
      </c>
      <c r="H579" t="s">
        <v>5762</v>
      </c>
    </row>
    <row r="580" spans="1:8">
      <c r="A580" t="s">
        <v>3730</v>
      </c>
      <c r="B580" s="24">
        <v>46177</v>
      </c>
      <c r="C580" s="27" t="s">
        <v>5797</v>
      </c>
      <c r="D580" s="27" t="s">
        <v>3220</v>
      </c>
      <c r="E580" t="s">
        <v>995</v>
      </c>
      <c r="F580" t="s">
        <v>104</v>
      </c>
      <c r="H580" t="s">
        <v>5762</v>
      </c>
    </row>
    <row r="581" spans="1:8">
      <c r="A581" t="s">
        <v>3731</v>
      </c>
      <c r="B581" s="24">
        <v>46178</v>
      </c>
      <c r="C581" s="27" t="s">
        <v>5797</v>
      </c>
      <c r="D581" s="27" t="s">
        <v>3220</v>
      </c>
      <c r="E581" t="s">
        <v>996</v>
      </c>
      <c r="F581" t="s">
        <v>104</v>
      </c>
      <c r="H581" t="s">
        <v>5762</v>
      </c>
    </row>
    <row r="582" spans="1:8">
      <c r="A582" t="s">
        <v>3732</v>
      </c>
      <c r="B582" s="24">
        <v>46181</v>
      </c>
      <c r="C582" s="27" t="s">
        <v>5797</v>
      </c>
      <c r="D582" s="27" t="s">
        <v>3220</v>
      </c>
      <c r="E582" t="s">
        <v>997</v>
      </c>
      <c r="F582" t="s">
        <v>104</v>
      </c>
      <c r="H582" t="s">
        <v>5762</v>
      </c>
    </row>
    <row r="583" spans="1:8">
      <c r="A583" t="s">
        <v>3733</v>
      </c>
      <c r="B583" s="24">
        <v>46182</v>
      </c>
      <c r="C583" s="27" t="s">
        <v>5797</v>
      </c>
      <c r="D583" s="27" t="s">
        <v>3220</v>
      </c>
      <c r="E583" t="s">
        <v>998</v>
      </c>
      <c r="F583" t="s">
        <v>104</v>
      </c>
      <c r="H583" t="s">
        <v>5762</v>
      </c>
    </row>
    <row r="584" spans="1:8">
      <c r="A584" t="s">
        <v>3734</v>
      </c>
      <c r="B584" s="24">
        <v>46183</v>
      </c>
      <c r="C584" s="27" t="s">
        <v>5797</v>
      </c>
      <c r="D584" s="27" t="s">
        <v>3220</v>
      </c>
      <c r="E584" t="s">
        <v>999</v>
      </c>
      <c r="F584" t="s">
        <v>104</v>
      </c>
      <c r="H584" t="s">
        <v>5762</v>
      </c>
    </row>
    <row r="585" spans="1:8">
      <c r="A585" t="s">
        <v>3735</v>
      </c>
      <c r="B585" s="24">
        <v>46184</v>
      </c>
      <c r="C585" s="27" t="s">
        <v>5797</v>
      </c>
      <c r="D585" s="27" t="s">
        <v>3220</v>
      </c>
      <c r="E585" t="s">
        <v>1000</v>
      </c>
      <c r="F585" t="s">
        <v>104</v>
      </c>
      <c r="H585" t="s">
        <v>5762</v>
      </c>
    </row>
    <row r="586" spans="1:8">
      <c r="A586" t="s">
        <v>3736</v>
      </c>
      <c r="B586" s="24">
        <v>46185</v>
      </c>
      <c r="C586" s="27" t="s">
        <v>5797</v>
      </c>
      <c r="D586" s="27" t="s">
        <v>3220</v>
      </c>
      <c r="E586" t="s">
        <v>1001</v>
      </c>
      <c r="F586" t="s">
        <v>104</v>
      </c>
      <c r="H586" t="s">
        <v>5762</v>
      </c>
    </row>
    <row r="587" spans="1:8">
      <c r="A587" t="s">
        <v>3737</v>
      </c>
      <c r="B587" s="24">
        <v>46174</v>
      </c>
      <c r="C587" s="27" t="s">
        <v>5797</v>
      </c>
      <c r="D587" s="27" t="s">
        <v>3220</v>
      </c>
      <c r="E587" t="s">
        <v>1002</v>
      </c>
      <c r="F587" t="s">
        <v>104</v>
      </c>
      <c r="H587" t="s">
        <v>5762</v>
      </c>
    </row>
    <row r="588" spans="1:8">
      <c r="A588" t="s">
        <v>3738</v>
      </c>
      <c r="B588" s="24">
        <v>46175</v>
      </c>
      <c r="C588" s="27" t="s">
        <v>5797</v>
      </c>
      <c r="D588" s="27" t="s">
        <v>3220</v>
      </c>
      <c r="E588" t="s">
        <v>1003</v>
      </c>
      <c r="F588" t="s">
        <v>104</v>
      </c>
      <c r="H588" t="s">
        <v>5762</v>
      </c>
    </row>
    <row r="589" spans="1:8">
      <c r="A589" t="s">
        <v>3739</v>
      </c>
      <c r="B589" s="24">
        <v>46176</v>
      </c>
      <c r="C589" s="27" t="s">
        <v>5797</v>
      </c>
      <c r="D589" s="27" t="s">
        <v>3220</v>
      </c>
      <c r="E589" t="s">
        <v>1004</v>
      </c>
      <c r="F589" t="s">
        <v>104</v>
      </c>
      <c r="H589" t="s">
        <v>5762</v>
      </c>
    </row>
    <row r="590" spans="1:8">
      <c r="A590" t="s">
        <v>3740</v>
      </c>
      <c r="B590" s="24">
        <v>46177</v>
      </c>
      <c r="C590" s="27" t="s">
        <v>5797</v>
      </c>
      <c r="D590" s="27" t="s">
        <v>3220</v>
      </c>
      <c r="E590" t="s">
        <v>1005</v>
      </c>
      <c r="F590" t="s">
        <v>104</v>
      </c>
      <c r="H590" t="s">
        <v>5762</v>
      </c>
    </row>
    <row r="591" spans="1:8">
      <c r="A591" t="s">
        <v>3741</v>
      </c>
      <c r="B591" s="24">
        <v>46178</v>
      </c>
      <c r="C591" s="27" t="s">
        <v>5797</v>
      </c>
      <c r="D591" s="27" t="s">
        <v>3220</v>
      </c>
      <c r="E591" t="s">
        <v>1006</v>
      </c>
      <c r="F591" t="s">
        <v>104</v>
      </c>
      <c r="H591" t="s">
        <v>5762</v>
      </c>
    </row>
    <row r="592" spans="1:8">
      <c r="A592" t="s">
        <v>3742</v>
      </c>
      <c r="B592" s="24">
        <v>46181</v>
      </c>
      <c r="C592" s="27" t="s">
        <v>5797</v>
      </c>
      <c r="D592" s="27" t="s">
        <v>3220</v>
      </c>
      <c r="E592" t="s">
        <v>1007</v>
      </c>
      <c r="F592" t="s">
        <v>104</v>
      </c>
      <c r="H592" t="s">
        <v>5762</v>
      </c>
    </row>
    <row r="593" spans="1:8">
      <c r="A593" t="s">
        <v>3743</v>
      </c>
      <c r="B593" s="24">
        <v>46182</v>
      </c>
      <c r="C593" s="27" t="s">
        <v>5797</v>
      </c>
      <c r="D593" s="27" t="s">
        <v>3220</v>
      </c>
      <c r="E593" t="s">
        <v>1008</v>
      </c>
      <c r="F593" t="s">
        <v>104</v>
      </c>
      <c r="H593" t="s">
        <v>5762</v>
      </c>
    </row>
    <row r="594" spans="1:8">
      <c r="A594" t="s">
        <v>3744</v>
      </c>
      <c r="B594" s="24">
        <v>46183</v>
      </c>
      <c r="C594" s="27" t="s">
        <v>5797</v>
      </c>
      <c r="D594" s="27" t="s">
        <v>3220</v>
      </c>
      <c r="E594" t="s">
        <v>1009</v>
      </c>
      <c r="F594" t="s">
        <v>104</v>
      </c>
      <c r="H594" t="s">
        <v>5762</v>
      </c>
    </row>
    <row r="595" spans="1:8">
      <c r="A595" t="s">
        <v>3745</v>
      </c>
      <c r="B595" s="24">
        <v>46184</v>
      </c>
      <c r="C595" s="27" t="s">
        <v>5797</v>
      </c>
      <c r="D595" s="27" t="s">
        <v>3220</v>
      </c>
      <c r="E595" t="s">
        <v>1010</v>
      </c>
      <c r="F595" t="s">
        <v>104</v>
      </c>
      <c r="H595" t="s">
        <v>5762</v>
      </c>
    </row>
    <row r="596" spans="1:8">
      <c r="A596" t="s">
        <v>3746</v>
      </c>
      <c r="B596" s="24">
        <v>46185</v>
      </c>
      <c r="C596" s="27" t="s">
        <v>5797</v>
      </c>
      <c r="D596" s="27" t="s">
        <v>3220</v>
      </c>
      <c r="E596" t="s">
        <v>1011</v>
      </c>
      <c r="F596" t="s">
        <v>104</v>
      </c>
      <c r="H596" t="s">
        <v>5762</v>
      </c>
    </row>
    <row r="597" spans="1:8">
      <c r="A597" t="s">
        <v>3747</v>
      </c>
      <c r="B597" s="24">
        <v>46174</v>
      </c>
      <c r="C597" s="27" t="s">
        <v>5797</v>
      </c>
      <c r="D597" s="27" t="s">
        <v>3220</v>
      </c>
      <c r="E597" t="s">
        <v>1012</v>
      </c>
      <c r="F597" t="s">
        <v>104</v>
      </c>
      <c r="H597" t="s">
        <v>5762</v>
      </c>
    </row>
    <row r="598" spans="1:8">
      <c r="A598" t="s">
        <v>3748</v>
      </c>
      <c r="B598" s="24">
        <v>46175</v>
      </c>
      <c r="C598" s="27" t="s">
        <v>5797</v>
      </c>
      <c r="D598" s="27" t="s">
        <v>3220</v>
      </c>
      <c r="E598" t="s">
        <v>1013</v>
      </c>
      <c r="F598" t="s">
        <v>104</v>
      </c>
      <c r="H598" t="s">
        <v>5762</v>
      </c>
    </row>
    <row r="599" spans="1:8">
      <c r="A599" t="s">
        <v>3749</v>
      </c>
      <c r="B599" s="24">
        <v>46176</v>
      </c>
      <c r="C599" s="27" t="s">
        <v>5797</v>
      </c>
      <c r="D599" s="27" t="s">
        <v>3220</v>
      </c>
      <c r="E599" t="s">
        <v>1014</v>
      </c>
      <c r="F599" t="s">
        <v>104</v>
      </c>
      <c r="H599" t="s">
        <v>5762</v>
      </c>
    </row>
    <row r="600" spans="1:8">
      <c r="A600" t="s">
        <v>3750</v>
      </c>
      <c r="B600" s="24">
        <v>46177</v>
      </c>
      <c r="C600" s="27" t="s">
        <v>5797</v>
      </c>
      <c r="D600" s="27" t="s">
        <v>3220</v>
      </c>
      <c r="E600" t="s">
        <v>1015</v>
      </c>
      <c r="F600" t="s">
        <v>104</v>
      </c>
      <c r="H600" t="s">
        <v>5762</v>
      </c>
    </row>
    <row r="601" spans="1:8">
      <c r="A601" t="s">
        <v>3751</v>
      </c>
      <c r="B601" s="24">
        <v>46178</v>
      </c>
      <c r="C601" s="27" t="s">
        <v>5797</v>
      </c>
      <c r="D601" s="27" t="s">
        <v>3220</v>
      </c>
      <c r="E601" t="s">
        <v>1016</v>
      </c>
      <c r="F601" t="s">
        <v>104</v>
      </c>
      <c r="H601" t="s">
        <v>5762</v>
      </c>
    </row>
    <row r="602" spans="1:8">
      <c r="A602" t="s">
        <v>3752</v>
      </c>
      <c r="B602" s="24">
        <v>46181</v>
      </c>
      <c r="C602" s="27" t="s">
        <v>5797</v>
      </c>
      <c r="D602" s="27" t="s">
        <v>3220</v>
      </c>
      <c r="E602" t="s">
        <v>1017</v>
      </c>
      <c r="F602" t="s">
        <v>104</v>
      </c>
      <c r="H602" t="s">
        <v>5762</v>
      </c>
    </row>
    <row r="603" spans="1:8">
      <c r="A603" t="s">
        <v>3753</v>
      </c>
      <c r="B603" s="24">
        <v>46182</v>
      </c>
      <c r="C603" s="27" t="s">
        <v>5797</v>
      </c>
      <c r="D603" s="27" t="s">
        <v>3220</v>
      </c>
      <c r="E603" t="s">
        <v>1018</v>
      </c>
      <c r="F603" t="s">
        <v>104</v>
      </c>
      <c r="H603" t="s">
        <v>5762</v>
      </c>
    </row>
    <row r="604" spans="1:8">
      <c r="A604" t="s">
        <v>3754</v>
      </c>
      <c r="B604" s="24">
        <v>46183</v>
      </c>
      <c r="C604" s="27" t="s">
        <v>5797</v>
      </c>
      <c r="D604" s="27" t="s">
        <v>3220</v>
      </c>
      <c r="E604" t="s">
        <v>1019</v>
      </c>
      <c r="F604" t="s">
        <v>104</v>
      </c>
      <c r="H604" t="s">
        <v>5762</v>
      </c>
    </row>
    <row r="605" spans="1:8">
      <c r="A605" t="s">
        <v>3755</v>
      </c>
      <c r="B605" s="24">
        <v>46184</v>
      </c>
      <c r="C605" s="27" t="s">
        <v>5797</v>
      </c>
      <c r="D605" s="27" t="s">
        <v>3220</v>
      </c>
      <c r="E605" t="s">
        <v>1020</v>
      </c>
      <c r="F605" t="s">
        <v>104</v>
      </c>
      <c r="H605" t="s">
        <v>5762</v>
      </c>
    </row>
    <row r="606" spans="1:8">
      <c r="A606" t="s">
        <v>3756</v>
      </c>
      <c r="B606" s="24">
        <v>46185</v>
      </c>
      <c r="C606" s="27" t="s">
        <v>5797</v>
      </c>
      <c r="D606" s="27" t="s">
        <v>3220</v>
      </c>
      <c r="E606" t="s">
        <v>1021</v>
      </c>
      <c r="F606" t="s">
        <v>104</v>
      </c>
      <c r="H606" t="s">
        <v>5762</v>
      </c>
    </row>
    <row r="607" spans="1:8">
      <c r="A607" t="s">
        <v>3757</v>
      </c>
      <c r="B607" s="24">
        <v>46174</v>
      </c>
      <c r="C607" s="27" t="s">
        <v>5797</v>
      </c>
      <c r="D607" s="27" t="s">
        <v>3220</v>
      </c>
      <c r="E607" t="s">
        <v>1022</v>
      </c>
      <c r="F607" t="s">
        <v>104</v>
      </c>
      <c r="H607" t="s">
        <v>5762</v>
      </c>
    </row>
    <row r="608" spans="1:8">
      <c r="A608" t="s">
        <v>3758</v>
      </c>
      <c r="B608" s="24">
        <v>46175</v>
      </c>
      <c r="C608" s="27" t="s">
        <v>5797</v>
      </c>
      <c r="D608" s="27" t="s">
        <v>3220</v>
      </c>
      <c r="E608" t="s">
        <v>1023</v>
      </c>
      <c r="F608" t="s">
        <v>104</v>
      </c>
      <c r="H608" t="s">
        <v>5762</v>
      </c>
    </row>
    <row r="609" spans="1:8">
      <c r="A609" t="s">
        <v>3759</v>
      </c>
      <c r="B609" s="24">
        <v>46176</v>
      </c>
      <c r="C609" s="27" t="s">
        <v>5797</v>
      </c>
      <c r="D609" s="27" t="s">
        <v>3220</v>
      </c>
      <c r="E609" t="s">
        <v>1024</v>
      </c>
      <c r="F609" t="s">
        <v>104</v>
      </c>
      <c r="H609" t="s">
        <v>5762</v>
      </c>
    </row>
    <row r="610" spans="1:8">
      <c r="A610" t="s">
        <v>3760</v>
      </c>
      <c r="B610" s="24">
        <v>46177</v>
      </c>
      <c r="C610" s="27" t="s">
        <v>5797</v>
      </c>
      <c r="D610" s="27" t="s">
        <v>3220</v>
      </c>
      <c r="E610" t="s">
        <v>1025</v>
      </c>
      <c r="F610" t="s">
        <v>104</v>
      </c>
      <c r="H610" t="s">
        <v>5762</v>
      </c>
    </row>
    <row r="611" spans="1:8">
      <c r="A611" t="s">
        <v>3761</v>
      </c>
      <c r="B611" s="24">
        <v>46178</v>
      </c>
      <c r="C611" s="27" t="s">
        <v>5797</v>
      </c>
      <c r="D611" s="27" t="s">
        <v>3220</v>
      </c>
      <c r="E611" t="s">
        <v>1026</v>
      </c>
      <c r="F611" t="s">
        <v>104</v>
      </c>
      <c r="H611" t="s">
        <v>5762</v>
      </c>
    </row>
    <row r="612" spans="1:8">
      <c r="A612" t="s">
        <v>3762</v>
      </c>
      <c r="B612" s="24">
        <v>46181</v>
      </c>
      <c r="C612" s="27" t="s">
        <v>5797</v>
      </c>
      <c r="D612" s="27" t="s">
        <v>3220</v>
      </c>
      <c r="E612" t="s">
        <v>1027</v>
      </c>
      <c r="F612" t="s">
        <v>104</v>
      </c>
      <c r="H612" t="s">
        <v>5762</v>
      </c>
    </row>
    <row r="613" spans="1:8">
      <c r="A613" t="s">
        <v>3763</v>
      </c>
      <c r="B613" s="24">
        <v>46182</v>
      </c>
      <c r="C613" s="27" t="s">
        <v>5797</v>
      </c>
      <c r="D613" s="27" t="s">
        <v>3220</v>
      </c>
      <c r="E613" t="s">
        <v>1028</v>
      </c>
      <c r="F613" t="s">
        <v>104</v>
      </c>
      <c r="H613" t="s">
        <v>5762</v>
      </c>
    </row>
    <row r="614" spans="1:8">
      <c r="A614" t="s">
        <v>3764</v>
      </c>
      <c r="B614" s="24">
        <v>46183</v>
      </c>
      <c r="C614" s="27" t="s">
        <v>5797</v>
      </c>
      <c r="D614" s="27" t="s">
        <v>3221</v>
      </c>
      <c r="E614" t="s">
        <v>1029</v>
      </c>
      <c r="F614" t="s">
        <v>104</v>
      </c>
      <c r="G614" t="s">
        <v>105</v>
      </c>
      <c r="H614">
        <v>0</v>
      </c>
    </row>
    <row r="615" spans="1:8">
      <c r="A615" t="s">
        <v>3765</v>
      </c>
      <c r="B615" s="24">
        <v>46184</v>
      </c>
      <c r="C615" s="27" t="s">
        <v>5797</v>
      </c>
      <c r="D615" s="27" t="s">
        <v>3221</v>
      </c>
      <c r="E615" t="s">
        <v>1030</v>
      </c>
      <c r="F615" t="s">
        <v>104</v>
      </c>
      <c r="G615" t="s">
        <v>105</v>
      </c>
      <c r="H615">
        <v>0</v>
      </c>
    </row>
    <row r="616" spans="1:8">
      <c r="A616" t="s">
        <v>3766</v>
      </c>
      <c r="B616" s="24">
        <v>46185</v>
      </c>
      <c r="C616" s="27" t="s">
        <v>5797</v>
      </c>
      <c r="D616" s="27" t="s">
        <v>3221</v>
      </c>
      <c r="E616" t="s">
        <v>1031</v>
      </c>
      <c r="F616" t="s">
        <v>104</v>
      </c>
      <c r="G616" t="s">
        <v>105</v>
      </c>
      <c r="H616">
        <v>0</v>
      </c>
    </row>
    <row r="617" spans="1:8">
      <c r="A617" t="s">
        <v>3767</v>
      </c>
      <c r="B617" s="24">
        <v>46174</v>
      </c>
      <c r="C617" s="27" t="s">
        <v>5797</v>
      </c>
      <c r="D617" s="27" t="s">
        <v>3221</v>
      </c>
      <c r="E617" t="s">
        <v>1032</v>
      </c>
      <c r="F617" t="s">
        <v>104</v>
      </c>
      <c r="G617" t="s">
        <v>105</v>
      </c>
      <c r="H617">
        <v>0</v>
      </c>
    </row>
    <row r="618" spans="1:8">
      <c r="A618" t="s">
        <v>3768</v>
      </c>
      <c r="B618" s="24">
        <v>46175</v>
      </c>
      <c r="C618" s="27" t="s">
        <v>5797</v>
      </c>
      <c r="D618" s="27" t="s">
        <v>3221</v>
      </c>
      <c r="E618" t="s">
        <v>1033</v>
      </c>
      <c r="F618" t="s">
        <v>104</v>
      </c>
      <c r="G618" t="s">
        <v>105</v>
      </c>
      <c r="H618">
        <v>0</v>
      </c>
    </row>
    <row r="619" spans="1:8">
      <c r="A619" t="s">
        <v>3769</v>
      </c>
      <c r="B619" s="24">
        <v>46176</v>
      </c>
      <c r="C619" s="27" t="s">
        <v>5797</v>
      </c>
      <c r="D619" s="27" t="s">
        <v>3221</v>
      </c>
      <c r="E619" t="s">
        <v>1034</v>
      </c>
      <c r="F619" t="s">
        <v>104</v>
      </c>
      <c r="G619" t="s">
        <v>105</v>
      </c>
      <c r="H619">
        <v>0</v>
      </c>
    </row>
    <row r="620" spans="1:8">
      <c r="A620" t="s">
        <v>3770</v>
      </c>
      <c r="B620" s="24">
        <v>46177</v>
      </c>
      <c r="C620" s="27" t="s">
        <v>5797</v>
      </c>
      <c r="D620" s="27" t="s">
        <v>3221</v>
      </c>
      <c r="E620" t="s">
        <v>1035</v>
      </c>
      <c r="F620" t="s">
        <v>104</v>
      </c>
      <c r="G620" t="s">
        <v>105</v>
      </c>
      <c r="H620">
        <v>0</v>
      </c>
    </row>
    <row r="621" spans="1:8">
      <c r="A621" t="s">
        <v>3771</v>
      </c>
      <c r="B621" s="24">
        <v>46178</v>
      </c>
      <c r="C621" s="27" t="s">
        <v>5797</v>
      </c>
      <c r="D621" s="27" t="s">
        <v>3221</v>
      </c>
      <c r="E621" t="s">
        <v>1036</v>
      </c>
      <c r="F621" t="s">
        <v>104</v>
      </c>
      <c r="G621" t="s">
        <v>105</v>
      </c>
      <c r="H621">
        <v>0</v>
      </c>
    </row>
    <row r="622" spans="1:8">
      <c r="A622" t="s">
        <v>3772</v>
      </c>
      <c r="B622" s="24">
        <v>46181</v>
      </c>
      <c r="C622" s="27" t="s">
        <v>5797</v>
      </c>
      <c r="D622" s="27" t="s">
        <v>3221</v>
      </c>
      <c r="E622" t="s">
        <v>1037</v>
      </c>
      <c r="F622" t="s">
        <v>104</v>
      </c>
      <c r="G622" t="s">
        <v>105</v>
      </c>
      <c r="H622">
        <v>0</v>
      </c>
    </row>
    <row r="623" spans="1:8">
      <c r="A623" t="s">
        <v>3773</v>
      </c>
      <c r="B623" s="24">
        <v>46182</v>
      </c>
      <c r="C623" s="27" t="s">
        <v>5797</v>
      </c>
      <c r="D623" s="27" t="s">
        <v>3221</v>
      </c>
      <c r="E623" t="s">
        <v>1038</v>
      </c>
      <c r="F623" t="s">
        <v>104</v>
      </c>
      <c r="G623" t="s">
        <v>105</v>
      </c>
      <c r="H623">
        <v>0</v>
      </c>
    </row>
    <row r="624" spans="1:8">
      <c r="A624" t="s">
        <v>3774</v>
      </c>
      <c r="B624" s="24">
        <v>46183</v>
      </c>
      <c r="C624" s="27" t="s">
        <v>5797</v>
      </c>
      <c r="D624" s="27" t="s">
        <v>3221</v>
      </c>
      <c r="E624" t="s">
        <v>1039</v>
      </c>
      <c r="F624" t="s">
        <v>104</v>
      </c>
      <c r="G624" t="s">
        <v>105</v>
      </c>
      <c r="H624">
        <v>0</v>
      </c>
    </row>
    <row r="625" spans="1:8">
      <c r="A625" t="s">
        <v>3775</v>
      </c>
      <c r="B625" s="24">
        <v>46184</v>
      </c>
      <c r="C625" s="27" t="s">
        <v>5797</v>
      </c>
      <c r="D625" s="27" t="s">
        <v>3221</v>
      </c>
      <c r="E625" t="s">
        <v>1040</v>
      </c>
      <c r="F625" t="s">
        <v>104</v>
      </c>
      <c r="G625" t="s">
        <v>105</v>
      </c>
      <c r="H625">
        <v>0</v>
      </c>
    </row>
    <row r="626" spans="1:8">
      <c r="A626" t="s">
        <v>3776</v>
      </c>
      <c r="B626" s="24">
        <v>46185</v>
      </c>
      <c r="C626" s="27" t="s">
        <v>5797</v>
      </c>
      <c r="D626" s="27" t="s">
        <v>3221</v>
      </c>
      <c r="E626" t="s">
        <v>1041</v>
      </c>
      <c r="F626" t="s">
        <v>104</v>
      </c>
      <c r="G626" t="s">
        <v>105</v>
      </c>
      <c r="H626">
        <v>0</v>
      </c>
    </row>
    <row r="627" spans="1:8">
      <c r="A627" t="s">
        <v>3777</v>
      </c>
      <c r="B627" s="24">
        <v>46174</v>
      </c>
      <c r="C627" s="27" t="s">
        <v>5797</v>
      </c>
      <c r="D627" s="27" t="s">
        <v>3221</v>
      </c>
      <c r="E627" t="s">
        <v>1042</v>
      </c>
      <c r="F627" t="s">
        <v>104</v>
      </c>
      <c r="G627" t="s">
        <v>105</v>
      </c>
      <c r="H627">
        <v>0</v>
      </c>
    </row>
    <row r="628" spans="1:8">
      <c r="A628" t="s">
        <v>3778</v>
      </c>
      <c r="B628" s="24">
        <v>46175</v>
      </c>
      <c r="C628" s="27" t="s">
        <v>5797</v>
      </c>
      <c r="D628" s="27" t="s">
        <v>3221</v>
      </c>
      <c r="E628" t="s">
        <v>1043</v>
      </c>
      <c r="F628" t="s">
        <v>104</v>
      </c>
      <c r="G628" t="s">
        <v>105</v>
      </c>
      <c r="H628">
        <v>0</v>
      </c>
    </row>
    <row r="629" spans="1:8">
      <c r="A629" t="s">
        <v>3779</v>
      </c>
      <c r="B629" s="24">
        <v>46176</v>
      </c>
      <c r="C629" s="27" t="s">
        <v>5797</v>
      </c>
      <c r="D629" s="27" t="s">
        <v>3221</v>
      </c>
      <c r="E629" t="s">
        <v>1044</v>
      </c>
      <c r="F629" t="s">
        <v>104</v>
      </c>
      <c r="G629" t="s">
        <v>105</v>
      </c>
      <c r="H629">
        <v>0</v>
      </c>
    </row>
    <row r="630" spans="1:8">
      <c r="A630" t="s">
        <v>3780</v>
      </c>
      <c r="B630" s="24">
        <v>46177</v>
      </c>
      <c r="C630" s="27" t="s">
        <v>5797</v>
      </c>
      <c r="D630" s="27" t="s">
        <v>3221</v>
      </c>
      <c r="E630" t="s">
        <v>1045</v>
      </c>
      <c r="F630" t="s">
        <v>104</v>
      </c>
      <c r="G630" t="s">
        <v>105</v>
      </c>
      <c r="H630">
        <v>0</v>
      </c>
    </row>
    <row r="631" spans="1:8">
      <c r="A631" t="s">
        <v>3781</v>
      </c>
      <c r="B631" s="24">
        <v>46178</v>
      </c>
      <c r="C631" s="27" t="s">
        <v>5797</v>
      </c>
      <c r="D631" s="27" t="s">
        <v>3221</v>
      </c>
      <c r="E631" t="s">
        <v>1046</v>
      </c>
      <c r="F631" t="s">
        <v>104</v>
      </c>
      <c r="G631" t="s">
        <v>105</v>
      </c>
      <c r="H631">
        <v>0</v>
      </c>
    </row>
    <row r="632" spans="1:8">
      <c r="A632" t="s">
        <v>3782</v>
      </c>
      <c r="B632" s="24">
        <v>46181</v>
      </c>
      <c r="C632" s="27" t="s">
        <v>5797</v>
      </c>
      <c r="D632" s="27" t="s">
        <v>3221</v>
      </c>
      <c r="E632" t="s">
        <v>1047</v>
      </c>
      <c r="F632" t="s">
        <v>104</v>
      </c>
      <c r="G632" t="s">
        <v>105</v>
      </c>
      <c r="H632">
        <v>0</v>
      </c>
    </row>
    <row r="633" spans="1:8">
      <c r="A633" t="s">
        <v>3783</v>
      </c>
      <c r="B633" s="24">
        <v>46182</v>
      </c>
      <c r="C633" s="27" t="s">
        <v>5797</v>
      </c>
      <c r="D633" s="27" t="s">
        <v>3221</v>
      </c>
      <c r="E633" t="s">
        <v>1048</v>
      </c>
      <c r="F633" t="s">
        <v>104</v>
      </c>
      <c r="G633" t="s">
        <v>105</v>
      </c>
      <c r="H633">
        <v>0</v>
      </c>
    </row>
    <row r="634" spans="1:8">
      <c r="A634" t="s">
        <v>3784</v>
      </c>
      <c r="B634" s="24">
        <v>46183</v>
      </c>
      <c r="C634" s="27" t="s">
        <v>5797</v>
      </c>
      <c r="D634" s="27" t="s">
        <v>3221</v>
      </c>
      <c r="E634" t="s">
        <v>1049</v>
      </c>
      <c r="F634" t="s">
        <v>104</v>
      </c>
      <c r="G634" t="s">
        <v>105</v>
      </c>
      <c r="H634">
        <v>0</v>
      </c>
    </row>
    <row r="635" spans="1:8">
      <c r="A635" t="s">
        <v>3785</v>
      </c>
      <c r="B635" s="24">
        <v>46184</v>
      </c>
      <c r="C635" s="27" t="s">
        <v>5797</v>
      </c>
      <c r="D635" s="27" t="s">
        <v>3221</v>
      </c>
      <c r="E635" t="s">
        <v>1050</v>
      </c>
      <c r="F635" t="s">
        <v>104</v>
      </c>
      <c r="G635" t="s">
        <v>105</v>
      </c>
      <c r="H635">
        <v>0</v>
      </c>
    </row>
    <row r="636" spans="1:8">
      <c r="A636" t="s">
        <v>3786</v>
      </c>
      <c r="B636" s="24">
        <v>46185</v>
      </c>
      <c r="C636" s="27" t="s">
        <v>5797</v>
      </c>
      <c r="D636" s="27" t="s">
        <v>3221</v>
      </c>
      <c r="E636" t="s">
        <v>1051</v>
      </c>
      <c r="F636" t="s">
        <v>104</v>
      </c>
      <c r="G636" t="s">
        <v>105</v>
      </c>
      <c r="H636">
        <v>0</v>
      </c>
    </row>
    <row r="637" spans="1:8">
      <c r="A637" t="s">
        <v>3787</v>
      </c>
      <c r="B637" s="24">
        <v>46174</v>
      </c>
      <c r="C637" s="27" t="s">
        <v>5797</v>
      </c>
      <c r="D637" s="27" t="s">
        <v>3221</v>
      </c>
      <c r="E637" t="s">
        <v>1052</v>
      </c>
      <c r="F637" t="s">
        <v>104</v>
      </c>
      <c r="G637" t="s">
        <v>105</v>
      </c>
      <c r="H637">
        <v>0</v>
      </c>
    </row>
    <row r="638" spans="1:8">
      <c r="A638" t="s">
        <v>3788</v>
      </c>
      <c r="B638" s="24">
        <v>46175</v>
      </c>
      <c r="C638" s="27" t="s">
        <v>5797</v>
      </c>
      <c r="D638" s="27" t="s">
        <v>3221</v>
      </c>
      <c r="E638" t="s">
        <v>1053</v>
      </c>
      <c r="F638" t="s">
        <v>104</v>
      </c>
      <c r="G638" t="s">
        <v>105</v>
      </c>
      <c r="H638">
        <v>0</v>
      </c>
    </row>
    <row r="639" spans="1:8">
      <c r="A639" t="s">
        <v>3789</v>
      </c>
      <c r="B639" s="24">
        <v>46176</v>
      </c>
      <c r="C639" s="27" t="s">
        <v>5797</v>
      </c>
      <c r="D639" s="27" t="s">
        <v>3221</v>
      </c>
      <c r="E639" t="s">
        <v>1054</v>
      </c>
      <c r="F639" t="s">
        <v>104</v>
      </c>
      <c r="G639" t="s">
        <v>105</v>
      </c>
      <c r="H639">
        <v>0</v>
      </c>
    </row>
    <row r="640" spans="1:8">
      <c r="A640" t="s">
        <v>3790</v>
      </c>
      <c r="B640" s="24">
        <v>46177</v>
      </c>
      <c r="C640" s="27" t="s">
        <v>5797</v>
      </c>
      <c r="D640" s="27" t="s">
        <v>3221</v>
      </c>
      <c r="E640" t="s">
        <v>1055</v>
      </c>
      <c r="F640" t="s">
        <v>104</v>
      </c>
      <c r="G640" t="s">
        <v>105</v>
      </c>
      <c r="H640">
        <v>0</v>
      </c>
    </row>
    <row r="641" spans="1:8">
      <c r="A641" t="s">
        <v>3791</v>
      </c>
      <c r="B641" s="24">
        <v>46178</v>
      </c>
      <c r="C641" s="27" t="s">
        <v>5797</v>
      </c>
      <c r="D641" s="27" t="s">
        <v>3221</v>
      </c>
      <c r="E641" t="s">
        <v>1056</v>
      </c>
      <c r="F641" t="s">
        <v>104</v>
      </c>
      <c r="G641" t="s">
        <v>105</v>
      </c>
      <c r="H641">
        <v>0</v>
      </c>
    </row>
    <row r="642" spans="1:8">
      <c r="A642" t="s">
        <v>3792</v>
      </c>
      <c r="B642" s="24">
        <v>46181</v>
      </c>
      <c r="C642" s="27" t="s">
        <v>5797</v>
      </c>
      <c r="D642" s="27" t="s">
        <v>3221</v>
      </c>
      <c r="E642" t="s">
        <v>1057</v>
      </c>
      <c r="F642" t="s">
        <v>104</v>
      </c>
      <c r="G642" t="s">
        <v>105</v>
      </c>
      <c r="H642">
        <v>0</v>
      </c>
    </row>
    <row r="643" spans="1:8">
      <c r="A643" t="s">
        <v>3793</v>
      </c>
      <c r="B643" s="24">
        <v>46182</v>
      </c>
      <c r="C643" s="27" t="s">
        <v>5797</v>
      </c>
      <c r="D643" s="27" t="s">
        <v>3221</v>
      </c>
      <c r="E643" t="s">
        <v>1058</v>
      </c>
      <c r="F643" t="s">
        <v>104</v>
      </c>
      <c r="G643" t="s">
        <v>105</v>
      </c>
      <c r="H643">
        <v>0</v>
      </c>
    </row>
    <row r="644" spans="1:8">
      <c r="A644" t="s">
        <v>3794</v>
      </c>
      <c r="B644" s="24">
        <v>46183</v>
      </c>
      <c r="C644" s="27" t="s">
        <v>5797</v>
      </c>
      <c r="D644" s="27" t="s">
        <v>3221</v>
      </c>
      <c r="E644" t="s">
        <v>1059</v>
      </c>
      <c r="F644" t="s">
        <v>104</v>
      </c>
      <c r="G644" t="s">
        <v>105</v>
      </c>
      <c r="H644">
        <v>0</v>
      </c>
    </row>
    <row r="645" spans="1:8">
      <c r="A645" t="s">
        <v>3795</v>
      </c>
      <c r="B645" s="24">
        <v>46184</v>
      </c>
      <c r="C645" s="27" t="s">
        <v>5797</v>
      </c>
      <c r="D645" s="27" t="s">
        <v>3221</v>
      </c>
      <c r="E645" t="s">
        <v>1060</v>
      </c>
      <c r="F645" t="s">
        <v>104</v>
      </c>
      <c r="G645" t="s">
        <v>105</v>
      </c>
      <c r="H645">
        <v>0</v>
      </c>
    </row>
    <row r="646" spans="1:8">
      <c r="A646" t="s">
        <v>3796</v>
      </c>
      <c r="B646" s="24">
        <v>46185</v>
      </c>
      <c r="C646" s="27" t="s">
        <v>5797</v>
      </c>
      <c r="D646" s="27" t="s">
        <v>3221</v>
      </c>
      <c r="E646" t="s">
        <v>1061</v>
      </c>
      <c r="F646" t="s">
        <v>104</v>
      </c>
      <c r="G646" t="s">
        <v>105</v>
      </c>
      <c r="H646">
        <v>0</v>
      </c>
    </row>
    <row r="647" spans="1:8">
      <c r="A647" t="s">
        <v>3797</v>
      </c>
      <c r="B647" s="24">
        <v>46174</v>
      </c>
      <c r="C647" s="27" t="s">
        <v>5797</v>
      </c>
      <c r="D647" s="27" t="s">
        <v>3221</v>
      </c>
      <c r="E647" t="s">
        <v>1062</v>
      </c>
      <c r="F647" t="s">
        <v>104</v>
      </c>
      <c r="G647" t="s">
        <v>105</v>
      </c>
      <c r="H647">
        <v>0</v>
      </c>
    </row>
    <row r="648" spans="1:8">
      <c r="A648" t="s">
        <v>3798</v>
      </c>
      <c r="B648" s="24">
        <v>46175</v>
      </c>
      <c r="C648" s="27" t="s">
        <v>5797</v>
      </c>
      <c r="D648" s="27" t="s">
        <v>3221</v>
      </c>
      <c r="E648" t="s">
        <v>1063</v>
      </c>
      <c r="F648" t="s">
        <v>104</v>
      </c>
      <c r="G648" t="s">
        <v>105</v>
      </c>
      <c r="H648">
        <v>0</v>
      </c>
    </row>
    <row r="649" spans="1:8">
      <c r="A649" t="s">
        <v>3799</v>
      </c>
      <c r="B649" s="24">
        <v>46176</v>
      </c>
      <c r="C649" s="27" t="s">
        <v>5797</v>
      </c>
      <c r="D649" s="27" t="s">
        <v>3221</v>
      </c>
      <c r="E649" t="s">
        <v>1064</v>
      </c>
      <c r="F649" t="s">
        <v>104</v>
      </c>
      <c r="G649" t="s">
        <v>105</v>
      </c>
      <c r="H649">
        <v>0</v>
      </c>
    </row>
    <row r="650" spans="1:8">
      <c r="A650" t="s">
        <v>3800</v>
      </c>
      <c r="B650" s="24">
        <v>46177</v>
      </c>
      <c r="C650" s="27" t="s">
        <v>5797</v>
      </c>
      <c r="D650" s="27" t="s">
        <v>3221</v>
      </c>
      <c r="E650" t="s">
        <v>1065</v>
      </c>
      <c r="F650" t="s">
        <v>104</v>
      </c>
      <c r="G650" t="s">
        <v>105</v>
      </c>
      <c r="H650">
        <v>0</v>
      </c>
    </row>
    <row r="651" spans="1:8">
      <c r="A651" t="s">
        <v>3801</v>
      </c>
      <c r="B651" s="24">
        <v>46178</v>
      </c>
      <c r="C651" s="27" t="s">
        <v>5797</v>
      </c>
      <c r="D651" s="27" t="s">
        <v>3221</v>
      </c>
      <c r="E651" t="s">
        <v>1066</v>
      </c>
      <c r="F651" t="s">
        <v>104</v>
      </c>
      <c r="G651" t="s">
        <v>105</v>
      </c>
      <c r="H651">
        <v>0</v>
      </c>
    </row>
    <row r="652" spans="1:8">
      <c r="A652" t="s">
        <v>3802</v>
      </c>
      <c r="B652" s="24">
        <v>46181</v>
      </c>
      <c r="C652" s="27" t="s">
        <v>5797</v>
      </c>
      <c r="D652" s="27" t="s">
        <v>3221</v>
      </c>
      <c r="E652" t="s">
        <v>1067</v>
      </c>
      <c r="F652" t="s">
        <v>104</v>
      </c>
      <c r="G652" t="s">
        <v>105</v>
      </c>
      <c r="H652">
        <v>0</v>
      </c>
    </row>
    <row r="653" spans="1:8">
      <c r="A653" t="s">
        <v>3803</v>
      </c>
      <c r="B653" s="24">
        <v>46182</v>
      </c>
      <c r="C653" s="27" t="s">
        <v>5797</v>
      </c>
      <c r="D653" s="27" t="s">
        <v>3221</v>
      </c>
      <c r="E653" t="s">
        <v>1068</v>
      </c>
      <c r="F653" t="s">
        <v>104</v>
      </c>
      <c r="G653" t="s">
        <v>105</v>
      </c>
      <c r="H653">
        <v>0</v>
      </c>
    </row>
    <row r="654" spans="1:8">
      <c r="A654" t="s">
        <v>3804</v>
      </c>
      <c r="B654" s="24">
        <v>46183</v>
      </c>
      <c r="C654" s="27" t="s">
        <v>5797</v>
      </c>
      <c r="D654" s="27" t="s">
        <v>3221</v>
      </c>
      <c r="E654" t="s">
        <v>1069</v>
      </c>
      <c r="F654" t="s">
        <v>104</v>
      </c>
      <c r="G654" t="s">
        <v>105</v>
      </c>
      <c r="H654">
        <v>0</v>
      </c>
    </row>
    <row r="655" spans="1:8">
      <c r="A655" t="s">
        <v>3805</v>
      </c>
      <c r="B655" s="24">
        <v>46184</v>
      </c>
      <c r="C655" s="27" t="s">
        <v>5797</v>
      </c>
      <c r="D655" s="27" t="s">
        <v>3221</v>
      </c>
      <c r="E655" t="s">
        <v>1070</v>
      </c>
      <c r="F655" t="s">
        <v>104</v>
      </c>
      <c r="G655" t="s">
        <v>105</v>
      </c>
      <c r="H655">
        <v>0</v>
      </c>
    </row>
    <row r="656" spans="1:8">
      <c r="A656" t="s">
        <v>3806</v>
      </c>
      <c r="B656" s="24">
        <v>46185</v>
      </c>
      <c r="C656" s="27" t="s">
        <v>5797</v>
      </c>
      <c r="D656" s="27" t="s">
        <v>3221</v>
      </c>
      <c r="E656" t="s">
        <v>1071</v>
      </c>
      <c r="F656" t="s">
        <v>104</v>
      </c>
      <c r="G656" t="s">
        <v>105</v>
      </c>
      <c r="H656">
        <v>0</v>
      </c>
    </row>
    <row r="657" spans="1:8">
      <c r="A657" t="s">
        <v>3807</v>
      </c>
      <c r="B657" s="24">
        <v>46174</v>
      </c>
      <c r="C657" s="27" t="s">
        <v>5797</v>
      </c>
      <c r="D657" s="27" t="s">
        <v>3221</v>
      </c>
      <c r="E657" t="s">
        <v>1072</v>
      </c>
      <c r="F657" t="s">
        <v>104</v>
      </c>
      <c r="G657" t="s">
        <v>105</v>
      </c>
      <c r="H657">
        <v>0</v>
      </c>
    </row>
    <row r="658" spans="1:8">
      <c r="A658" t="s">
        <v>3808</v>
      </c>
      <c r="B658" s="24">
        <v>46175</v>
      </c>
      <c r="C658" s="27" t="s">
        <v>5797</v>
      </c>
      <c r="D658" s="27" t="s">
        <v>3221</v>
      </c>
      <c r="E658" t="s">
        <v>1073</v>
      </c>
      <c r="F658" t="s">
        <v>104</v>
      </c>
      <c r="G658" t="s">
        <v>105</v>
      </c>
      <c r="H658">
        <v>0</v>
      </c>
    </row>
    <row r="659" spans="1:8">
      <c r="A659" t="s">
        <v>3809</v>
      </c>
      <c r="B659" s="24">
        <v>46176</v>
      </c>
      <c r="C659" s="27" t="s">
        <v>5797</v>
      </c>
      <c r="D659" s="27" t="s">
        <v>3221</v>
      </c>
      <c r="E659" t="s">
        <v>1074</v>
      </c>
      <c r="F659" t="s">
        <v>104</v>
      </c>
      <c r="G659" t="s">
        <v>105</v>
      </c>
      <c r="H659">
        <v>0</v>
      </c>
    </row>
    <row r="660" spans="1:8">
      <c r="A660" t="s">
        <v>3810</v>
      </c>
      <c r="B660" s="24">
        <v>46177</v>
      </c>
      <c r="C660" s="27" t="s">
        <v>5797</v>
      </c>
      <c r="D660" s="27" t="s">
        <v>3221</v>
      </c>
      <c r="E660" t="s">
        <v>1075</v>
      </c>
      <c r="F660" t="s">
        <v>104</v>
      </c>
      <c r="G660" t="s">
        <v>105</v>
      </c>
      <c r="H660">
        <v>0</v>
      </c>
    </row>
    <row r="661" spans="1:8">
      <c r="A661" t="s">
        <v>3811</v>
      </c>
      <c r="B661" s="24">
        <v>46178</v>
      </c>
      <c r="C661" s="27" t="s">
        <v>5797</v>
      </c>
      <c r="D661" s="27" t="s">
        <v>3221</v>
      </c>
      <c r="E661" t="s">
        <v>1076</v>
      </c>
      <c r="F661" t="s">
        <v>104</v>
      </c>
      <c r="G661" t="s">
        <v>105</v>
      </c>
      <c r="H661">
        <v>0</v>
      </c>
    </row>
    <row r="662" spans="1:8">
      <c r="A662" t="s">
        <v>3812</v>
      </c>
      <c r="B662" s="24">
        <v>46181</v>
      </c>
      <c r="C662" s="27" t="s">
        <v>5797</v>
      </c>
      <c r="D662" s="27" t="s">
        <v>3221</v>
      </c>
      <c r="E662" t="s">
        <v>1077</v>
      </c>
      <c r="F662" t="s">
        <v>104</v>
      </c>
      <c r="G662" t="s">
        <v>105</v>
      </c>
      <c r="H662">
        <v>0</v>
      </c>
    </row>
    <row r="663" spans="1:8">
      <c r="A663" t="s">
        <v>3813</v>
      </c>
      <c r="B663" s="24">
        <v>46182</v>
      </c>
      <c r="C663" s="27" t="s">
        <v>5797</v>
      </c>
      <c r="D663" s="27" t="s">
        <v>3221</v>
      </c>
      <c r="E663" t="s">
        <v>1078</v>
      </c>
      <c r="F663" t="s">
        <v>104</v>
      </c>
      <c r="G663" t="s">
        <v>105</v>
      </c>
      <c r="H663">
        <v>0</v>
      </c>
    </row>
    <row r="664" spans="1:8">
      <c r="A664" t="s">
        <v>3814</v>
      </c>
      <c r="B664" s="24">
        <v>46183</v>
      </c>
      <c r="C664" s="27" t="s">
        <v>5797</v>
      </c>
      <c r="D664" s="27" t="s">
        <v>3221</v>
      </c>
      <c r="E664" t="s">
        <v>1079</v>
      </c>
      <c r="F664" t="s">
        <v>104</v>
      </c>
      <c r="G664" t="s">
        <v>105</v>
      </c>
      <c r="H664">
        <v>0</v>
      </c>
    </row>
    <row r="665" spans="1:8">
      <c r="A665" t="s">
        <v>3815</v>
      </c>
      <c r="B665" s="24">
        <v>46184</v>
      </c>
      <c r="C665" s="27" t="s">
        <v>5797</v>
      </c>
      <c r="D665" s="27" t="s">
        <v>3221</v>
      </c>
      <c r="E665" t="s">
        <v>1080</v>
      </c>
      <c r="F665" t="s">
        <v>104</v>
      </c>
      <c r="G665" t="s">
        <v>105</v>
      </c>
      <c r="H665">
        <v>0</v>
      </c>
    </row>
    <row r="666" spans="1:8">
      <c r="A666" t="s">
        <v>3816</v>
      </c>
      <c r="B666" s="24">
        <v>46185</v>
      </c>
      <c r="C666" s="27" t="s">
        <v>5797</v>
      </c>
      <c r="D666" s="27" t="s">
        <v>3221</v>
      </c>
      <c r="E666" t="s">
        <v>1081</v>
      </c>
      <c r="F666" t="s">
        <v>104</v>
      </c>
      <c r="G666" t="s">
        <v>105</v>
      </c>
      <c r="H666">
        <v>0</v>
      </c>
    </row>
    <row r="667" spans="1:8">
      <c r="A667" t="s">
        <v>3817</v>
      </c>
      <c r="B667" s="24">
        <v>46174</v>
      </c>
      <c r="C667" s="27" t="s">
        <v>5797</v>
      </c>
      <c r="D667" s="27" t="s">
        <v>3221</v>
      </c>
      <c r="E667" t="s">
        <v>1082</v>
      </c>
      <c r="F667" t="s">
        <v>104</v>
      </c>
      <c r="G667" t="s">
        <v>105</v>
      </c>
      <c r="H667">
        <v>0</v>
      </c>
    </row>
    <row r="668" spans="1:8">
      <c r="A668" t="s">
        <v>3818</v>
      </c>
      <c r="B668" s="24">
        <v>46175</v>
      </c>
      <c r="C668" s="27" t="s">
        <v>5797</v>
      </c>
      <c r="D668" s="27" t="s">
        <v>3221</v>
      </c>
      <c r="E668" t="s">
        <v>1083</v>
      </c>
      <c r="F668" t="s">
        <v>104</v>
      </c>
      <c r="G668" t="s">
        <v>105</v>
      </c>
      <c r="H668">
        <v>0</v>
      </c>
    </row>
    <row r="669" spans="1:8">
      <c r="A669" t="s">
        <v>3819</v>
      </c>
      <c r="B669" s="24">
        <v>46176</v>
      </c>
      <c r="C669" s="27" t="s">
        <v>5797</v>
      </c>
      <c r="D669" s="27" t="s">
        <v>3221</v>
      </c>
      <c r="E669" t="s">
        <v>1084</v>
      </c>
      <c r="F669" t="s">
        <v>104</v>
      </c>
      <c r="G669" t="s">
        <v>105</v>
      </c>
      <c r="H669">
        <v>0</v>
      </c>
    </row>
    <row r="670" spans="1:8">
      <c r="A670" t="s">
        <v>3820</v>
      </c>
      <c r="B670" s="24">
        <v>46177</v>
      </c>
      <c r="C670" s="27" t="s">
        <v>5797</v>
      </c>
      <c r="D670" s="27" t="s">
        <v>3221</v>
      </c>
      <c r="E670" t="s">
        <v>1085</v>
      </c>
      <c r="F670" t="s">
        <v>104</v>
      </c>
      <c r="G670" t="s">
        <v>105</v>
      </c>
      <c r="H670">
        <v>0</v>
      </c>
    </row>
    <row r="671" spans="1:8">
      <c r="A671" t="s">
        <v>3821</v>
      </c>
      <c r="B671" s="24">
        <v>46178</v>
      </c>
      <c r="C671" s="27" t="s">
        <v>5797</v>
      </c>
      <c r="D671" s="27" t="s">
        <v>3221</v>
      </c>
      <c r="E671" t="s">
        <v>1086</v>
      </c>
      <c r="F671" t="s">
        <v>104</v>
      </c>
      <c r="G671" t="s">
        <v>105</v>
      </c>
      <c r="H671">
        <v>0</v>
      </c>
    </row>
    <row r="672" spans="1:8">
      <c r="A672" t="s">
        <v>3822</v>
      </c>
      <c r="B672" s="24">
        <v>46181</v>
      </c>
      <c r="C672" s="27" t="s">
        <v>5797</v>
      </c>
      <c r="D672" s="27" t="s">
        <v>3221</v>
      </c>
      <c r="E672" t="s">
        <v>1087</v>
      </c>
      <c r="F672" t="s">
        <v>104</v>
      </c>
      <c r="G672" t="s">
        <v>105</v>
      </c>
      <c r="H672">
        <v>0</v>
      </c>
    </row>
    <row r="673" spans="1:8">
      <c r="A673" t="s">
        <v>3823</v>
      </c>
      <c r="B673" s="24">
        <v>46182</v>
      </c>
      <c r="C673" s="27" t="s">
        <v>5797</v>
      </c>
      <c r="D673" s="27" t="s">
        <v>3221</v>
      </c>
      <c r="E673" t="s">
        <v>1088</v>
      </c>
      <c r="F673" t="s">
        <v>104</v>
      </c>
      <c r="G673" t="s">
        <v>105</v>
      </c>
      <c r="H673">
        <v>0</v>
      </c>
    </row>
    <row r="674" spans="1:8">
      <c r="A674" t="s">
        <v>3824</v>
      </c>
      <c r="B674" s="24">
        <v>46183</v>
      </c>
      <c r="C674" s="27" t="s">
        <v>5797</v>
      </c>
      <c r="D674" s="27" t="s">
        <v>3221</v>
      </c>
      <c r="E674" t="s">
        <v>1089</v>
      </c>
      <c r="F674" t="s">
        <v>104</v>
      </c>
      <c r="G674" t="s">
        <v>105</v>
      </c>
      <c r="H674">
        <v>0</v>
      </c>
    </row>
    <row r="675" spans="1:8">
      <c r="A675" t="s">
        <v>3825</v>
      </c>
      <c r="B675" s="24">
        <v>46184</v>
      </c>
      <c r="C675" s="27" t="s">
        <v>5797</v>
      </c>
      <c r="D675" s="27" t="s">
        <v>3221</v>
      </c>
      <c r="E675" t="s">
        <v>1090</v>
      </c>
      <c r="F675" t="s">
        <v>104</v>
      </c>
      <c r="G675" t="s">
        <v>105</v>
      </c>
      <c r="H675">
        <v>0</v>
      </c>
    </row>
    <row r="676" spans="1:8">
      <c r="A676" t="s">
        <v>3826</v>
      </c>
      <c r="B676" s="24">
        <v>46185</v>
      </c>
      <c r="C676" s="27" t="s">
        <v>5797</v>
      </c>
      <c r="D676" s="27" t="s">
        <v>3221</v>
      </c>
      <c r="E676" t="s">
        <v>1091</v>
      </c>
      <c r="F676" t="s">
        <v>104</v>
      </c>
      <c r="G676" t="s">
        <v>105</v>
      </c>
      <c r="H676">
        <v>0</v>
      </c>
    </row>
    <row r="677" spans="1:8">
      <c r="A677" t="s">
        <v>3827</v>
      </c>
      <c r="B677" s="24">
        <v>46174</v>
      </c>
      <c r="C677" s="27" t="s">
        <v>5797</v>
      </c>
      <c r="D677" s="27" t="s">
        <v>3221</v>
      </c>
      <c r="E677" t="s">
        <v>1092</v>
      </c>
      <c r="F677" t="s">
        <v>104</v>
      </c>
      <c r="G677" t="s">
        <v>105</v>
      </c>
      <c r="H677">
        <v>0</v>
      </c>
    </row>
    <row r="678" spans="1:8">
      <c r="A678" t="s">
        <v>3828</v>
      </c>
      <c r="B678" s="24">
        <v>46175</v>
      </c>
      <c r="C678" s="27" t="s">
        <v>5797</v>
      </c>
      <c r="D678" s="27" t="s">
        <v>3221</v>
      </c>
      <c r="E678" t="s">
        <v>1093</v>
      </c>
      <c r="F678" t="s">
        <v>104</v>
      </c>
      <c r="G678" t="s">
        <v>105</v>
      </c>
      <c r="H678">
        <v>0</v>
      </c>
    </row>
    <row r="679" spans="1:8">
      <c r="A679" t="s">
        <v>3829</v>
      </c>
      <c r="B679" s="24">
        <v>46176</v>
      </c>
      <c r="C679" s="27" t="s">
        <v>5797</v>
      </c>
      <c r="D679" s="27" t="s">
        <v>3221</v>
      </c>
      <c r="E679" t="s">
        <v>1094</v>
      </c>
      <c r="F679" t="s">
        <v>104</v>
      </c>
      <c r="G679" t="s">
        <v>105</v>
      </c>
      <c r="H679">
        <v>0</v>
      </c>
    </row>
    <row r="680" spans="1:8">
      <c r="A680" t="s">
        <v>3830</v>
      </c>
      <c r="B680" s="24">
        <v>46177</v>
      </c>
      <c r="C680" s="27" t="s">
        <v>5797</v>
      </c>
      <c r="D680" s="27" t="s">
        <v>3221</v>
      </c>
      <c r="E680" t="s">
        <v>1095</v>
      </c>
      <c r="F680" t="s">
        <v>104</v>
      </c>
      <c r="G680" t="s">
        <v>105</v>
      </c>
      <c r="H680">
        <v>0</v>
      </c>
    </row>
    <row r="681" spans="1:8">
      <c r="A681" t="s">
        <v>3831</v>
      </c>
      <c r="B681" s="24">
        <v>46178</v>
      </c>
      <c r="C681" s="27" t="s">
        <v>5797</v>
      </c>
      <c r="D681" s="27" t="s">
        <v>3221</v>
      </c>
      <c r="E681" t="s">
        <v>1096</v>
      </c>
      <c r="F681" t="s">
        <v>104</v>
      </c>
      <c r="G681" t="s">
        <v>105</v>
      </c>
      <c r="H681">
        <v>0</v>
      </c>
    </row>
    <row r="682" spans="1:8">
      <c r="A682" t="s">
        <v>3832</v>
      </c>
      <c r="B682" s="24">
        <v>46181</v>
      </c>
      <c r="C682" s="27" t="s">
        <v>5797</v>
      </c>
      <c r="D682" s="27" t="s">
        <v>3221</v>
      </c>
      <c r="E682" t="s">
        <v>1097</v>
      </c>
      <c r="F682" t="s">
        <v>104</v>
      </c>
      <c r="G682" t="s">
        <v>105</v>
      </c>
      <c r="H682">
        <v>0</v>
      </c>
    </row>
    <row r="683" spans="1:8">
      <c r="A683" t="s">
        <v>3833</v>
      </c>
      <c r="B683" s="24">
        <v>46182</v>
      </c>
      <c r="C683" s="27" t="s">
        <v>5797</v>
      </c>
      <c r="D683" s="27" t="s">
        <v>3221</v>
      </c>
      <c r="E683" t="s">
        <v>1098</v>
      </c>
      <c r="F683" t="s">
        <v>104</v>
      </c>
      <c r="G683" t="s">
        <v>105</v>
      </c>
      <c r="H683">
        <v>0</v>
      </c>
    </row>
    <row r="684" spans="1:8">
      <c r="A684" t="s">
        <v>3834</v>
      </c>
      <c r="B684" s="24">
        <v>46183</v>
      </c>
      <c r="C684" s="27" t="s">
        <v>5797</v>
      </c>
      <c r="D684" s="27" t="s">
        <v>3221</v>
      </c>
      <c r="E684" t="s">
        <v>1099</v>
      </c>
      <c r="F684" t="s">
        <v>104</v>
      </c>
      <c r="G684" t="s">
        <v>105</v>
      </c>
      <c r="H684">
        <v>0</v>
      </c>
    </row>
    <row r="685" spans="1:8">
      <c r="A685" t="s">
        <v>3835</v>
      </c>
      <c r="B685" s="24">
        <v>46184</v>
      </c>
      <c r="C685" s="27" t="s">
        <v>5797</v>
      </c>
      <c r="D685" s="27" t="s">
        <v>3221</v>
      </c>
      <c r="E685" t="s">
        <v>1100</v>
      </c>
      <c r="F685" t="s">
        <v>104</v>
      </c>
      <c r="G685" t="s">
        <v>105</v>
      </c>
      <c r="H685">
        <v>0</v>
      </c>
    </row>
    <row r="686" spans="1:8">
      <c r="A686" t="s">
        <v>3836</v>
      </c>
      <c r="B686" s="24">
        <v>46185</v>
      </c>
      <c r="C686" s="27" t="s">
        <v>5797</v>
      </c>
      <c r="D686" s="27" t="s">
        <v>3221</v>
      </c>
      <c r="E686" t="s">
        <v>1101</v>
      </c>
      <c r="F686" t="s">
        <v>104</v>
      </c>
      <c r="G686" t="s">
        <v>105</v>
      </c>
      <c r="H686">
        <v>0</v>
      </c>
    </row>
    <row r="687" spans="1:8">
      <c r="A687" t="s">
        <v>3837</v>
      </c>
      <c r="B687" s="24">
        <v>46174</v>
      </c>
      <c r="C687" s="27" t="s">
        <v>5797</v>
      </c>
      <c r="D687" s="27" t="s">
        <v>3221</v>
      </c>
      <c r="E687" t="s">
        <v>1102</v>
      </c>
      <c r="F687" t="s">
        <v>104</v>
      </c>
      <c r="G687" t="s">
        <v>105</v>
      </c>
      <c r="H687">
        <v>0</v>
      </c>
    </row>
    <row r="688" spans="1:8">
      <c r="A688" t="s">
        <v>3838</v>
      </c>
      <c r="B688" s="24">
        <v>46175</v>
      </c>
      <c r="C688" s="27" t="s">
        <v>5797</v>
      </c>
      <c r="D688" s="27" t="s">
        <v>3221</v>
      </c>
      <c r="E688" t="s">
        <v>1103</v>
      </c>
      <c r="F688" t="s">
        <v>104</v>
      </c>
      <c r="G688" t="s">
        <v>105</v>
      </c>
      <c r="H688">
        <v>0</v>
      </c>
    </row>
    <row r="689" spans="1:8">
      <c r="A689" t="s">
        <v>3839</v>
      </c>
      <c r="B689" s="24">
        <v>46176</v>
      </c>
      <c r="C689" s="27" t="s">
        <v>5797</v>
      </c>
      <c r="D689" s="27" t="s">
        <v>3221</v>
      </c>
      <c r="E689" t="s">
        <v>1104</v>
      </c>
      <c r="F689" t="s">
        <v>104</v>
      </c>
      <c r="G689" t="s">
        <v>105</v>
      </c>
      <c r="H689">
        <v>0</v>
      </c>
    </row>
    <row r="690" spans="1:8">
      <c r="A690" t="s">
        <v>3840</v>
      </c>
      <c r="B690" s="24">
        <v>46177</v>
      </c>
      <c r="C690" s="27" t="s">
        <v>5797</v>
      </c>
      <c r="D690" s="27" t="s">
        <v>3221</v>
      </c>
      <c r="E690" t="s">
        <v>1105</v>
      </c>
      <c r="F690" t="s">
        <v>104</v>
      </c>
      <c r="G690" t="s">
        <v>105</v>
      </c>
      <c r="H690">
        <v>0</v>
      </c>
    </row>
    <row r="691" spans="1:8">
      <c r="A691" t="s">
        <v>3841</v>
      </c>
      <c r="B691" s="24">
        <v>46178</v>
      </c>
      <c r="C691" s="27" t="s">
        <v>5797</v>
      </c>
      <c r="D691" s="27" t="s">
        <v>3221</v>
      </c>
      <c r="E691" t="s">
        <v>1106</v>
      </c>
      <c r="F691" t="s">
        <v>104</v>
      </c>
      <c r="G691" t="s">
        <v>105</v>
      </c>
      <c r="H691">
        <v>0</v>
      </c>
    </row>
    <row r="692" spans="1:8">
      <c r="A692" t="s">
        <v>3842</v>
      </c>
      <c r="B692" s="24">
        <v>46181</v>
      </c>
      <c r="C692" s="27" t="s">
        <v>5797</v>
      </c>
      <c r="D692" s="27" t="s">
        <v>3221</v>
      </c>
      <c r="E692" t="s">
        <v>1107</v>
      </c>
      <c r="F692" t="s">
        <v>104</v>
      </c>
      <c r="G692" t="s">
        <v>105</v>
      </c>
      <c r="H692">
        <v>0</v>
      </c>
    </row>
    <row r="693" spans="1:8">
      <c r="A693" t="s">
        <v>3843</v>
      </c>
      <c r="B693" s="24">
        <v>46182</v>
      </c>
      <c r="C693" s="27" t="s">
        <v>5797</v>
      </c>
      <c r="D693" s="27" t="s">
        <v>3221</v>
      </c>
      <c r="E693" t="s">
        <v>1108</v>
      </c>
      <c r="F693" t="s">
        <v>104</v>
      </c>
      <c r="G693" t="s">
        <v>105</v>
      </c>
      <c r="H693">
        <v>0</v>
      </c>
    </row>
    <row r="694" spans="1:8">
      <c r="A694" t="s">
        <v>3844</v>
      </c>
      <c r="B694" s="24">
        <v>46183</v>
      </c>
      <c r="C694" s="27" t="s">
        <v>5797</v>
      </c>
      <c r="D694" s="27" t="s">
        <v>3221</v>
      </c>
      <c r="E694" t="s">
        <v>1109</v>
      </c>
      <c r="F694" t="s">
        <v>104</v>
      </c>
      <c r="G694" t="s">
        <v>105</v>
      </c>
      <c r="H694">
        <v>0</v>
      </c>
    </row>
    <row r="695" spans="1:8">
      <c r="A695" t="s">
        <v>3845</v>
      </c>
      <c r="B695" s="24">
        <v>46184</v>
      </c>
      <c r="C695" s="27" t="s">
        <v>5797</v>
      </c>
      <c r="D695" s="27" t="s">
        <v>3221</v>
      </c>
      <c r="E695" t="s">
        <v>1110</v>
      </c>
      <c r="F695" t="s">
        <v>104</v>
      </c>
      <c r="G695" t="s">
        <v>105</v>
      </c>
      <c r="H695">
        <v>0</v>
      </c>
    </row>
    <row r="696" spans="1:8">
      <c r="A696" t="s">
        <v>3846</v>
      </c>
      <c r="B696" s="24">
        <v>46185</v>
      </c>
      <c r="C696" s="27" t="s">
        <v>5797</v>
      </c>
      <c r="D696" s="27" t="s">
        <v>3221</v>
      </c>
      <c r="E696" t="s">
        <v>1111</v>
      </c>
      <c r="F696" t="s">
        <v>104</v>
      </c>
      <c r="G696" t="s">
        <v>105</v>
      </c>
      <c r="H696">
        <v>0</v>
      </c>
    </row>
    <row r="697" spans="1:8">
      <c r="A697" t="s">
        <v>3847</v>
      </c>
      <c r="B697" s="24">
        <v>46174</v>
      </c>
      <c r="C697" s="27" t="s">
        <v>5797</v>
      </c>
      <c r="D697" s="27" t="s">
        <v>3221</v>
      </c>
      <c r="E697" t="s">
        <v>1112</v>
      </c>
      <c r="F697" t="s">
        <v>104</v>
      </c>
      <c r="G697" t="s">
        <v>105</v>
      </c>
      <c r="H697">
        <v>0</v>
      </c>
    </row>
    <row r="698" spans="1:8">
      <c r="A698" t="s">
        <v>3848</v>
      </c>
      <c r="B698" s="24">
        <v>46175</v>
      </c>
      <c r="C698" s="27" t="s">
        <v>5797</v>
      </c>
      <c r="D698" s="27" t="s">
        <v>3221</v>
      </c>
      <c r="E698" t="s">
        <v>1113</v>
      </c>
      <c r="F698" t="s">
        <v>104</v>
      </c>
      <c r="G698" t="s">
        <v>105</v>
      </c>
      <c r="H698">
        <v>0</v>
      </c>
    </row>
    <row r="699" spans="1:8">
      <c r="A699" t="s">
        <v>3849</v>
      </c>
      <c r="B699" s="24">
        <v>46176</v>
      </c>
      <c r="C699" s="27" t="s">
        <v>5797</v>
      </c>
      <c r="D699" s="27" t="s">
        <v>3221</v>
      </c>
      <c r="E699" t="s">
        <v>1114</v>
      </c>
      <c r="F699" t="s">
        <v>104</v>
      </c>
      <c r="G699" t="s">
        <v>105</v>
      </c>
      <c r="H699">
        <v>0</v>
      </c>
    </row>
    <row r="700" spans="1:8">
      <c r="A700" t="s">
        <v>3850</v>
      </c>
      <c r="B700" s="24">
        <v>46177</v>
      </c>
      <c r="C700" s="27" t="s">
        <v>5797</v>
      </c>
      <c r="D700" s="27" t="s">
        <v>3221</v>
      </c>
      <c r="E700" t="s">
        <v>1115</v>
      </c>
      <c r="F700" t="s">
        <v>104</v>
      </c>
      <c r="G700" t="s">
        <v>105</v>
      </c>
      <c r="H700">
        <v>0</v>
      </c>
    </row>
    <row r="701" spans="1:8">
      <c r="A701" t="s">
        <v>3851</v>
      </c>
      <c r="B701" s="24">
        <v>46178</v>
      </c>
      <c r="C701" s="27" t="s">
        <v>5797</v>
      </c>
      <c r="D701" s="27" t="s">
        <v>3221</v>
      </c>
      <c r="E701" t="s">
        <v>1116</v>
      </c>
      <c r="F701" t="s">
        <v>104</v>
      </c>
      <c r="G701" t="s">
        <v>105</v>
      </c>
      <c r="H701">
        <v>0</v>
      </c>
    </row>
    <row r="702" spans="1:8">
      <c r="A702" t="s">
        <v>3852</v>
      </c>
      <c r="B702" s="24">
        <v>46181</v>
      </c>
      <c r="C702" s="27" t="s">
        <v>5797</v>
      </c>
      <c r="D702" s="27" t="s">
        <v>3221</v>
      </c>
      <c r="E702" t="s">
        <v>1117</v>
      </c>
      <c r="F702" t="s">
        <v>104</v>
      </c>
      <c r="G702" t="s">
        <v>105</v>
      </c>
      <c r="H702">
        <v>0</v>
      </c>
    </row>
    <row r="703" spans="1:8">
      <c r="A703" t="s">
        <v>3853</v>
      </c>
      <c r="B703" s="24">
        <v>46182</v>
      </c>
      <c r="C703" s="27" t="s">
        <v>5797</v>
      </c>
      <c r="D703" s="27" t="s">
        <v>3221</v>
      </c>
      <c r="E703" t="s">
        <v>1118</v>
      </c>
      <c r="F703" t="s">
        <v>104</v>
      </c>
      <c r="G703" t="s">
        <v>105</v>
      </c>
      <c r="H703">
        <v>0</v>
      </c>
    </row>
    <row r="704" spans="1:8">
      <c r="A704" t="s">
        <v>3854</v>
      </c>
      <c r="B704" s="24">
        <v>46183</v>
      </c>
      <c r="C704" s="27" t="s">
        <v>5797</v>
      </c>
      <c r="D704" s="27" t="s">
        <v>3221</v>
      </c>
      <c r="E704" t="s">
        <v>1119</v>
      </c>
      <c r="F704" t="s">
        <v>104</v>
      </c>
      <c r="G704" t="s">
        <v>105</v>
      </c>
      <c r="H704">
        <v>0</v>
      </c>
    </row>
    <row r="705" spans="1:8">
      <c r="A705" t="s">
        <v>3855</v>
      </c>
      <c r="B705" s="24">
        <v>46184</v>
      </c>
      <c r="C705" s="27" t="s">
        <v>5797</v>
      </c>
      <c r="D705" s="27" t="s">
        <v>3221</v>
      </c>
      <c r="E705" t="s">
        <v>1120</v>
      </c>
      <c r="F705" t="s">
        <v>104</v>
      </c>
      <c r="G705" t="s">
        <v>105</v>
      </c>
      <c r="H705">
        <v>0</v>
      </c>
    </row>
    <row r="706" spans="1:8">
      <c r="A706" t="s">
        <v>3856</v>
      </c>
      <c r="B706" s="24">
        <v>46185</v>
      </c>
      <c r="C706" s="27" t="s">
        <v>5797</v>
      </c>
      <c r="D706" s="27" t="s">
        <v>3221</v>
      </c>
      <c r="E706" t="s">
        <v>1121</v>
      </c>
      <c r="F706" t="s">
        <v>104</v>
      </c>
      <c r="G706" t="s">
        <v>105</v>
      </c>
      <c r="H706">
        <v>0</v>
      </c>
    </row>
    <row r="707" spans="1:8">
      <c r="A707" t="s">
        <v>3857</v>
      </c>
      <c r="B707" s="24">
        <v>46174</v>
      </c>
      <c r="C707" s="27" t="s">
        <v>5797</v>
      </c>
      <c r="D707" s="27" t="s">
        <v>3221</v>
      </c>
      <c r="E707" t="s">
        <v>1122</v>
      </c>
      <c r="F707" t="s">
        <v>104</v>
      </c>
      <c r="G707" t="s">
        <v>105</v>
      </c>
      <c r="H707">
        <v>0</v>
      </c>
    </row>
    <row r="708" spans="1:8">
      <c r="A708" t="s">
        <v>3858</v>
      </c>
      <c r="B708" s="24">
        <v>46175</v>
      </c>
      <c r="C708" s="27" t="s">
        <v>5797</v>
      </c>
      <c r="D708" s="27" t="s">
        <v>3221</v>
      </c>
      <c r="E708" t="s">
        <v>1123</v>
      </c>
      <c r="F708" t="s">
        <v>104</v>
      </c>
      <c r="G708" t="s">
        <v>105</v>
      </c>
      <c r="H708">
        <v>0</v>
      </c>
    </row>
    <row r="709" spans="1:8">
      <c r="A709" t="s">
        <v>3859</v>
      </c>
      <c r="B709" s="24">
        <v>46176</v>
      </c>
      <c r="C709" s="27" t="s">
        <v>5797</v>
      </c>
      <c r="D709" s="27" t="s">
        <v>3221</v>
      </c>
      <c r="E709" t="s">
        <v>1124</v>
      </c>
      <c r="F709" t="s">
        <v>104</v>
      </c>
      <c r="G709" t="s">
        <v>105</v>
      </c>
      <c r="H709">
        <v>0</v>
      </c>
    </row>
    <row r="710" spans="1:8">
      <c r="A710" t="s">
        <v>3860</v>
      </c>
      <c r="B710" s="24">
        <v>46177</v>
      </c>
      <c r="C710" s="27" t="s">
        <v>5797</v>
      </c>
      <c r="D710" s="27" t="s">
        <v>3221</v>
      </c>
      <c r="E710" t="s">
        <v>1125</v>
      </c>
      <c r="F710" t="s">
        <v>104</v>
      </c>
      <c r="G710" t="s">
        <v>105</v>
      </c>
      <c r="H710">
        <v>0</v>
      </c>
    </row>
    <row r="711" spans="1:8">
      <c r="A711" t="s">
        <v>3861</v>
      </c>
      <c r="B711" s="24">
        <v>46178</v>
      </c>
      <c r="C711" s="27" t="s">
        <v>5797</v>
      </c>
      <c r="D711" s="27" t="s">
        <v>3221</v>
      </c>
      <c r="E711" t="s">
        <v>1126</v>
      </c>
      <c r="F711" t="s">
        <v>104</v>
      </c>
      <c r="G711" t="s">
        <v>105</v>
      </c>
      <c r="H711">
        <v>0</v>
      </c>
    </row>
    <row r="712" spans="1:8">
      <c r="A712" t="s">
        <v>3862</v>
      </c>
      <c r="B712" s="24">
        <v>46181</v>
      </c>
      <c r="C712" s="27" t="s">
        <v>5797</v>
      </c>
      <c r="D712" s="27" t="s">
        <v>3221</v>
      </c>
      <c r="E712" t="s">
        <v>1127</v>
      </c>
      <c r="F712" t="s">
        <v>104</v>
      </c>
      <c r="G712" t="s">
        <v>105</v>
      </c>
      <c r="H712">
        <v>0</v>
      </c>
    </row>
    <row r="713" spans="1:8">
      <c r="A713" t="s">
        <v>3863</v>
      </c>
      <c r="B713" s="24">
        <v>46182</v>
      </c>
      <c r="C713" s="27" t="s">
        <v>5797</v>
      </c>
      <c r="D713" s="27" t="s">
        <v>3221</v>
      </c>
      <c r="E713" t="s">
        <v>1128</v>
      </c>
      <c r="F713" t="s">
        <v>104</v>
      </c>
      <c r="G713" t="s">
        <v>105</v>
      </c>
      <c r="H713">
        <v>0</v>
      </c>
    </row>
    <row r="714" spans="1:8">
      <c r="A714" t="s">
        <v>3864</v>
      </c>
      <c r="B714" s="24">
        <v>46183</v>
      </c>
      <c r="C714" s="27" t="s">
        <v>5797</v>
      </c>
      <c r="D714" s="27" t="s">
        <v>3221</v>
      </c>
      <c r="E714" t="s">
        <v>1129</v>
      </c>
      <c r="F714" t="s">
        <v>104</v>
      </c>
      <c r="G714" t="s">
        <v>105</v>
      </c>
      <c r="H714">
        <v>0</v>
      </c>
    </row>
    <row r="715" spans="1:8">
      <c r="A715" t="s">
        <v>3865</v>
      </c>
      <c r="B715" s="24">
        <v>46184</v>
      </c>
      <c r="C715" s="27" t="s">
        <v>5797</v>
      </c>
      <c r="D715" s="27" t="s">
        <v>3221</v>
      </c>
      <c r="E715" t="s">
        <v>1130</v>
      </c>
      <c r="F715" t="s">
        <v>104</v>
      </c>
      <c r="G715" t="s">
        <v>105</v>
      </c>
      <c r="H715">
        <v>0</v>
      </c>
    </row>
    <row r="716" spans="1:8">
      <c r="A716" t="s">
        <v>3866</v>
      </c>
      <c r="B716" s="24">
        <v>46185</v>
      </c>
      <c r="C716" s="27" t="s">
        <v>5797</v>
      </c>
      <c r="D716" s="27" t="s">
        <v>3221</v>
      </c>
      <c r="E716" t="s">
        <v>1131</v>
      </c>
      <c r="F716" t="s">
        <v>104</v>
      </c>
      <c r="G716" t="s">
        <v>105</v>
      </c>
      <c r="H716">
        <v>0</v>
      </c>
    </row>
    <row r="717" spans="1:8">
      <c r="A717" t="s">
        <v>3867</v>
      </c>
      <c r="B717" s="24">
        <v>46174</v>
      </c>
      <c r="C717" s="27" t="s">
        <v>5797</v>
      </c>
      <c r="D717" s="27" t="s">
        <v>3221</v>
      </c>
      <c r="E717" t="s">
        <v>1132</v>
      </c>
      <c r="F717" t="s">
        <v>104</v>
      </c>
      <c r="G717" t="s">
        <v>105</v>
      </c>
      <c r="H717">
        <v>0</v>
      </c>
    </row>
    <row r="718" spans="1:8">
      <c r="A718" t="s">
        <v>3868</v>
      </c>
      <c r="B718" s="24">
        <v>46175</v>
      </c>
      <c r="C718" s="27" t="s">
        <v>5797</v>
      </c>
      <c r="D718" s="27" t="s">
        <v>3221</v>
      </c>
      <c r="E718" t="s">
        <v>1133</v>
      </c>
      <c r="F718" t="s">
        <v>104</v>
      </c>
      <c r="G718" t="s">
        <v>105</v>
      </c>
      <c r="H718">
        <v>0</v>
      </c>
    </row>
    <row r="719" spans="1:8">
      <c r="A719" t="s">
        <v>3869</v>
      </c>
      <c r="B719" s="24">
        <v>46176</v>
      </c>
      <c r="C719" s="27" t="s">
        <v>5797</v>
      </c>
      <c r="D719" s="27" t="s">
        <v>3221</v>
      </c>
      <c r="E719" t="s">
        <v>1134</v>
      </c>
      <c r="F719" t="s">
        <v>104</v>
      </c>
      <c r="G719" t="s">
        <v>105</v>
      </c>
      <c r="H719">
        <v>0</v>
      </c>
    </row>
    <row r="720" spans="1:8">
      <c r="A720" t="s">
        <v>3870</v>
      </c>
      <c r="B720" s="24">
        <v>46177</v>
      </c>
      <c r="C720" s="27" t="s">
        <v>5797</v>
      </c>
      <c r="D720" s="27" t="s">
        <v>3221</v>
      </c>
      <c r="E720" t="s">
        <v>1135</v>
      </c>
      <c r="F720" t="s">
        <v>104</v>
      </c>
      <c r="G720" t="s">
        <v>105</v>
      </c>
      <c r="H720">
        <v>0</v>
      </c>
    </row>
    <row r="721" spans="1:8">
      <c r="A721" t="s">
        <v>3871</v>
      </c>
      <c r="B721" s="24">
        <v>46178</v>
      </c>
      <c r="C721" s="27" t="s">
        <v>5797</v>
      </c>
      <c r="D721" s="27" t="s">
        <v>3221</v>
      </c>
      <c r="E721" t="s">
        <v>1136</v>
      </c>
      <c r="F721" t="s">
        <v>104</v>
      </c>
      <c r="G721" t="s">
        <v>105</v>
      </c>
      <c r="H721">
        <v>0</v>
      </c>
    </row>
    <row r="722" spans="1:8">
      <c r="A722" t="s">
        <v>3872</v>
      </c>
      <c r="B722" s="24">
        <v>46181</v>
      </c>
      <c r="C722" s="27" t="s">
        <v>5797</v>
      </c>
      <c r="D722" s="27" t="s">
        <v>3221</v>
      </c>
      <c r="E722" t="s">
        <v>1137</v>
      </c>
      <c r="F722" t="s">
        <v>104</v>
      </c>
      <c r="G722" t="s">
        <v>105</v>
      </c>
      <c r="H722">
        <v>0</v>
      </c>
    </row>
    <row r="723" spans="1:8">
      <c r="A723" t="s">
        <v>3873</v>
      </c>
      <c r="B723" s="24">
        <v>46182</v>
      </c>
      <c r="C723" s="27" t="s">
        <v>5797</v>
      </c>
      <c r="D723" s="27" t="s">
        <v>3221</v>
      </c>
      <c r="E723" t="s">
        <v>1138</v>
      </c>
      <c r="F723" t="s">
        <v>104</v>
      </c>
      <c r="G723" t="s">
        <v>105</v>
      </c>
      <c r="H723">
        <v>0</v>
      </c>
    </row>
    <row r="724" spans="1:8">
      <c r="A724" t="s">
        <v>3874</v>
      </c>
      <c r="B724" s="24">
        <v>46183</v>
      </c>
      <c r="C724" s="27" t="s">
        <v>5797</v>
      </c>
      <c r="D724" s="27" t="s">
        <v>3221</v>
      </c>
      <c r="E724" t="s">
        <v>1139</v>
      </c>
      <c r="F724" t="s">
        <v>104</v>
      </c>
      <c r="G724" t="s">
        <v>105</v>
      </c>
      <c r="H724">
        <v>0</v>
      </c>
    </row>
    <row r="725" spans="1:8">
      <c r="A725" t="s">
        <v>3875</v>
      </c>
      <c r="B725" s="24">
        <v>46184</v>
      </c>
      <c r="C725" s="27" t="s">
        <v>5797</v>
      </c>
      <c r="D725" s="27" t="s">
        <v>3221</v>
      </c>
      <c r="E725" t="s">
        <v>1140</v>
      </c>
      <c r="F725" t="s">
        <v>104</v>
      </c>
      <c r="G725" t="s">
        <v>105</v>
      </c>
      <c r="H725">
        <v>0</v>
      </c>
    </row>
    <row r="726" spans="1:8">
      <c r="A726" t="s">
        <v>3876</v>
      </c>
      <c r="B726" s="24">
        <v>46185</v>
      </c>
      <c r="C726" s="27" t="s">
        <v>5797</v>
      </c>
      <c r="D726" s="27" t="s">
        <v>3221</v>
      </c>
      <c r="E726" t="s">
        <v>1141</v>
      </c>
      <c r="F726" t="s">
        <v>104</v>
      </c>
      <c r="G726" t="s">
        <v>105</v>
      </c>
      <c r="H726">
        <v>0</v>
      </c>
    </row>
    <row r="727" spans="1:8">
      <c r="A727" t="s">
        <v>3877</v>
      </c>
      <c r="B727" s="24">
        <v>46174</v>
      </c>
      <c r="C727" s="27" t="s">
        <v>5797</v>
      </c>
      <c r="D727" s="27" t="s">
        <v>3221</v>
      </c>
      <c r="E727" t="s">
        <v>1142</v>
      </c>
      <c r="F727" t="s">
        <v>104</v>
      </c>
      <c r="G727" t="s">
        <v>105</v>
      </c>
      <c r="H727">
        <v>0</v>
      </c>
    </row>
    <row r="728" spans="1:8">
      <c r="A728" t="s">
        <v>3878</v>
      </c>
      <c r="B728" s="24">
        <v>46175</v>
      </c>
      <c r="C728" s="27" t="s">
        <v>5797</v>
      </c>
      <c r="D728" s="27" t="s">
        <v>3221</v>
      </c>
      <c r="E728" t="s">
        <v>1143</v>
      </c>
      <c r="F728" t="s">
        <v>104</v>
      </c>
      <c r="H728" t="s">
        <v>5762</v>
      </c>
    </row>
    <row r="729" spans="1:8">
      <c r="A729" t="s">
        <v>3879</v>
      </c>
      <c r="B729" s="24">
        <v>46176</v>
      </c>
      <c r="C729" s="27" t="s">
        <v>5797</v>
      </c>
      <c r="D729" s="27" t="s">
        <v>3221</v>
      </c>
      <c r="E729" t="s">
        <v>1144</v>
      </c>
      <c r="F729" t="s">
        <v>104</v>
      </c>
      <c r="H729" t="s">
        <v>5762</v>
      </c>
    </row>
    <row r="730" spans="1:8">
      <c r="A730" t="s">
        <v>3880</v>
      </c>
      <c r="B730" s="24">
        <v>46177</v>
      </c>
      <c r="C730" s="27" t="s">
        <v>5797</v>
      </c>
      <c r="D730" s="27" t="s">
        <v>3221</v>
      </c>
      <c r="E730" t="s">
        <v>1145</v>
      </c>
      <c r="F730" t="s">
        <v>104</v>
      </c>
      <c r="H730" t="s">
        <v>5762</v>
      </c>
    </row>
    <row r="731" spans="1:8">
      <c r="A731" t="s">
        <v>3881</v>
      </c>
      <c r="B731" s="24">
        <v>46178</v>
      </c>
      <c r="C731" s="27" t="s">
        <v>5797</v>
      </c>
      <c r="D731" s="27" t="s">
        <v>3221</v>
      </c>
      <c r="E731" t="s">
        <v>1146</v>
      </c>
      <c r="F731" t="s">
        <v>104</v>
      </c>
      <c r="H731" t="s">
        <v>5762</v>
      </c>
    </row>
    <row r="732" spans="1:8">
      <c r="A732" t="s">
        <v>3882</v>
      </c>
      <c r="B732" s="24">
        <v>46181</v>
      </c>
      <c r="C732" s="27" t="s">
        <v>5797</v>
      </c>
      <c r="D732" s="27" t="s">
        <v>3221</v>
      </c>
      <c r="E732" t="s">
        <v>1147</v>
      </c>
      <c r="F732" t="s">
        <v>104</v>
      </c>
      <c r="H732" t="s">
        <v>5762</v>
      </c>
    </row>
    <row r="733" spans="1:8">
      <c r="A733" t="s">
        <v>3883</v>
      </c>
      <c r="B733" s="24">
        <v>46182</v>
      </c>
      <c r="C733" s="27" t="s">
        <v>5797</v>
      </c>
      <c r="D733" s="27" t="s">
        <v>3221</v>
      </c>
      <c r="E733" t="s">
        <v>1148</v>
      </c>
      <c r="F733" t="s">
        <v>104</v>
      </c>
      <c r="H733" t="s">
        <v>5762</v>
      </c>
    </row>
    <row r="734" spans="1:8">
      <c r="A734" t="s">
        <v>3884</v>
      </c>
      <c r="B734" s="24">
        <v>46183</v>
      </c>
      <c r="C734" s="27" t="s">
        <v>5797</v>
      </c>
      <c r="D734" s="27" t="s">
        <v>3221</v>
      </c>
      <c r="E734" t="s">
        <v>1149</v>
      </c>
      <c r="F734" t="s">
        <v>104</v>
      </c>
      <c r="H734" t="s">
        <v>5762</v>
      </c>
    </row>
    <row r="735" spans="1:8">
      <c r="A735" t="s">
        <v>3885</v>
      </c>
      <c r="B735" s="24">
        <v>46184</v>
      </c>
      <c r="C735" s="27" t="s">
        <v>5797</v>
      </c>
      <c r="D735" s="27" t="s">
        <v>3221</v>
      </c>
      <c r="E735" t="s">
        <v>1150</v>
      </c>
      <c r="F735" t="s">
        <v>104</v>
      </c>
      <c r="H735" t="s">
        <v>5762</v>
      </c>
    </row>
    <row r="736" spans="1:8">
      <c r="A736" t="s">
        <v>3886</v>
      </c>
      <c r="B736" s="24">
        <v>46185</v>
      </c>
      <c r="C736" s="27" t="s">
        <v>5797</v>
      </c>
      <c r="D736" s="27" t="s">
        <v>3221</v>
      </c>
      <c r="E736" t="s">
        <v>1151</v>
      </c>
      <c r="F736" t="s">
        <v>104</v>
      </c>
      <c r="H736" t="s">
        <v>5762</v>
      </c>
    </row>
    <row r="737" spans="1:8">
      <c r="A737" t="s">
        <v>3887</v>
      </c>
      <c r="B737" s="24">
        <v>46174</v>
      </c>
      <c r="C737" s="27" t="s">
        <v>5797</v>
      </c>
      <c r="D737" s="27" t="s">
        <v>3221</v>
      </c>
      <c r="E737" t="s">
        <v>1152</v>
      </c>
      <c r="F737" t="s">
        <v>104</v>
      </c>
      <c r="H737" t="s">
        <v>5762</v>
      </c>
    </row>
    <row r="738" spans="1:8">
      <c r="A738" t="s">
        <v>3888</v>
      </c>
      <c r="B738" s="24">
        <v>46175</v>
      </c>
      <c r="C738" s="27" t="s">
        <v>5797</v>
      </c>
      <c r="D738" s="27" t="s">
        <v>3221</v>
      </c>
      <c r="E738" t="s">
        <v>1153</v>
      </c>
      <c r="F738" t="s">
        <v>104</v>
      </c>
      <c r="H738" t="s">
        <v>5762</v>
      </c>
    </row>
    <row r="739" spans="1:8">
      <c r="A739" t="s">
        <v>3889</v>
      </c>
      <c r="B739" s="24">
        <v>46176</v>
      </c>
      <c r="C739" s="27" t="s">
        <v>5797</v>
      </c>
      <c r="D739" s="27" t="s">
        <v>3221</v>
      </c>
      <c r="E739" t="s">
        <v>1154</v>
      </c>
      <c r="F739" t="s">
        <v>104</v>
      </c>
      <c r="H739" t="s">
        <v>5762</v>
      </c>
    </row>
    <row r="740" spans="1:8">
      <c r="A740" t="s">
        <v>3890</v>
      </c>
      <c r="B740" s="24">
        <v>46177</v>
      </c>
      <c r="C740" s="27" t="s">
        <v>5797</v>
      </c>
      <c r="D740" s="27" t="s">
        <v>3221</v>
      </c>
      <c r="E740" t="s">
        <v>1155</v>
      </c>
      <c r="F740" t="s">
        <v>104</v>
      </c>
      <c r="H740" t="s">
        <v>5762</v>
      </c>
    </row>
    <row r="741" spans="1:8">
      <c r="A741" t="s">
        <v>3891</v>
      </c>
      <c r="B741" s="24">
        <v>46178</v>
      </c>
      <c r="C741" s="27" t="s">
        <v>5797</v>
      </c>
      <c r="D741" s="27" t="s">
        <v>3221</v>
      </c>
      <c r="E741" t="s">
        <v>1156</v>
      </c>
      <c r="F741" t="s">
        <v>104</v>
      </c>
      <c r="H741" t="s">
        <v>5762</v>
      </c>
    </row>
    <row r="742" spans="1:8">
      <c r="A742" t="s">
        <v>3892</v>
      </c>
      <c r="B742" s="24">
        <v>46181</v>
      </c>
      <c r="C742" s="27" t="s">
        <v>5797</v>
      </c>
      <c r="D742" s="27" t="s">
        <v>3221</v>
      </c>
      <c r="E742" t="s">
        <v>1157</v>
      </c>
      <c r="F742" t="s">
        <v>104</v>
      </c>
      <c r="H742" t="s">
        <v>5762</v>
      </c>
    </row>
    <row r="743" spans="1:8">
      <c r="A743" t="s">
        <v>3893</v>
      </c>
      <c r="B743" s="24">
        <v>46182</v>
      </c>
      <c r="C743" s="27" t="s">
        <v>5797</v>
      </c>
      <c r="D743" s="27" t="s">
        <v>3221</v>
      </c>
      <c r="E743" t="s">
        <v>1158</v>
      </c>
      <c r="F743" t="s">
        <v>104</v>
      </c>
      <c r="H743" t="s">
        <v>5762</v>
      </c>
    </row>
    <row r="744" spans="1:8">
      <c r="A744" t="s">
        <v>3894</v>
      </c>
      <c r="B744" s="24">
        <v>46183</v>
      </c>
      <c r="C744" s="27" t="s">
        <v>5797</v>
      </c>
      <c r="D744" s="27" t="s">
        <v>3221</v>
      </c>
      <c r="E744" t="s">
        <v>1159</v>
      </c>
      <c r="F744" t="s">
        <v>104</v>
      </c>
      <c r="H744" t="s">
        <v>5762</v>
      </c>
    </row>
    <row r="745" spans="1:8">
      <c r="A745" t="s">
        <v>3895</v>
      </c>
      <c r="B745" s="24">
        <v>46184</v>
      </c>
      <c r="C745" s="27" t="s">
        <v>5797</v>
      </c>
      <c r="D745" s="27" t="s">
        <v>3221</v>
      </c>
      <c r="E745" t="s">
        <v>1160</v>
      </c>
      <c r="F745" t="s">
        <v>104</v>
      </c>
      <c r="H745" t="s">
        <v>5762</v>
      </c>
    </row>
    <row r="746" spans="1:8">
      <c r="A746" t="s">
        <v>3896</v>
      </c>
      <c r="B746" s="24">
        <v>46185</v>
      </c>
      <c r="C746" s="27" t="s">
        <v>5797</v>
      </c>
      <c r="D746" s="27" t="s">
        <v>3221</v>
      </c>
      <c r="E746" t="s">
        <v>1161</v>
      </c>
      <c r="F746" t="s">
        <v>104</v>
      </c>
      <c r="H746" t="s">
        <v>5762</v>
      </c>
    </row>
    <row r="747" spans="1:8">
      <c r="A747" t="s">
        <v>3897</v>
      </c>
      <c r="B747" s="24">
        <v>46174</v>
      </c>
      <c r="C747" s="27" t="s">
        <v>5797</v>
      </c>
      <c r="D747" s="27" t="s">
        <v>3221</v>
      </c>
      <c r="E747" t="s">
        <v>1162</v>
      </c>
      <c r="F747" t="s">
        <v>104</v>
      </c>
      <c r="H747" t="s">
        <v>5762</v>
      </c>
    </row>
    <row r="748" spans="1:8">
      <c r="A748" t="s">
        <v>3898</v>
      </c>
      <c r="B748" s="24">
        <v>46175</v>
      </c>
      <c r="C748" s="27" t="s">
        <v>5797</v>
      </c>
      <c r="D748" s="27" t="s">
        <v>3221</v>
      </c>
      <c r="E748" t="s">
        <v>1163</v>
      </c>
      <c r="F748" t="s">
        <v>104</v>
      </c>
      <c r="H748" t="s">
        <v>5762</v>
      </c>
    </row>
    <row r="749" spans="1:8">
      <c r="A749" t="s">
        <v>3899</v>
      </c>
      <c r="B749" s="24">
        <v>46176</v>
      </c>
      <c r="C749" s="27" t="s">
        <v>5797</v>
      </c>
      <c r="D749" s="27" t="s">
        <v>3221</v>
      </c>
      <c r="E749" t="s">
        <v>1164</v>
      </c>
      <c r="F749" t="s">
        <v>104</v>
      </c>
      <c r="H749" t="s">
        <v>5762</v>
      </c>
    </row>
    <row r="750" spans="1:8">
      <c r="A750" t="s">
        <v>3900</v>
      </c>
      <c r="B750" s="24">
        <v>46177</v>
      </c>
      <c r="C750" s="27" t="s">
        <v>5797</v>
      </c>
      <c r="D750" s="27" t="s">
        <v>3221</v>
      </c>
      <c r="E750" t="s">
        <v>1165</v>
      </c>
      <c r="F750" t="s">
        <v>104</v>
      </c>
      <c r="H750" t="s">
        <v>5762</v>
      </c>
    </row>
    <row r="751" spans="1:8">
      <c r="A751" t="s">
        <v>3901</v>
      </c>
      <c r="B751" s="24">
        <v>46178</v>
      </c>
      <c r="C751" s="27" t="s">
        <v>5797</v>
      </c>
      <c r="D751" s="27" t="s">
        <v>3221</v>
      </c>
      <c r="E751" t="s">
        <v>1166</v>
      </c>
      <c r="F751" t="s">
        <v>104</v>
      </c>
      <c r="H751" t="s">
        <v>5762</v>
      </c>
    </row>
    <row r="752" spans="1:8">
      <c r="A752" t="s">
        <v>3902</v>
      </c>
      <c r="B752" s="24">
        <v>46181</v>
      </c>
      <c r="C752" s="27" t="s">
        <v>5797</v>
      </c>
      <c r="D752" s="27" t="s">
        <v>3221</v>
      </c>
      <c r="E752" t="s">
        <v>1167</v>
      </c>
      <c r="F752" t="s">
        <v>104</v>
      </c>
      <c r="H752" t="s">
        <v>5762</v>
      </c>
    </row>
    <row r="753" spans="1:8">
      <c r="A753" t="s">
        <v>3903</v>
      </c>
      <c r="B753" s="24">
        <v>46182</v>
      </c>
      <c r="C753" s="27" t="s">
        <v>5797</v>
      </c>
      <c r="D753" s="27" t="s">
        <v>3221</v>
      </c>
      <c r="E753" t="s">
        <v>1168</v>
      </c>
      <c r="F753" t="s">
        <v>104</v>
      </c>
      <c r="H753" t="s">
        <v>5762</v>
      </c>
    </row>
    <row r="754" spans="1:8">
      <c r="A754" t="s">
        <v>3904</v>
      </c>
      <c r="B754" s="24">
        <v>46183</v>
      </c>
      <c r="C754" s="27" t="s">
        <v>5797</v>
      </c>
      <c r="D754" s="27" t="s">
        <v>3221</v>
      </c>
      <c r="E754" t="s">
        <v>1169</v>
      </c>
      <c r="F754" t="s">
        <v>104</v>
      </c>
      <c r="H754" t="s">
        <v>5762</v>
      </c>
    </row>
    <row r="755" spans="1:8">
      <c r="A755" t="s">
        <v>3905</v>
      </c>
      <c r="B755" s="24">
        <v>46184</v>
      </c>
      <c r="C755" s="27" t="s">
        <v>5797</v>
      </c>
      <c r="D755" s="27" t="s">
        <v>3221</v>
      </c>
      <c r="E755" t="s">
        <v>1170</v>
      </c>
      <c r="F755" t="s">
        <v>104</v>
      </c>
      <c r="H755" t="s">
        <v>5762</v>
      </c>
    </row>
    <row r="756" spans="1:8">
      <c r="A756" t="s">
        <v>3906</v>
      </c>
      <c r="B756" s="24">
        <v>46185</v>
      </c>
      <c r="C756" s="27" t="s">
        <v>5797</v>
      </c>
      <c r="D756" s="27" t="s">
        <v>3221</v>
      </c>
      <c r="E756" t="s">
        <v>1171</v>
      </c>
      <c r="F756" t="s">
        <v>104</v>
      </c>
      <c r="H756" t="s">
        <v>5762</v>
      </c>
    </row>
    <row r="757" spans="1:8">
      <c r="A757" t="s">
        <v>3907</v>
      </c>
      <c r="B757" s="24">
        <v>46174</v>
      </c>
      <c r="C757" s="27" t="s">
        <v>5797</v>
      </c>
      <c r="D757" s="27" t="s">
        <v>3221</v>
      </c>
      <c r="E757" t="s">
        <v>1172</v>
      </c>
      <c r="F757" t="s">
        <v>104</v>
      </c>
      <c r="H757" t="s">
        <v>5762</v>
      </c>
    </row>
    <row r="758" spans="1:8">
      <c r="A758" t="s">
        <v>3908</v>
      </c>
      <c r="B758" s="24">
        <v>46175</v>
      </c>
      <c r="C758" s="27" t="s">
        <v>5797</v>
      </c>
      <c r="D758" s="27" t="s">
        <v>3221</v>
      </c>
      <c r="E758" t="s">
        <v>1173</v>
      </c>
      <c r="F758" t="s">
        <v>104</v>
      </c>
      <c r="H758" t="s">
        <v>5762</v>
      </c>
    </row>
    <row r="759" spans="1:8">
      <c r="A759" t="s">
        <v>3909</v>
      </c>
      <c r="B759" s="24">
        <v>46176</v>
      </c>
      <c r="C759" s="27" t="s">
        <v>5797</v>
      </c>
      <c r="D759" s="27" t="s">
        <v>3221</v>
      </c>
      <c r="E759" t="s">
        <v>1174</v>
      </c>
      <c r="F759" t="s">
        <v>104</v>
      </c>
      <c r="H759" t="s">
        <v>5762</v>
      </c>
    </row>
    <row r="760" spans="1:8">
      <c r="A760" t="s">
        <v>3910</v>
      </c>
      <c r="B760" s="24">
        <v>46177</v>
      </c>
      <c r="C760" s="27" t="s">
        <v>5797</v>
      </c>
      <c r="D760" s="27" t="s">
        <v>3221</v>
      </c>
      <c r="E760" t="s">
        <v>1175</v>
      </c>
      <c r="F760" t="s">
        <v>104</v>
      </c>
      <c r="H760" t="s">
        <v>5762</v>
      </c>
    </row>
    <row r="761" spans="1:8">
      <c r="A761" t="s">
        <v>3911</v>
      </c>
      <c r="B761" s="24">
        <v>46178</v>
      </c>
      <c r="C761" s="27" t="s">
        <v>5797</v>
      </c>
      <c r="D761" s="27" t="s">
        <v>3221</v>
      </c>
      <c r="E761" t="s">
        <v>1176</v>
      </c>
      <c r="F761" t="s">
        <v>104</v>
      </c>
      <c r="H761" t="s">
        <v>5762</v>
      </c>
    </row>
    <row r="762" spans="1:8">
      <c r="A762" t="s">
        <v>3912</v>
      </c>
      <c r="B762" s="24">
        <v>46181</v>
      </c>
      <c r="C762" s="27" t="s">
        <v>5797</v>
      </c>
      <c r="D762" s="27" t="s">
        <v>3221</v>
      </c>
      <c r="E762" t="s">
        <v>1177</v>
      </c>
      <c r="F762" t="s">
        <v>104</v>
      </c>
      <c r="H762" t="s">
        <v>5762</v>
      </c>
    </row>
    <row r="763" spans="1:8">
      <c r="A763" t="s">
        <v>3913</v>
      </c>
      <c r="B763" s="24">
        <v>46182</v>
      </c>
      <c r="C763" s="27" t="s">
        <v>5797</v>
      </c>
      <c r="D763" s="27" t="s">
        <v>3221</v>
      </c>
      <c r="E763" t="s">
        <v>1178</v>
      </c>
      <c r="F763" t="s">
        <v>104</v>
      </c>
      <c r="H763" t="s">
        <v>5762</v>
      </c>
    </row>
    <row r="764" spans="1:8">
      <c r="A764" t="s">
        <v>3914</v>
      </c>
      <c r="B764" s="24">
        <v>46183</v>
      </c>
      <c r="C764" s="27" t="s">
        <v>5797</v>
      </c>
      <c r="D764" s="27" t="s">
        <v>3221</v>
      </c>
      <c r="E764" t="s">
        <v>1179</v>
      </c>
      <c r="F764" t="s">
        <v>104</v>
      </c>
      <c r="H764" t="s">
        <v>5762</v>
      </c>
    </row>
    <row r="765" spans="1:8">
      <c r="A765" t="s">
        <v>3915</v>
      </c>
      <c r="B765" s="24">
        <v>46184</v>
      </c>
      <c r="C765" s="27" t="s">
        <v>5797</v>
      </c>
      <c r="D765" s="27" t="s">
        <v>3221</v>
      </c>
      <c r="E765" t="s">
        <v>1180</v>
      </c>
      <c r="F765" t="s">
        <v>104</v>
      </c>
      <c r="H765" t="s">
        <v>5762</v>
      </c>
    </row>
    <row r="766" spans="1:8">
      <c r="A766" t="s">
        <v>3916</v>
      </c>
      <c r="B766" s="24">
        <v>46185</v>
      </c>
      <c r="C766" s="27" t="s">
        <v>5797</v>
      </c>
      <c r="D766" s="27" t="s">
        <v>3221</v>
      </c>
      <c r="E766" t="s">
        <v>1181</v>
      </c>
      <c r="F766" t="s">
        <v>104</v>
      </c>
      <c r="H766" t="s">
        <v>5762</v>
      </c>
    </row>
    <row r="767" spans="1:8">
      <c r="A767" t="s">
        <v>3917</v>
      </c>
      <c r="B767" s="24">
        <v>46174</v>
      </c>
      <c r="C767" s="27" t="s">
        <v>5797</v>
      </c>
      <c r="D767" s="27" t="s">
        <v>3221</v>
      </c>
      <c r="E767" t="s">
        <v>1182</v>
      </c>
      <c r="F767" t="s">
        <v>104</v>
      </c>
      <c r="H767" t="s">
        <v>5762</v>
      </c>
    </row>
    <row r="768" spans="1:8">
      <c r="A768" t="s">
        <v>3918</v>
      </c>
      <c r="B768" s="24">
        <v>46175</v>
      </c>
      <c r="C768" s="27" t="s">
        <v>5797</v>
      </c>
      <c r="D768" s="27" t="s">
        <v>3221</v>
      </c>
      <c r="E768" t="s">
        <v>1183</v>
      </c>
      <c r="F768" t="s">
        <v>104</v>
      </c>
      <c r="H768" t="s">
        <v>5762</v>
      </c>
    </row>
    <row r="769" spans="1:8">
      <c r="A769" t="s">
        <v>3919</v>
      </c>
      <c r="B769" s="24">
        <v>46176</v>
      </c>
      <c r="C769" s="27" t="s">
        <v>5797</v>
      </c>
      <c r="D769" s="27" t="s">
        <v>3221</v>
      </c>
      <c r="E769" t="s">
        <v>1184</v>
      </c>
      <c r="F769" t="s">
        <v>104</v>
      </c>
      <c r="H769" t="s">
        <v>5762</v>
      </c>
    </row>
    <row r="770" spans="1:8">
      <c r="A770" t="s">
        <v>3920</v>
      </c>
      <c r="B770" s="24">
        <v>46177</v>
      </c>
      <c r="C770" s="27" t="s">
        <v>5797</v>
      </c>
      <c r="D770" s="27" t="s">
        <v>3221</v>
      </c>
      <c r="E770" t="s">
        <v>1185</v>
      </c>
      <c r="F770" t="s">
        <v>104</v>
      </c>
      <c r="H770" t="s">
        <v>5762</v>
      </c>
    </row>
    <row r="771" spans="1:8">
      <c r="A771" t="s">
        <v>3921</v>
      </c>
      <c r="B771" s="24">
        <v>46178</v>
      </c>
      <c r="C771" s="27" t="s">
        <v>5797</v>
      </c>
      <c r="D771" s="27" t="s">
        <v>3221</v>
      </c>
      <c r="E771" t="s">
        <v>1186</v>
      </c>
      <c r="F771" t="s">
        <v>104</v>
      </c>
      <c r="H771" t="s">
        <v>5762</v>
      </c>
    </row>
    <row r="772" spans="1:8">
      <c r="A772" t="s">
        <v>3922</v>
      </c>
      <c r="B772" s="24">
        <v>46181</v>
      </c>
      <c r="C772" s="27" t="s">
        <v>5797</v>
      </c>
      <c r="D772" s="27" t="s">
        <v>3221</v>
      </c>
      <c r="E772" t="s">
        <v>1187</v>
      </c>
      <c r="F772" t="s">
        <v>104</v>
      </c>
      <c r="H772" t="s">
        <v>5762</v>
      </c>
    </row>
    <row r="773" spans="1:8">
      <c r="A773" t="s">
        <v>3923</v>
      </c>
      <c r="B773" s="24">
        <v>46182</v>
      </c>
      <c r="C773" s="27" t="s">
        <v>5797</v>
      </c>
      <c r="D773" s="27" t="s">
        <v>3221</v>
      </c>
      <c r="E773" t="s">
        <v>1188</v>
      </c>
      <c r="F773" t="s">
        <v>104</v>
      </c>
      <c r="H773" t="s">
        <v>5762</v>
      </c>
    </row>
    <row r="774" spans="1:8">
      <c r="A774" t="s">
        <v>3924</v>
      </c>
      <c r="B774" s="24">
        <v>46183</v>
      </c>
      <c r="C774" s="27" t="s">
        <v>5797</v>
      </c>
      <c r="D774" s="27" t="s">
        <v>3221</v>
      </c>
      <c r="E774" t="s">
        <v>1189</v>
      </c>
      <c r="F774" t="s">
        <v>104</v>
      </c>
      <c r="H774" t="s">
        <v>5762</v>
      </c>
    </row>
    <row r="775" spans="1:8">
      <c r="A775" t="s">
        <v>3925</v>
      </c>
      <c r="B775" s="24">
        <v>46184</v>
      </c>
      <c r="C775" s="27" t="s">
        <v>5797</v>
      </c>
      <c r="D775" s="27" t="s">
        <v>3221</v>
      </c>
      <c r="E775" t="s">
        <v>1190</v>
      </c>
      <c r="F775" t="s">
        <v>104</v>
      </c>
      <c r="H775" t="s">
        <v>5762</v>
      </c>
    </row>
    <row r="776" spans="1:8">
      <c r="A776" t="s">
        <v>3926</v>
      </c>
      <c r="B776" s="24">
        <v>46185</v>
      </c>
      <c r="C776" s="27" t="s">
        <v>5797</v>
      </c>
      <c r="D776" s="27" t="s">
        <v>3221</v>
      </c>
      <c r="E776" t="s">
        <v>1191</v>
      </c>
      <c r="F776" t="s">
        <v>104</v>
      </c>
      <c r="H776" t="s">
        <v>5762</v>
      </c>
    </row>
    <row r="777" spans="1:8">
      <c r="A777" t="s">
        <v>3927</v>
      </c>
      <c r="B777" s="24">
        <v>46174</v>
      </c>
      <c r="C777" s="27" t="s">
        <v>5797</v>
      </c>
      <c r="D777" s="27" t="s">
        <v>3221</v>
      </c>
      <c r="E777" t="s">
        <v>1192</v>
      </c>
      <c r="F777" t="s">
        <v>104</v>
      </c>
      <c r="H777" t="s">
        <v>5762</v>
      </c>
    </row>
    <row r="778" spans="1:8">
      <c r="A778" t="s">
        <v>3928</v>
      </c>
      <c r="B778" s="24">
        <v>46175</v>
      </c>
      <c r="C778" s="27" t="s">
        <v>5797</v>
      </c>
      <c r="D778" s="27" t="s">
        <v>3221</v>
      </c>
      <c r="E778" t="s">
        <v>1193</v>
      </c>
      <c r="F778" t="s">
        <v>104</v>
      </c>
      <c r="H778" t="s">
        <v>5762</v>
      </c>
    </row>
    <row r="779" spans="1:8">
      <c r="A779" t="s">
        <v>3929</v>
      </c>
      <c r="B779" s="24">
        <v>46176</v>
      </c>
      <c r="C779" s="27" t="s">
        <v>5797</v>
      </c>
      <c r="D779" s="27" t="s">
        <v>3221</v>
      </c>
      <c r="E779" t="s">
        <v>1194</v>
      </c>
      <c r="F779" t="s">
        <v>104</v>
      </c>
      <c r="H779" t="s">
        <v>5762</v>
      </c>
    </row>
    <row r="780" spans="1:8">
      <c r="A780" t="s">
        <v>3930</v>
      </c>
      <c r="B780" s="24">
        <v>46177</v>
      </c>
      <c r="C780" s="27" t="s">
        <v>5797</v>
      </c>
      <c r="D780" s="27" t="s">
        <v>3221</v>
      </c>
      <c r="E780" t="s">
        <v>1195</v>
      </c>
      <c r="F780" t="s">
        <v>104</v>
      </c>
      <c r="H780" t="s">
        <v>5762</v>
      </c>
    </row>
    <row r="781" spans="1:8">
      <c r="A781" t="s">
        <v>3931</v>
      </c>
      <c r="B781" s="24">
        <v>46178</v>
      </c>
      <c r="C781" s="27" t="s">
        <v>5797</v>
      </c>
      <c r="D781" s="27" t="s">
        <v>3221</v>
      </c>
      <c r="E781" t="s">
        <v>1196</v>
      </c>
      <c r="F781" t="s">
        <v>104</v>
      </c>
      <c r="H781" t="s">
        <v>5762</v>
      </c>
    </row>
    <row r="782" spans="1:8">
      <c r="A782" t="s">
        <v>3932</v>
      </c>
      <c r="B782" s="24">
        <v>46181</v>
      </c>
      <c r="C782" s="27" t="s">
        <v>5797</v>
      </c>
      <c r="D782" s="27" t="s">
        <v>3221</v>
      </c>
      <c r="E782" t="s">
        <v>1197</v>
      </c>
      <c r="F782" t="s">
        <v>104</v>
      </c>
      <c r="H782" t="s">
        <v>5762</v>
      </c>
    </row>
    <row r="783" spans="1:8">
      <c r="A783" t="s">
        <v>3933</v>
      </c>
      <c r="B783" s="24">
        <v>46182</v>
      </c>
      <c r="C783" s="27" t="s">
        <v>5797</v>
      </c>
      <c r="D783" s="27" t="s">
        <v>3221</v>
      </c>
      <c r="E783" t="s">
        <v>1198</v>
      </c>
      <c r="F783" t="s">
        <v>104</v>
      </c>
      <c r="H783" t="s">
        <v>5762</v>
      </c>
    </row>
    <row r="784" spans="1:8">
      <c r="A784" t="s">
        <v>3934</v>
      </c>
      <c r="B784" s="24">
        <v>46183</v>
      </c>
      <c r="C784" s="27" t="s">
        <v>5797</v>
      </c>
      <c r="D784" s="27" t="s">
        <v>3221</v>
      </c>
      <c r="E784" t="s">
        <v>1199</v>
      </c>
      <c r="F784" t="s">
        <v>104</v>
      </c>
      <c r="H784" t="s">
        <v>5762</v>
      </c>
    </row>
    <row r="785" spans="1:8">
      <c r="A785" t="s">
        <v>3935</v>
      </c>
      <c r="B785" s="24">
        <v>46184</v>
      </c>
      <c r="C785" s="27" t="s">
        <v>5797</v>
      </c>
      <c r="D785" s="27" t="s">
        <v>3221</v>
      </c>
      <c r="E785" t="s">
        <v>1200</v>
      </c>
      <c r="F785" t="s">
        <v>104</v>
      </c>
      <c r="H785" t="s">
        <v>5762</v>
      </c>
    </row>
    <row r="786" spans="1:8">
      <c r="A786" t="s">
        <v>3936</v>
      </c>
      <c r="B786" s="24">
        <v>46185</v>
      </c>
      <c r="C786" s="27" t="s">
        <v>5797</v>
      </c>
      <c r="D786" s="27" t="s">
        <v>3221</v>
      </c>
      <c r="E786" t="s">
        <v>1201</v>
      </c>
      <c r="F786" t="s">
        <v>104</v>
      </c>
      <c r="H786" t="s">
        <v>5762</v>
      </c>
    </row>
    <row r="787" spans="1:8">
      <c r="A787" t="s">
        <v>3937</v>
      </c>
      <c r="B787" s="24">
        <v>46174</v>
      </c>
      <c r="C787" s="27" t="s">
        <v>5797</v>
      </c>
      <c r="D787" s="27" t="s">
        <v>3221</v>
      </c>
      <c r="E787" t="s">
        <v>1202</v>
      </c>
      <c r="F787" t="s">
        <v>104</v>
      </c>
      <c r="H787" t="s">
        <v>5762</v>
      </c>
    </row>
    <row r="788" spans="1:8">
      <c r="A788" t="s">
        <v>3938</v>
      </c>
      <c r="B788" s="24">
        <v>46175</v>
      </c>
      <c r="C788" s="27" t="s">
        <v>5797</v>
      </c>
      <c r="D788" s="27" t="s">
        <v>3221</v>
      </c>
      <c r="E788" t="s">
        <v>1203</v>
      </c>
      <c r="F788" t="s">
        <v>104</v>
      </c>
      <c r="H788" t="s">
        <v>5762</v>
      </c>
    </row>
    <row r="789" spans="1:8">
      <c r="A789" t="s">
        <v>3939</v>
      </c>
      <c r="B789" s="24">
        <v>46176</v>
      </c>
      <c r="C789" s="27" t="s">
        <v>5797</v>
      </c>
      <c r="D789" s="27" t="s">
        <v>3221</v>
      </c>
      <c r="E789" t="s">
        <v>1204</v>
      </c>
      <c r="F789" t="s">
        <v>104</v>
      </c>
      <c r="H789" t="s">
        <v>5762</v>
      </c>
    </row>
    <row r="790" spans="1:8">
      <c r="A790" t="s">
        <v>3940</v>
      </c>
      <c r="B790" s="24">
        <v>46177</v>
      </c>
      <c r="C790" s="27" t="s">
        <v>5797</v>
      </c>
      <c r="D790" s="27" t="s">
        <v>3221</v>
      </c>
      <c r="E790" t="s">
        <v>1205</v>
      </c>
      <c r="F790" t="s">
        <v>104</v>
      </c>
      <c r="H790" t="s">
        <v>5762</v>
      </c>
    </row>
    <row r="791" spans="1:8">
      <c r="A791" t="s">
        <v>3941</v>
      </c>
      <c r="B791" s="24">
        <v>46178</v>
      </c>
      <c r="C791" s="27" t="s">
        <v>5797</v>
      </c>
      <c r="D791" s="27" t="s">
        <v>3221</v>
      </c>
      <c r="E791" t="s">
        <v>1206</v>
      </c>
      <c r="F791" t="s">
        <v>104</v>
      </c>
      <c r="H791" t="s">
        <v>5762</v>
      </c>
    </row>
    <row r="792" spans="1:8">
      <c r="A792" t="s">
        <v>3942</v>
      </c>
      <c r="B792" s="24">
        <v>46181</v>
      </c>
      <c r="C792" s="27" t="s">
        <v>5797</v>
      </c>
      <c r="D792" s="27" t="s">
        <v>3221</v>
      </c>
      <c r="E792" t="s">
        <v>1207</v>
      </c>
      <c r="F792" t="s">
        <v>104</v>
      </c>
      <c r="H792" t="s">
        <v>5762</v>
      </c>
    </row>
    <row r="793" spans="1:8">
      <c r="A793" t="s">
        <v>3943</v>
      </c>
      <c r="B793" s="24">
        <v>46182</v>
      </c>
      <c r="C793" s="27" t="s">
        <v>5797</v>
      </c>
      <c r="D793" s="27" t="s">
        <v>3221</v>
      </c>
      <c r="E793" t="s">
        <v>1208</v>
      </c>
      <c r="F793" t="s">
        <v>104</v>
      </c>
      <c r="H793" t="s">
        <v>5762</v>
      </c>
    </row>
    <row r="794" spans="1:8">
      <c r="A794" t="s">
        <v>3944</v>
      </c>
      <c r="B794" s="24">
        <v>46183</v>
      </c>
      <c r="C794" s="27" t="s">
        <v>5797</v>
      </c>
      <c r="D794" s="27" t="s">
        <v>3221</v>
      </c>
      <c r="E794" t="s">
        <v>1209</v>
      </c>
      <c r="F794" t="s">
        <v>104</v>
      </c>
      <c r="H794" t="s">
        <v>5762</v>
      </c>
    </row>
    <row r="795" spans="1:8">
      <c r="A795" t="s">
        <v>3945</v>
      </c>
      <c r="B795" s="24">
        <v>46184</v>
      </c>
      <c r="C795" s="27" t="s">
        <v>5797</v>
      </c>
      <c r="D795" s="27" t="s">
        <v>3221</v>
      </c>
      <c r="E795" t="s">
        <v>1210</v>
      </c>
      <c r="F795" t="s">
        <v>104</v>
      </c>
      <c r="H795" t="s">
        <v>5762</v>
      </c>
    </row>
    <row r="796" spans="1:8">
      <c r="A796" t="s">
        <v>3946</v>
      </c>
      <c r="B796" s="24">
        <v>46185</v>
      </c>
      <c r="C796" s="27" t="s">
        <v>5797</v>
      </c>
      <c r="D796" s="27" t="s">
        <v>3221</v>
      </c>
      <c r="E796" t="s">
        <v>1211</v>
      </c>
      <c r="F796" t="s">
        <v>104</v>
      </c>
      <c r="H796" t="s">
        <v>5762</v>
      </c>
    </row>
    <row r="797" spans="1:8">
      <c r="A797" t="s">
        <v>3947</v>
      </c>
      <c r="B797" s="24">
        <v>46174</v>
      </c>
      <c r="C797" s="27" t="s">
        <v>5797</v>
      </c>
      <c r="D797" s="27" t="s">
        <v>3221</v>
      </c>
      <c r="E797" t="s">
        <v>1212</v>
      </c>
      <c r="F797" t="s">
        <v>104</v>
      </c>
      <c r="H797" t="s">
        <v>5762</v>
      </c>
    </row>
    <row r="798" spans="1:8">
      <c r="A798" t="s">
        <v>3948</v>
      </c>
      <c r="B798" s="24">
        <v>46175</v>
      </c>
      <c r="C798" s="27" t="s">
        <v>5797</v>
      </c>
      <c r="D798" s="27" t="s">
        <v>3221</v>
      </c>
      <c r="E798" t="s">
        <v>1213</v>
      </c>
      <c r="F798" t="s">
        <v>104</v>
      </c>
      <c r="H798" t="s">
        <v>5762</v>
      </c>
    </row>
    <row r="799" spans="1:8">
      <c r="A799" t="s">
        <v>3949</v>
      </c>
      <c r="B799" s="24">
        <v>46176</v>
      </c>
      <c r="C799" s="27" t="s">
        <v>5797</v>
      </c>
      <c r="D799" s="27" t="s">
        <v>3221</v>
      </c>
      <c r="E799" t="s">
        <v>1214</v>
      </c>
      <c r="F799" t="s">
        <v>104</v>
      </c>
      <c r="H799" t="s">
        <v>5762</v>
      </c>
    </row>
    <row r="800" spans="1:8">
      <c r="A800" t="s">
        <v>3950</v>
      </c>
      <c r="B800" s="24">
        <v>46177</v>
      </c>
      <c r="C800" s="27" t="s">
        <v>5797</v>
      </c>
      <c r="D800" s="27" t="s">
        <v>3221</v>
      </c>
      <c r="E800" t="s">
        <v>1215</v>
      </c>
      <c r="F800" t="s">
        <v>104</v>
      </c>
      <c r="H800" t="s">
        <v>5762</v>
      </c>
    </row>
    <row r="801" spans="1:8">
      <c r="A801" t="s">
        <v>3951</v>
      </c>
      <c r="B801" s="24">
        <v>46178</v>
      </c>
      <c r="C801" s="27" t="s">
        <v>5797</v>
      </c>
      <c r="D801" s="27" t="s">
        <v>3221</v>
      </c>
      <c r="E801" t="s">
        <v>1216</v>
      </c>
      <c r="F801" t="s">
        <v>104</v>
      </c>
      <c r="H801" t="s">
        <v>5762</v>
      </c>
    </row>
    <row r="802" spans="1:8">
      <c r="A802" t="s">
        <v>3952</v>
      </c>
      <c r="B802" s="24">
        <v>46181</v>
      </c>
      <c r="C802" s="27" t="s">
        <v>5797</v>
      </c>
      <c r="D802" s="27" t="s">
        <v>3221</v>
      </c>
      <c r="E802" t="s">
        <v>1217</v>
      </c>
      <c r="F802" t="s">
        <v>104</v>
      </c>
      <c r="H802" t="s">
        <v>5762</v>
      </c>
    </row>
    <row r="803" spans="1:8">
      <c r="A803" t="s">
        <v>3953</v>
      </c>
      <c r="B803" s="24">
        <v>46182</v>
      </c>
      <c r="C803" s="27" t="s">
        <v>5797</v>
      </c>
      <c r="D803" s="27" t="s">
        <v>3221</v>
      </c>
      <c r="E803" t="s">
        <v>1218</v>
      </c>
      <c r="F803" t="s">
        <v>104</v>
      </c>
      <c r="H803" t="s">
        <v>5762</v>
      </c>
    </row>
    <row r="804" spans="1:8">
      <c r="A804" t="s">
        <v>3954</v>
      </c>
      <c r="B804" s="24">
        <v>46183</v>
      </c>
      <c r="C804" s="27" t="s">
        <v>5797</v>
      </c>
      <c r="D804" s="27" t="s">
        <v>3221</v>
      </c>
      <c r="E804" t="s">
        <v>1219</v>
      </c>
      <c r="F804" t="s">
        <v>104</v>
      </c>
      <c r="H804" t="s">
        <v>5762</v>
      </c>
    </row>
    <row r="805" spans="1:8">
      <c r="A805" t="s">
        <v>3955</v>
      </c>
      <c r="B805" s="24">
        <v>46184</v>
      </c>
      <c r="C805" s="27" t="s">
        <v>5797</v>
      </c>
      <c r="D805" s="27" t="s">
        <v>3221</v>
      </c>
      <c r="E805" t="s">
        <v>1220</v>
      </c>
      <c r="F805" t="s">
        <v>104</v>
      </c>
      <c r="H805" t="s">
        <v>5762</v>
      </c>
    </row>
    <row r="806" spans="1:8">
      <c r="A806" t="s">
        <v>3956</v>
      </c>
      <c r="B806" s="24">
        <v>46185</v>
      </c>
      <c r="C806" s="27" t="s">
        <v>5797</v>
      </c>
      <c r="D806" s="27" t="s">
        <v>3221</v>
      </c>
      <c r="E806" t="s">
        <v>1221</v>
      </c>
      <c r="F806" t="s">
        <v>104</v>
      </c>
      <c r="H806" t="s">
        <v>5762</v>
      </c>
    </row>
    <row r="807" spans="1:8">
      <c r="A807" t="s">
        <v>3957</v>
      </c>
      <c r="B807" s="24">
        <v>46174</v>
      </c>
      <c r="C807" s="27" t="s">
        <v>5797</v>
      </c>
      <c r="D807" s="27" t="s">
        <v>3221</v>
      </c>
      <c r="E807" t="s">
        <v>1222</v>
      </c>
      <c r="F807" t="s">
        <v>104</v>
      </c>
      <c r="H807" t="s">
        <v>5762</v>
      </c>
    </row>
    <row r="808" spans="1:8">
      <c r="A808" t="s">
        <v>3958</v>
      </c>
      <c r="B808" s="24">
        <v>46175</v>
      </c>
      <c r="C808" s="27" t="s">
        <v>5797</v>
      </c>
      <c r="D808" s="27" t="s">
        <v>3221</v>
      </c>
      <c r="E808" t="s">
        <v>1223</v>
      </c>
      <c r="F808" t="s">
        <v>104</v>
      </c>
      <c r="H808" t="s">
        <v>5762</v>
      </c>
    </row>
    <row r="809" spans="1:8">
      <c r="A809" t="s">
        <v>3959</v>
      </c>
      <c r="B809" s="24">
        <v>46176</v>
      </c>
      <c r="C809" s="27" t="s">
        <v>5797</v>
      </c>
      <c r="D809" s="27" t="s">
        <v>3221</v>
      </c>
      <c r="E809" t="s">
        <v>1224</v>
      </c>
      <c r="F809" t="s">
        <v>104</v>
      </c>
      <c r="H809" t="s">
        <v>5762</v>
      </c>
    </row>
    <row r="810" spans="1:8">
      <c r="A810" t="s">
        <v>3960</v>
      </c>
      <c r="B810" s="24">
        <v>46177</v>
      </c>
      <c r="C810" s="27" t="s">
        <v>5797</v>
      </c>
      <c r="D810" s="27" t="s">
        <v>3221</v>
      </c>
      <c r="E810" t="s">
        <v>1225</v>
      </c>
      <c r="F810" t="s">
        <v>104</v>
      </c>
      <c r="H810" t="s">
        <v>5762</v>
      </c>
    </row>
    <row r="811" spans="1:8">
      <c r="A811" t="s">
        <v>3961</v>
      </c>
      <c r="B811" s="24">
        <v>46178</v>
      </c>
      <c r="C811" s="27" t="s">
        <v>5797</v>
      </c>
      <c r="D811" s="27" t="s">
        <v>3221</v>
      </c>
      <c r="E811" t="s">
        <v>1226</v>
      </c>
      <c r="F811" t="s">
        <v>104</v>
      </c>
      <c r="H811" t="s">
        <v>5762</v>
      </c>
    </row>
    <row r="812" spans="1:8">
      <c r="A812" t="s">
        <v>3962</v>
      </c>
      <c r="B812" s="24">
        <v>46181</v>
      </c>
      <c r="C812" s="27" t="s">
        <v>5797</v>
      </c>
      <c r="D812" s="27" t="s">
        <v>3221</v>
      </c>
      <c r="E812" t="s">
        <v>1227</v>
      </c>
      <c r="F812" t="s">
        <v>104</v>
      </c>
      <c r="H812" t="s">
        <v>5762</v>
      </c>
    </row>
    <row r="813" spans="1:8">
      <c r="A813" t="s">
        <v>3963</v>
      </c>
      <c r="B813" s="24">
        <v>46182</v>
      </c>
      <c r="C813" s="27" t="s">
        <v>5797</v>
      </c>
      <c r="D813" s="27" t="s">
        <v>3221</v>
      </c>
      <c r="E813" t="s">
        <v>1228</v>
      </c>
      <c r="F813" t="s">
        <v>104</v>
      </c>
      <c r="H813" t="s">
        <v>5762</v>
      </c>
    </row>
    <row r="814" spans="1:8">
      <c r="A814" t="s">
        <v>3964</v>
      </c>
      <c r="B814" s="24">
        <v>46183</v>
      </c>
      <c r="C814" s="27" t="s">
        <v>5797</v>
      </c>
      <c r="D814" s="27" t="s">
        <v>3222</v>
      </c>
      <c r="E814" t="s">
        <v>1229</v>
      </c>
      <c r="F814" t="s">
        <v>104</v>
      </c>
      <c r="G814" t="s">
        <v>105</v>
      </c>
      <c r="H814">
        <v>0</v>
      </c>
    </row>
    <row r="815" spans="1:8">
      <c r="A815" t="s">
        <v>3965</v>
      </c>
      <c r="B815" s="24">
        <v>46184</v>
      </c>
      <c r="C815" s="27" t="s">
        <v>5797</v>
      </c>
      <c r="D815" s="27" t="s">
        <v>3222</v>
      </c>
      <c r="E815" t="s">
        <v>1230</v>
      </c>
      <c r="F815" t="s">
        <v>104</v>
      </c>
      <c r="G815" t="s">
        <v>105</v>
      </c>
      <c r="H815">
        <v>0</v>
      </c>
    </row>
    <row r="816" spans="1:8">
      <c r="A816" t="s">
        <v>3966</v>
      </c>
      <c r="B816" s="24">
        <v>46185</v>
      </c>
      <c r="C816" s="27" t="s">
        <v>5797</v>
      </c>
      <c r="D816" s="27" t="s">
        <v>3222</v>
      </c>
      <c r="E816" t="s">
        <v>1231</v>
      </c>
      <c r="F816" t="s">
        <v>104</v>
      </c>
      <c r="G816" t="s">
        <v>105</v>
      </c>
      <c r="H816">
        <v>0</v>
      </c>
    </row>
    <row r="817" spans="1:8">
      <c r="A817" t="s">
        <v>3967</v>
      </c>
      <c r="B817" s="24">
        <v>46174</v>
      </c>
      <c r="C817" s="27" t="s">
        <v>5797</v>
      </c>
      <c r="D817" s="27" t="s">
        <v>3222</v>
      </c>
      <c r="E817" t="s">
        <v>1232</v>
      </c>
      <c r="F817" t="s">
        <v>104</v>
      </c>
      <c r="G817" t="s">
        <v>105</v>
      </c>
      <c r="H817">
        <v>0</v>
      </c>
    </row>
    <row r="818" spans="1:8">
      <c r="A818" t="s">
        <v>3968</v>
      </c>
      <c r="B818" s="24">
        <v>46175</v>
      </c>
      <c r="C818" s="27" t="s">
        <v>5797</v>
      </c>
      <c r="D818" s="27" t="s">
        <v>3222</v>
      </c>
      <c r="E818" t="s">
        <v>1233</v>
      </c>
      <c r="F818" t="s">
        <v>104</v>
      </c>
      <c r="G818" t="s">
        <v>105</v>
      </c>
      <c r="H818">
        <v>0</v>
      </c>
    </row>
    <row r="819" spans="1:8">
      <c r="A819" t="s">
        <v>3969</v>
      </c>
      <c r="B819" s="24">
        <v>46176</v>
      </c>
      <c r="C819" s="27" t="s">
        <v>5797</v>
      </c>
      <c r="D819" s="27" t="s">
        <v>3222</v>
      </c>
      <c r="E819" t="s">
        <v>1234</v>
      </c>
      <c r="F819" t="s">
        <v>104</v>
      </c>
      <c r="G819" t="s">
        <v>105</v>
      </c>
      <c r="H819">
        <v>0</v>
      </c>
    </row>
    <row r="820" spans="1:8">
      <c r="A820" t="s">
        <v>3970</v>
      </c>
      <c r="B820" s="24">
        <v>46177</v>
      </c>
      <c r="C820" s="27" t="s">
        <v>5797</v>
      </c>
      <c r="D820" s="27" t="s">
        <v>3222</v>
      </c>
      <c r="E820" t="s">
        <v>1235</v>
      </c>
      <c r="F820" t="s">
        <v>104</v>
      </c>
      <c r="G820" t="s">
        <v>105</v>
      </c>
      <c r="H820">
        <v>0</v>
      </c>
    </row>
    <row r="821" spans="1:8">
      <c r="A821" t="s">
        <v>3971</v>
      </c>
      <c r="B821" s="24">
        <v>46178</v>
      </c>
      <c r="C821" s="27" t="s">
        <v>5797</v>
      </c>
      <c r="D821" s="27" t="s">
        <v>3222</v>
      </c>
      <c r="E821" t="s">
        <v>1236</v>
      </c>
      <c r="F821" t="s">
        <v>104</v>
      </c>
      <c r="G821" t="s">
        <v>105</v>
      </c>
      <c r="H821">
        <v>0</v>
      </c>
    </row>
    <row r="822" spans="1:8">
      <c r="A822" t="s">
        <v>3972</v>
      </c>
      <c r="B822" s="24">
        <v>46181</v>
      </c>
      <c r="C822" s="27" t="s">
        <v>5797</v>
      </c>
      <c r="D822" s="27" t="s">
        <v>3222</v>
      </c>
      <c r="E822" t="s">
        <v>1237</v>
      </c>
      <c r="F822" t="s">
        <v>104</v>
      </c>
      <c r="G822" t="s">
        <v>105</v>
      </c>
      <c r="H822">
        <v>0</v>
      </c>
    </row>
    <row r="823" spans="1:8">
      <c r="A823" t="s">
        <v>3973</v>
      </c>
      <c r="B823" s="24">
        <v>46182</v>
      </c>
      <c r="C823" s="27" t="s">
        <v>5797</v>
      </c>
      <c r="D823" s="27" t="s">
        <v>3222</v>
      </c>
      <c r="E823" t="s">
        <v>1238</v>
      </c>
      <c r="F823" t="s">
        <v>104</v>
      </c>
      <c r="G823" t="s">
        <v>105</v>
      </c>
      <c r="H823">
        <v>0</v>
      </c>
    </row>
    <row r="824" spans="1:8">
      <c r="A824" t="s">
        <v>3974</v>
      </c>
      <c r="B824" s="24">
        <v>46183</v>
      </c>
      <c r="C824" s="27" t="s">
        <v>5797</v>
      </c>
      <c r="D824" s="27" t="s">
        <v>3222</v>
      </c>
      <c r="E824" t="s">
        <v>1239</v>
      </c>
      <c r="F824" t="s">
        <v>104</v>
      </c>
      <c r="G824" t="s">
        <v>105</v>
      </c>
      <c r="H824">
        <v>0</v>
      </c>
    </row>
    <row r="825" spans="1:8">
      <c r="A825" t="s">
        <v>3975</v>
      </c>
      <c r="B825" s="24">
        <v>46184</v>
      </c>
      <c r="C825" s="27" t="s">
        <v>5797</v>
      </c>
      <c r="D825" s="27" t="s">
        <v>3222</v>
      </c>
      <c r="E825" t="s">
        <v>1240</v>
      </c>
      <c r="F825" t="s">
        <v>104</v>
      </c>
      <c r="G825" t="s">
        <v>105</v>
      </c>
      <c r="H825">
        <v>0</v>
      </c>
    </row>
    <row r="826" spans="1:8">
      <c r="A826" t="s">
        <v>3976</v>
      </c>
      <c r="B826" s="24">
        <v>46185</v>
      </c>
      <c r="C826" s="27" t="s">
        <v>5797</v>
      </c>
      <c r="D826" s="27" t="s">
        <v>3222</v>
      </c>
      <c r="E826" t="s">
        <v>1241</v>
      </c>
      <c r="F826" t="s">
        <v>104</v>
      </c>
      <c r="G826" t="s">
        <v>105</v>
      </c>
      <c r="H826">
        <v>0</v>
      </c>
    </row>
    <row r="827" spans="1:8">
      <c r="A827" t="s">
        <v>3977</v>
      </c>
      <c r="B827" s="24">
        <v>46174</v>
      </c>
      <c r="C827" s="27" t="s">
        <v>5797</v>
      </c>
      <c r="D827" s="27" t="s">
        <v>3222</v>
      </c>
      <c r="E827" t="s">
        <v>1242</v>
      </c>
      <c r="F827" t="s">
        <v>104</v>
      </c>
      <c r="G827" t="s">
        <v>105</v>
      </c>
      <c r="H827">
        <v>0</v>
      </c>
    </row>
    <row r="828" spans="1:8">
      <c r="A828" t="s">
        <v>3978</v>
      </c>
      <c r="B828" s="24">
        <v>46175</v>
      </c>
      <c r="C828" s="27" t="s">
        <v>5797</v>
      </c>
      <c r="D828" s="27" t="s">
        <v>3222</v>
      </c>
      <c r="E828" t="s">
        <v>1243</v>
      </c>
      <c r="F828" t="s">
        <v>104</v>
      </c>
      <c r="G828" t="s">
        <v>105</v>
      </c>
      <c r="H828">
        <v>0</v>
      </c>
    </row>
    <row r="829" spans="1:8">
      <c r="A829" t="s">
        <v>3979</v>
      </c>
      <c r="B829" s="24">
        <v>46176</v>
      </c>
      <c r="C829" s="27" t="s">
        <v>5797</v>
      </c>
      <c r="D829" s="27" t="s">
        <v>3222</v>
      </c>
      <c r="E829" t="s">
        <v>1244</v>
      </c>
      <c r="F829" t="s">
        <v>104</v>
      </c>
      <c r="G829" t="s">
        <v>105</v>
      </c>
      <c r="H829">
        <v>0</v>
      </c>
    </row>
    <row r="830" spans="1:8">
      <c r="A830" t="s">
        <v>3980</v>
      </c>
      <c r="B830" s="24">
        <v>46177</v>
      </c>
      <c r="C830" s="27" t="s">
        <v>5797</v>
      </c>
      <c r="D830" s="27" t="s">
        <v>3222</v>
      </c>
      <c r="E830" t="s">
        <v>1245</v>
      </c>
      <c r="F830" t="s">
        <v>104</v>
      </c>
      <c r="G830" t="s">
        <v>105</v>
      </c>
      <c r="H830">
        <v>0</v>
      </c>
    </row>
    <row r="831" spans="1:8">
      <c r="A831" t="s">
        <v>3981</v>
      </c>
      <c r="B831" s="24">
        <v>46178</v>
      </c>
      <c r="C831" s="27" t="s">
        <v>5797</v>
      </c>
      <c r="D831" s="27" t="s">
        <v>3222</v>
      </c>
      <c r="E831" t="s">
        <v>1246</v>
      </c>
      <c r="F831" t="s">
        <v>104</v>
      </c>
      <c r="G831" t="s">
        <v>105</v>
      </c>
      <c r="H831">
        <v>0</v>
      </c>
    </row>
    <row r="832" spans="1:8">
      <c r="A832" t="s">
        <v>3982</v>
      </c>
      <c r="B832" s="24">
        <v>46181</v>
      </c>
      <c r="C832" s="27" t="s">
        <v>5797</v>
      </c>
      <c r="D832" s="27" t="s">
        <v>3222</v>
      </c>
      <c r="E832" t="s">
        <v>1247</v>
      </c>
      <c r="F832" t="s">
        <v>104</v>
      </c>
      <c r="G832" t="s">
        <v>105</v>
      </c>
      <c r="H832">
        <v>0</v>
      </c>
    </row>
    <row r="833" spans="1:8">
      <c r="A833" t="s">
        <v>3983</v>
      </c>
      <c r="B833" s="24">
        <v>46182</v>
      </c>
      <c r="C833" s="27" t="s">
        <v>5797</v>
      </c>
      <c r="D833" s="27" t="s">
        <v>3222</v>
      </c>
      <c r="E833" t="s">
        <v>1248</v>
      </c>
      <c r="F833" t="s">
        <v>104</v>
      </c>
      <c r="G833" t="s">
        <v>105</v>
      </c>
      <c r="H833">
        <v>0</v>
      </c>
    </row>
    <row r="834" spans="1:8">
      <c r="A834" t="s">
        <v>3984</v>
      </c>
      <c r="B834" s="24">
        <v>46183</v>
      </c>
      <c r="C834" s="27" t="s">
        <v>5797</v>
      </c>
      <c r="D834" s="27" t="s">
        <v>3222</v>
      </c>
      <c r="E834" t="s">
        <v>1249</v>
      </c>
      <c r="F834" t="s">
        <v>104</v>
      </c>
      <c r="G834" t="s">
        <v>105</v>
      </c>
      <c r="H834">
        <v>0</v>
      </c>
    </row>
    <row r="835" spans="1:8">
      <c r="A835" t="s">
        <v>3985</v>
      </c>
      <c r="B835" s="24">
        <v>46184</v>
      </c>
      <c r="C835" s="27" t="s">
        <v>5797</v>
      </c>
      <c r="D835" s="27" t="s">
        <v>3222</v>
      </c>
      <c r="E835" t="s">
        <v>1250</v>
      </c>
      <c r="F835" t="s">
        <v>104</v>
      </c>
      <c r="G835" t="s">
        <v>105</v>
      </c>
      <c r="H835">
        <v>0</v>
      </c>
    </row>
    <row r="836" spans="1:8">
      <c r="A836" t="s">
        <v>3986</v>
      </c>
      <c r="B836" s="24">
        <v>46185</v>
      </c>
      <c r="C836" s="27" t="s">
        <v>5797</v>
      </c>
      <c r="D836" s="27" t="s">
        <v>3222</v>
      </c>
      <c r="E836" t="s">
        <v>1251</v>
      </c>
      <c r="F836" t="s">
        <v>104</v>
      </c>
      <c r="G836" t="s">
        <v>105</v>
      </c>
      <c r="H836">
        <v>0</v>
      </c>
    </row>
    <row r="837" spans="1:8">
      <c r="A837" t="s">
        <v>3987</v>
      </c>
      <c r="B837" s="24">
        <v>46174</v>
      </c>
      <c r="C837" s="27" t="s">
        <v>5797</v>
      </c>
      <c r="D837" s="27" t="s">
        <v>3222</v>
      </c>
      <c r="E837" t="s">
        <v>1252</v>
      </c>
      <c r="F837" t="s">
        <v>104</v>
      </c>
      <c r="G837" t="s">
        <v>105</v>
      </c>
      <c r="H837">
        <v>0</v>
      </c>
    </row>
    <row r="838" spans="1:8">
      <c r="A838" t="s">
        <v>3988</v>
      </c>
      <c r="B838" s="24">
        <v>46175</v>
      </c>
      <c r="C838" s="27" t="s">
        <v>5797</v>
      </c>
      <c r="D838" s="27" t="s">
        <v>3222</v>
      </c>
      <c r="E838" t="s">
        <v>1253</v>
      </c>
      <c r="F838" t="s">
        <v>104</v>
      </c>
      <c r="G838" t="s">
        <v>105</v>
      </c>
      <c r="H838">
        <v>0</v>
      </c>
    </row>
    <row r="839" spans="1:8">
      <c r="A839" t="s">
        <v>3989</v>
      </c>
      <c r="B839" s="24">
        <v>46176</v>
      </c>
      <c r="C839" s="27" t="s">
        <v>5797</v>
      </c>
      <c r="D839" s="27" t="s">
        <v>3222</v>
      </c>
      <c r="E839" t="s">
        <v>1254</v>
      </c>
      <c r="F839" t="s">
        <v>104</v>
      </c>
      <c r="G839" t="s">
        <v>105</v>
      </c>
      <c r="H839">
        <v>0</v>
      </c>
    </row>
    <row r="840" spans="1:8">
      <c r="A840" t="s">
        <v>3990</v>
      </c>
      <c r="B840" s="24">
        <v>46177</v>
      </c>
      <c r="C840" s="27" t="s">
        <v>5797</v>
      </c>
      <c r="D840" s="27" t="s">
        <v>3222</v>
      </c>
      <c r="E840" t="s">
        <v>1255</v>
      </c>
      <c r="F840" t="s">
        <v>104</v>
      </c>
      <c r="G840" t="s">
        <v>105</v>
      </c>
      <c r="H840">
        <v>0</v>
      </c>
    </row>
    <row r="841" spans="1:8">
      <c r="A841" t="s">
        <v>3991</v>
      </c>
      <c r="B841" s="24">
        <v>46178</v>
      </c>
      <c r="C841" s="27" t="s">
        <v>5797</v>
      </c>
      <c r="D841" s="27" t="s">
        <v>3222</v>
      </c>
      <c r="E841" t="s">
        <v>1256</v>
      </c>
      <c r="F841" t="s">
        <v>104</v>
      </c>
      <c r="G841" t="s">
        <v>105</v>
      </c>
      <c r="H841">
        <v>0</v>
      </c>
    </row>
    <row r="842" spans="1:8">
      <c r="A842" t="s">
        <v>3992</v>
      </c>
      <c r="B842" s="24">
        <v>46181</v>
      </c>
      <c r="C842" s="27" t="s">
        <v>5797</v>
      </c>
      <c r="D842" s="27" t="s">
        <v>3222</v>
      </c>
      <c r="E842" t="s">
        <v>1257</v>
      </c>
      <c r="F842" t="s">
        <v>104</v>
      </c>
      <c r="G842" t="s">
        <v>105</v>
      </c>
      <c r="H842">
        <v>0</v>
      </c>
    </row>
    <row r="843" spans="1:8">
      <c r="A843" t="s">
        <v>3993</v>
      </c>
      <c r="B843" s="24">
        <v>46182</v>
      </c>
      <c r="C843" s="27" t="s">
        <v>5797</v>
      </c>
      <c r="D843" s="27" t="s">
        <v>3222</v>
      </c>
      <c r="E843" t="s">
        <v>1258</v>
      </c>
      <c r="F843" t="s">
        <v>104</v>
      </c>
      <c r="G843" t="s">
        <v>105</v>
      </c>
      <c r="H843">
        <v>0</v>
      </c>
    </row>
    <row r="844" spans="1:8">
      <c r="A844" t="s">
        <v>3994</v>
      </c>
      <c r="B844" s="24">
        <v>46183</v>
      </c>
      <c r="C844" s="27" t="s">
        <v>5797</v>
      </c>
      <c r="D844" s="27" t="s">
        <v>3222</v>
      </c>
      <c r="E844" t="s">
        <v>1259</v>
      </c>
      <c r="F844" t="s">
        <v>104</v>
      </c>
      <c r="G844" t="s">
        <v>105</v>
      </c>
      <c r="H844">
        <v>0</v>
      </c>
    </row>
    <row r="845" spans="1:8">
      <c r="A845" t="s">
        <v>3995</v>
      </c>
      <c r="B845" s="24">
        <v>46184</v>
      </c>
      <c r="C845" s="27" t="s">
        <v>5797</v>
      </c>
      <c r="D845" s="27" t="s">
        <v>3222</v>
      </c>
      <c r="E845" t="s">
        <v>1260</v>
      </c>
      <c r="F845" t="s">
        <v>104</v>
      </c>
      <c r="G845" t="s">
        <v>105</v>
      </c>
      <c r="H845">
        <v>0</v>
      </c>
    </row>
    <row r="846" spans="1:8">
      <c r="A846" t="s">
        <v>3996</v>
      </c>
      <c r="B846" s="24">
        <v>46185</v>
      </c>
      <c r="C846" s="27" t="s">
        <v>5797</v>
      </c>
      <c r="D846" s="27" t="s">
        <v>3222</v>
      </c>
      <c r="E846" t="s">
        <v>1261</v>
      </c>
      <c r="F846" t="s">
        <v>104</v>
      </c>
      <c r="G846" t="s">
        <v>105</v>
      </c>
      <c r="H846">
        <v>0</v>
      </c>
    </row>
    <row r="847" spans="1:8">
      <c r="A847" t="s">
        <v>3997</v>
      </c>
      <c r="B847" s="24">
        <v>46174</v>
      </c>
      <c r="C847" s="27" t="s">
        <v>5797</v>
      </c>
      <c r="D847" s="27" t="s">
        <v>3222</v>
      </c>
      <c r="E847" t="s">
        <v>1262</v>
      </c>
      <c r="F847" t="s">
        <v>104</v>
      </c>
      <c r="G847" t="s">
        <v>105</v>
      </c>
      <c r="H847">
        <v>0</v>
      </c>
    </row>
    <row r="848" spans="1:8">
      <c r="A848" t="s">
        <v>3998</v>
      </c>
      <c r="B848" s="24">
        <v>46175</v>
      </c>
      <c r="C848" s="27" t="s">
        <v>5797</v>
      </c>
      <c r="D848" s="27" t="s">
        <v>3222</v>
      </c>
      <c r="E848" t="s">
        <v>1263</v>
      </c>
      <c r="F848" t="s">
        <v>104</v>
      </c>
      <c r="G848" t="s">
        <v>105</v>
      </c>
      <c r="H848">
        <v>0</v>
      </c>
    </row>
    <row r="849" spans="1:8">
      <c r="A849" t="s">
        <v>3999</v>
      </c>
      <c r="B849" s="24">
        <v>46176</v>
      </c>
      <c r="C849" s="27" t="s">
        <v>5797</v>
      </c>
      <c r="D849" s="27" t="s">
        <v>3222</v>
      </c>
      <c r="E849" t="s">
        <v>1264</v>
      </c>
      <c r="F849" t="s">
        <v>104</v>
      </c>
      <c r="G849" t="s">
        <v>105</v>
      </c>
      <c r="H849">
        <v>0</v>
      </c>
    </row>
    <row r="850" spans="1:8">
      <c r="A850" t="s">
        <v>4000</v>
      </c>
      <c r="B850" s="24">
        <v>46177</v>
      </c>
      <c r="C850" s="27" t="s">
        <v>5797</v>
      </c>
      <c r="D850" s="27" t="s">
        <v>3222</v>
      </c>
      <c r="E850" t="s">
        <v>1265</v>
      </c>
      <c r="F850" t="s">
        <v>104</v>
      </c>
      <c r="G850" t="s">
        <v>105</v>
      </c>
      <c r="H850">
        <v>0</v>
      </c>
    </row>
    <row r="851" spans="1:8">
      <c r="A851" t="s">
        <v>4001</v>
      </c>
      <c r="B851" s="24">
        <v>46178</v>
      </c>
      <c r="C851" s="27" t="s">
        <v>5797</v>
      </c>
      <c r="D851" s="27" t="s">
        <v>3222</v>
      </c>
      <c r="E851" t="s">
        <v>1266</v>
      </c>
      <c r="F851" t="s">
        <v>104</v>
      </c>
      <c r="G851" t="s">
        <v>105</v>
      </c>
      <c r="H851">
        <v>0</v>
      </c>
    </row>
    <row r="852" spans="1:8">
      <c r="A852" t="s">
        <v>4002</v>
      </c>
      <c r="B852" s="24">
        <v>46181</v>
      </c>
      <c r="C852" s="27" t="s">
        <v>5797</v>
      </c>
      <c r="D852" s="27" t="s">
        <v>3222</v>
      </c>
      <c r="E852" t="s">
        <v>1267</v>
      </c>
      <c r="F852" t="s">
        <v>104</v>
      </c>
      <c r="G852" t="s">
        <v>105</v>
      </c>
      <c r="H852">
        <v>0</v>
      </c>
    </row>
    <row r="853" spans="1:8">
      <c r="A853" t="s">
        <v>4003</v>
      </c>
      <c r="B853" s="24">
        <v>46182</v>
      </c>
      <c r="C853" s="27" t="s">
        <v>5797</v>
      </c>
      <c r="D853" s="27" t="s">
        <v>3222</v>
      </c>
      <c r="E853" t="s">
        <v>1268</v>
      </c>
      <c r="F853" t="s">
        <v>104</v>
      </c>
      <c r="G853" t="s">
        <v>105</v>
      </c>
      <c r="H853">
        <v>0</v>
      </c>
    </row>
    <row r="854" spans="1:8">
      <c r="A854" t="s">
        <v>4004</v>
      </c>
      <c r="B854" s="24">
        <v>46183</v>
      </c>
      <c r="C854" s="27" t="s">
        <v>5797</v>
      </c>
      <c r="D854" s="27" t="s">
        <v>3222</v>
      </c>
      <c r="E854" t="s">
        <v>1269</v>
      </c>
      <c r="F854" t="s">
        <v>104</v>
      </c>
      <c r="G854" t="s">
        <v>105</v>
      </c>
      <c r="H854">
        <v>0</v>
      </c>
    </row>
    <row r="855" spans="1:8">
      <c r="A855" t="s">
        <v>4005</v>
      </c>
      <c r="B855" s="24">
        <v>46184</v>
      </c>
      <c r="C855" s="27" t="s">
        <v>5797</v>
      </c>
      <c r="D855" s="27" t="s">
        <v>3222</v>
      </c>
      <c r="E855" t="s">
        <v>1270</v>
      </c>
      <c r="F855" t="s">
        <v>104</v>
      </c>
      <c r="G855" t="s">
        <v>105</v>
      </c>
      <c r="H855">
        <v>0</v>
      </c>
    </row>
    <row r="856" spans="1:8">
      <c r="A856" t="s">
        <v>4006</v>
      </c>
      <c r="B856" s="24">
        <v>46185</v>
      </c>
      <c r="C856" s="27" t="s">
        <v>5797</v>
      </c>
      <c r="D856" s="27" t="s">
        <v>3222</v>
      </c>
      <c r="E856" t="s">
        <v>1271</v>
      </c>
      <c r="F856" t="s">
        <v>104</v>
      </c>
      <c r="G856" t="s">
        <v>105</v>
      </c>
      <c r="H856">
        <v>0</v>
      </c>
    </row>
    <row r="857" spans="1:8">
      <c r="A857" t="s">
        <v>4007</v>
      </c>
      <c r="B857" s="24">
        <v>46174</v>
      </c>
      <c r="C857" s="27" t="s">
        <v>5797</v>
      </c>
      <c r="D857" s="27" t="s">
        <v>3222</v>
      </c>
      <c r="E857" t="s">
        <v>1272</v>
      </c>
      <c r="F857" t="s">
        <v>104</v>
      </c>
      <c r="G857" t="s">
        <v>105</v>
      </c>
      <c r="H857">
        <v>0</v>
      </c>
    </row>
    <row r="858" spans="1:8">
      <c r="A858" t="s">
        <v>4008</v>
      </c>
      <c r="B858" s="24">
        <v>46175</v>
      </c>
      <c r="C858" s="27" t="s">
        <v>5797</v>
      </c>
      <c r="D858" s="27" t="s">
        <v>3222</v>
      </c>
      <c r="E858" t="s">
        <v>1273</v>
      </c>
      <c r="F858" t="s">
        <v>104</v>
      </c>
      <c r="G858" t="s">
        <v>105</v>
      </c>
      <c r="H858">
        <v>0</v>
      </c>
    </row>
    <row r="859" spans="1:8">
      <c r="A859" t="s">
        <v>4009</v>
      </c>
      <c r="B859" s="24">
        <v>46176</v>
      </c>
      <c r="C859" s="27" t="s">
        <v>5797</v>
      </c>
      <c r="D859" s="27" t="s">
        <v>3222</v>
      </c>
      <c r="E859" t="s">
        <v>1274</v>
      </c>
      <c r="F859" t="s">
        <v>104</v>
      </c>
      <c r="G859" t="s">
        <v>105</v>
      </c>
      <c r="H859">
        <v>0</v>
      </c>
    </row>
    <row r="860" spans="1:8">
      <c r="A860" t="s">
        <v>4010</v>
      </c>
      <c r="B860" s="24">
        <v>46177</v>
      </c>
      <c r="C860" s="27" t="s">
        <v>5797</v>
      </c>
      <c r="D860" s="27" t="s">
        <v>3222</v>
      </c>
      <c r="E860" t="s">
        <v>1275</v>
      </c>
      <c r="F860" t="s">
        <v>104</v>
      </c>
      <c r="G860" t="s">
        <v>105</v>
      </c>
      <c r="H860">
        <v>0</v>
      </c>
    </row>
    <row r="861" spans="1:8">
      <c r="A861" t="s">
        <v>4011</v>
      </c>
      <c r="B861" s="24">
        <v>46178</v>
      </c>
      <c r="C861" s="27" t="s">
        <v>5797</v>
      </c>
      <c r="D861" s="27" t="s">
        <v>3222</v>
      </c>
      <c r="E861" t="s">
        <v>1276</v>
      </c>
      <c r="F861" t="s">
        <v>104</v>
      </c>
      <c r="G861" t="s">
        <v>105</v>
      </c>
      <c r="H861">
        <v>0</v>
      </c>
    </row>
    <row r="862" spans="1:8">
      <c r="A862" t="s">
        <v>4012</v>
      </c>
      <c r="B862" s="24">
        <v>46181</v>
      </c>
      <c r="C862" s="27" t="s">
        <v>5797</v>
      </c>
      <c r="D862" s="27" t="s">
        <v>3222</v>
      </c>
      <c r="E862" t="s">
        <v>1277</v>
      </c>
      <c r="F862" t="s">
        <v>104</v>
      </c>
      <c r="G862" t="s">
        <v>105</v>
      </c>
      <c r="H862">
        <v>0</v>
      </c>
    </row>
    <row r="863" spans="1:8">
      <c r="A863" t="s">
        <v>4013</v>
      </c>
      <c r="B863" s="24">
        <v>46182</v>
      </c>
      <c r="C863" s="27" t="s">
        <v>5797</v>
      </c>
      <c r="D863" s="27" t="s">
        <v>3222</v>
      </c>
      <c r="E863" t="s">
        <v>1278</v>
      </c>
      <c r="F863" t="s">
        <v>104</v>
      </c>
      <c r="G863" t="s">
        <v>105</v>
      </c>
      <c r="H863">
        <v>0</v>
      </c>
    </row>
    <row r="864" spans="1:8">
      <c r="A864" t="s">
        <v>4014</v>
      </c>
      <c r="B864" s="24">
        <v>46183</v>
      </c>
      <c r="C864" s="27" t="s">
        <v>5797</v>
      </c>
      <c r="D864" s="27" t="s">
        <v>3222</v>
      </c>
      <c r="E864" t="s">
        <v>1279</v>
      </c>
      <c r="F864" t="s">
        <v>104</v>
      </c>
      <c r="G864" t="s">
        <v>105</v>
      </c>
      <c r="H864">
        <v>0</v>
      </c>
    </row>
    <row r="865" spans="1:8">
      <c r="A865" t="s">
        <v>4015</v>
      </c>
      <c r="B865" s="24">
        <v>46184</v>
      </c>
      <c r="C865" s="27" t="s">
        <v>5797</v>
      </c>
      <c r="D865" s="27" t="s">
        <v>3222</v>
      </c>
      <c r="E865" t="s">
        <v>1280</v>
      </c>
      <c r="F865" t="s">
        <v>104</v>
      </c>
      <c r="G865" t="s">
        <v>105</v>
      </c>
      <c r="H865">
        <v>0</v>
      </c>
    </row>
    <row r="866" spans="1:8">
      <c r="A866" t="s">
        <v>4016</v>
      </c>
      <c r="B866" s="24">
        <v>46185</v>
      </c>
      <c r="C866" s="27" t="s">
        <v>5797</v>
      </c>
      <c r="D866" s="27" t="s">
        <v>3222</v>
      </c>
      <c r="E866" t="s">
        <v>1281</v>
      </c>
      <c r="F866" t="s">
        <v>104</v>
      </c>
      <c r="G866" t="s">
        <v>105</v>
      </c>
      <c r="H866">
        <v>0</v>
      </c>
    </row>
    <row r="867" spans="1:8">
      <c r="A867" t="s">
        <v>4017</v>
      </c>
      <c r="B867" s="24">
        <v>46174</v>
      </c>
      <c r="C867" s="27" t="s">
        <v>5797</v>
      </c>
      <c r="D867" s="27" t="s">
        <v>3222</v>
      </c>
      <c r="E867" t="s">
        <v>1282</v>
      </c>
      <c r="F867" t="s">
        <v>104</v>
      </c>
      <c r="G867" t="s">
        <v>105</v>
      </c>
      <c r="H867">
        <v>0</v>
      </c>
    </row>
    <row r="868" spans="1:8">
      <c r="A868" t="s">
        <v>4018</v>
      </c>
      <c r="B868" s="24">
        <v>46175</v>
      </c>
      <c r="C868" s="27" t="s">
        <v>5797</v>
      </c>
      <c r="D868" s="27" t="s">
        <v>3222</v>
      </c>
      <c r="E868" t="s">
        <v>1283</v>
      </c>
      <c r="F868" t="s">
        <v>104</v>
      </c>
      <c r="G868" t="s">
        <v>105</v>
      </c>
      <c r="H868">
        <v>0</v>
      </c>
    </row>
    <row r="869" spans="1:8">
      <c r="A869" t="s">
        <v>4019</v>
      </c>
      <c r="B869" s="24">
        <v>46176</v>
      </c>
      <c r="C869" s="27" t="s">
        <v>5797</v>
      </c>
      <c r="D869" s="27" t="s">
        <v>3222</v>
      </c>
      <c r="E869" t="s">
        <v>1284</v>
      </c>
      <c r="F869" t="s">
        <v>104</v>
      </c>
      <c r="G869" t="s">
        <v>105</v>
      </c>
      <c r="H869">
        <v>0</v>
      </c>
    </row>
    <row r="870" spans="1:8">
      <c r="A870" t="s">
        <v>4020</v>
      </c>
      <c r="B870" s="24">
        <v>46177</v>
      </c>
      <c r="C870" s="27" t="s">
        <v>5797</v>
      </c>
      <c r="D870" s="27" t="s">
        <v>3222</v>
      </c>
      <c r="E870" t="s">
        <v>1285</v>
      </c>
      <c r="F870" t="s">
        <v>104</v>
      </c>
      <c r="G870" t="s">
        <v>105</v>
      </c>
      <c r="H870">
        <v>0</v>
      </c>
    </row>
    <row r="871" spans="1:8">
      <c r="A871" t="s">
        <v>4021</v>
      </c>
      <c r="B871" s="24">
        <v>46178</v>
      </c>
      <c r="C871" s="27" t="s">
        <v>5797</v>
      </c>
      <c r="D871" s="27" t="s">
        <v>3222</v>
      </c>
      <c r="E871" t="s">
        <v>1286</v>
      </c>
      <c r="F871" t="s">
        <v>104</v>
      </c>
      <c r="G871" t="s">
        <v>105</v>
      </c>
      <c r="H871">
        <v>0</v>
      </c>
    </row>
    <row r="872" spans="1:8">
      <c r="A872" t="s">
        <v>4022</v>
      </c>
      <c r="B872" s="24">
        <v>46181</v>
      </c>
      <c r="C872" s="27" t="s">
        <v>5797</v>
      </c>
      <c r="D872" s="27" t="s">
        <v>3222</v>
      </c>
      <c r="E872" t="s">
        <v>1287</v>
      </c>
      <c r="F872" t="s">
        <v>104</v>
      </c>
      <c r="G872" t="s">
        <v>105</v>
      </c>
      <c r="H872">
        <v>0</v>
      </c>
    </row>
    <row r="873" spans="1:8">
      <c r="A873" t="s">
        <v>4023</v>
      </c>
      <c r="B873" s="24">
        <v>46182</v>
      </c>
      <c r="C873" s="27" t="s">
        <v>5797</v>
      </c>
      <c r="D873" s="27" t="s">
        <v>3222</v>
      </c>
      <c r="E873" t="s">
        <v>1288</v>
      </c>
      <c r="F873" t="s">
        <v>104</v>
      </c>
      <c r="G873" t="s">
        <v>105</v>
      </c>
      <c r="H873">
        <v>0</v>
      </c>
    </row>
    <row r="874" spans="1:8">
      <c r="A874" t="s">
        <v>4024</v>
      </c>
      <c r="B874" s="24">
        <v>46183</v>
      </c>
      <c r="C874" s="27" t="s">
        <v>5797</v>
      </c>
      <c r="D874" s="27" t="s">
        <v>3222</v>
      </c>
      <c r="E874" t="s">
        <v>1289</v>
      </c>
      <c r="F874" t="s">
        <v>104</v>
      </c>
      <c r="G874" t="s">
        <v>105</v>
      </c>
      <c r="H874">
        <v>0</v>
      </c>
    </row>
    <row r="875" spans="1:8">
      <c r="A875" t="s">
        <v>4025</v>
      </c>
      <c r="B875" s="24">
        <v>46184</v>
      </c>
      <c r="C875" s="27" t="s">
        <v>5797</v>
      </c>
      <c r="D875" s="27" t="s">
        <v>3222</v>
      </c>
      <c r="E875" t="s">
        <v>1290</v>
      </c>
      <c r="F875" t="s">
        <v>104</v>
      </c>
      <c r="G875" t="s">
        <v>105</v>
      </c>
      <c r="H875">
        <v>0</v>
      </c>
    </row>
    <row r="876" spans="1:8">
      <c r="A876" t="s">
        <v>4026</v>
      </c>
      <c r="B876" s="24">
        <v>46185</v>
      </c>
      <c r="C876" s="27" t="s">
        <v>5797</v>
      </c>
      <c r="D876" s="27" t="s">
        <v>3222</v>
      </c>
      <c r="E876" t="s">
        <v>1291</v>
      </c>
      <c r="F876" t="s">
        <v>104</v>
      </c>
      <c r="G876" t="s">
        <v>105</v>
      </c>
      <c r="H876">
        <v>0</v>
      </c>
    </row>
    <row r="877" spans="1:8">
      <c r="A877" t="s">
        <v>4027</v>
      </c>
      <c r="B877" s="24">
        <v>46174</v>
      </c>
      <c r="C877" s="27" t="s">
        <v>5797</v>
      </c>
      <c r="D877" s="27" t="s">
        <v>3222</v>
      </c>
      <c r="E877" t="s">
        <v>1292</v>
      </c>
      <c r="F877" t="s">
        <v>104</v>
      </c>
      <c r="G877" t="s">
        <v>105</v>
      </c>
      <c r="H877">
        <v>0</v>
      </c>
    </row>
    <row r="878" spans="1:8">
      <c r="A878" t="s">
        <v>4028</v>
      </c>
      <c r="B878" s="24">
        <v>46175</v>
      </c>
      <c r="C878" s="27" t="s">
        <v>5797</v>
      </c>
      <c r="D878" s="27" t="s">
        <v>3222</v>
      </c>
      <c r="E878" t="s">
        <v>1293</v>
      </c>
      <c r="F878" t="s">
        <v>104</v>
      </c>
      <c r="G878" t="s">
        <v>105</v>
      </c>
      <c r="H878">
        <v>0</v>
      </c>
    </row>
    <row r="879" spans="1:8">
      <c r="A879" t="s">
        <v>4029</v>
      </c>
      <c r="B879" s="24">
        <v>46176</v>
      </c>
      <c r="C879" s="27" t="s">
        <v>5797</v>
      </c>
      <c r="D879" s="27" t="s">
        <v>3222</v>
      </c>
      <c r="E879" t="s">
        <v>1294</v>
      </c>
      <c r="F879" t="s">
        <v>104</v>
      </c>
      <c r="G879" t="s">
        <v>105</v>
      </c>
      <c r="H879">
        <v>0</v>
      </c>
    </row>
    <row r="880" spans="1:8">
      <c r="A880" t="s">
        <v>4030</v>
      </c>
      <c r="B880" s="24">
        <v>46177</v>
      </c>
      <c r="C880" s="27" t="s">
        <v>5797</v>
      </c>
      <c r="D880" s="27" t="s">
        <v>3222</v>
      </c>
      <c r="E880" t="s">
        <v>1295</v>
      </c>
      <c r="F880" t="s">
        <v>104</v>
      </c>
      <c r="G880" t="s">
        <v>105</v>
      </c>
      <c r="H880">
        <v>0</v>
      </c>
    </row>
    <row r="881" spans="1:8">
      <c r="A881" t="s">
        <v>4031</v>
      </c>
      <c r="B881" s="24">
        <v>46178</v>
      </c>
      <c r="C881" s="27" t="s">
        <v>5797</v>
      </c>
      <c r="D881" s="27" t="s">
        <v>3222</v>
      </c>
      <c r="E881" t="s">
        <v>1296</v>
      </c>
      <c r="F881" t="s">
        <v>104</v>
      </c>
      <c r="G881" t="s">
        <v>105</v>
      </c>
      <c r="H881">
        <v>0</v>
      </c>
    </row>
    <row r="882" spans="1:8">
      <c r="A882" t="s">
        <v>4032</v>
      </c>
      <c r="B882" s="24">
        <v>46181</v>
      </c>
      <c r="C882" s="27" t="s">
        <v>5797</v>
      </c>
      <c r="D882" s="27" t="s">
        <v>3222</v>
      </c>
      <c r="E882" t="s">
        <v>1297</v>
      </c>
      <c r="F882" t="s">
        <v>104</v>
      </c>
      <c r="G882" t="s">
        <v>105</v>
      </c>
      <c r="H882">
        <v>0</v>
      </c>
    </row>
    <row r="883" spans="1:8">
      <c r="A883" t="s">
        <v>4033</v>
      </c>
      <c r="B883" s="24">
        <v>46182</v>
      </c>
      <c r="C883" s="27" t="s">
        <v>5797</v>
      </c>
      <c r="D883" s="27" t="s">
        <v>3222</v>
      </c>
      <c r="E883" t="s">
        <v>1298</v>
      </c>
      <c r="F883" t="s">
        <v>104</v>
      </c>
      <c r="G883" t="s">
        <v>105</v>
      </c>
      <c r="H883">
        <v>0</v>
      </c>
    </row>
    <row r="884" spans="1:8">
      <c r="A884" t="s">
        <v>4034</v>
      </c>
      <c r="B884" s="24">
        <v>46183</v>
      </c>
      <c r="C884" s="27" t="s">
        <v>5797</v>
      </c>
      <c r="D884" s="27" t="s">
        <v>3222</v>
      </c>
      <c r="E884" t="s">
        <v>1299</v>
      </c>
      <c r="F884" t="s">
        <v>104</v>
      </c>
      <c r="G884" t="s">
        <v>105</v>
      </c>
      <c r="H884">
        <v>0</v>
      </c>
    </row>
    <row r="885" spans="1:8">
      <c r="A885" t="s">
        <v>4035</v>
      </c>
      <c r="B885" s="24">
        <v>46184</v>
      </c>
      <c r="C885" s="27" t="s">
        <v>5797</v>
      </c>
      <c r="D885" s="27" t="s">
        <v>3222</v>
      </c>
      <c r="E885" t="s">
        <v>1300</v>
      </c>
      <c r="F885" t="s">
        <v>104</v>
      </c>
      <c r="G885" t="s">
        <v>105</v>
      </c>
      <c r="H885">
        <v>0</v>
      </c>
    </row>
    <row r="886" spans="1:8">
      <c r="A886" t="s">
        <v>4036</v>
      </c>
      <c r="B886" s="24">
        <v>46185</v>
      </c>
      <c r="C886" s="27" t="s">
        <v>5797</v>
      </c>
      <c r="D886" s="27" t="s">
        <v>3222</v>
      </c>
      <c r="E886" t="s">
        <v>1301</v>
      </c>
      <c r="F886" t="s">
        <v>104</v>
      </c>
      <c r="G886" t="s">
        <v>105</v>
      </c>
      <c r="H886">
        <v>0</v>
      </c>
    </row>
    <row r="887" spans="1:8">
      <c r="A887" t="s">
        <v>4037</v>
      </c>
      <c r="B887" s="24">
        <v>46174</v>
      </c>
      <c r="C887" s="27" t="s">
        <v>5797</v>
      </c>
      <c r="D887" s="27" t="s">
        <v>3222</v>
      </c>
      <c r="E887" t="s">
        <v>1302</v>
      </c>
      <c r="F887" t="s">
        <v>104</v>
      </c>
      <c r="G887" t="s">
        <v>105</v>
      </c>
      <c r="H887">
        <v>0</v>
      </c>
    </row>
    <row r="888" spans="1:8">
      <c r="A888" t="s">
        <v>4038</v>
      </c>
      <c r="B888" s="24">
        <v>46175</v>
      </c>
      <c r="C888" s="27" t="s">
        <v>5797</v>
      </c>
      <c r="D888" s="27" t="s">
        <v>3222</v>
      </c>
      <c r="E888" t="s">
        <v>1303</v>
      </c>
      <c r="F888" t="s">
        <v>104</v>
      </c>
      <c r="G888" t="s">
        <v>105</v>
      </c>
      <c r="H888">
        <v>0</v>
      </c>
    </row>
    <row r="889" spans="1:8">
      <c r="A889" t="s">
        <v>4039</v>
      </c>
      <c r="B889" s="24">
        <v>46176</v>
      </c>
      <c r="C889" s="27" t="s">
        <v>5797</v>
      </c>
      <c r="D889" s="27" t="s">
        <v>3222</v>
      </c>
      <c r="E889" t="s">
        <v>1304</v>
      </c>
      <c r="F889" t="s">
        <v>104</v>
      </c>
      <c r="G889" t="s">
        <v>105</v>
      </c>
      <c r="H889">
        <v>0</v>
      </c>
    </row>
    <row r="890" spans="1:8">
      <c r="A890" t="s">
        <v>4040</v>
      </c>
      <c r="B890" s="24">
        <v>46177</v>
      </c>
      <c r="C890" s="27" t="s">
        <v>5797</v>
      </c>
      <c r="D890" s="27" t="s">
        <v>3222</v>
      </c>
      <c r="E890" t="s">
        <v>1305</v>
      </c>
      <c r="F890" t="s">
        <v>104</v>
      </c>
      <c r="G890" t="s">
        <v>105</v>
      </c>
      <c r="H890">
        <v>0</v>
      </c>
    </row>
    <row r="891" spans="1:8">
      <c r="A891" t="s">
        <v>4041</v>
      </c>
      <c r="B891" s="24">
        <v>46178</v>
      </c>
      <c r="C891" s="27" t="s">
        <v>5797</v>
      </c>
      <c r="D891" s="27" t="s">
        <v>3222</v>
      </c>
      <c r="E891" t="s">
        <v>1306</v>
      </c>
      <c r="F891" t="s">
        <v>104</v>
      </c>
      <c r="G891" t="s">
        <v>105</v>
      </c>
      <c r="H891">
        <v>0</v>
      </c>
    </row>
    <row r="892" spans="1:8">
      <c r="A892" t="s">
        <v>4042</v>
      </c>
      <c r="B892" s="24">
        <v>46181</v>
      </c>
      <c r="C892" s="27" t="s">
        <v>5797</v>
      </c>
      <c r="D892" s="27" t="s">
        <v>3222</v>
      </c>
      <c r="E892" t="s">
        <v>1307</v>
      </c>
      <c r="F892" t="s">
        <v>104</v>
      </c>
      <c r="G892" t="s">
        <v>105</v>
      </c>
      <c r="H892">
        <v>0</v>
      </c>
    </row>
    <row r="893" spans="1:8">
      <c r="A893" t="s">
        <v>4043</v>
      </c>
      <c r="B893" s="24">
        <v>46182</v>
      </c>
      <c r="C893" s="27" t="s">
        <v>5797</v>
      </c>
      <c r="D893" s="27" t="s">
        <v>3222</v>
      </c>
      <c r="E893" t="s">
        <v>1308</v>
      </c>
      <c r="F893" t="s">
        <v>104</v>
      </c>
      <c r="G893" t="s">
        <v>105</v>
      </c>
      <c r="H893">
        <v>0</v>
      </c>
    </row>
    <row r="894" spans="1:8">
      <c r="A894" t="s">
        <v>4044</v>
      </c>
      <c r="B894" s="24">
        <v>46183</v>
      </c>
      <c r="C894" s="27" t="s">
        <v>5797</v>
      </c>
      <c r="D894" s="27" t="s">
        <v>3222</v>
      </c>
      <c r="E894" t="s">
        <v>1309</v>
      </c>
      <c r="F894" t="s">
        <v>104</v>
      </c>
      <c r="G894" t="s">
        <v>105</v>
      </c>
      <c r="H894">
        <v>0</v>
      </c>
    </row>
    <row r="895" spans="1:8">
      <c r="A895" t="s">
        <v>4045</v>
      </c>
      <c r="B895" s="24">
        <v>46184</v>
      </c>
      <c r="C895" s="27" t="s">
        <v>5797</v>
      </c>
      <c r="D895" s="27" t="s">
        <v>3222</v>
      </c>
      <c r="E895" t="s">
        <v>1310</v>
      </c>
      <c r="F895" t="s">
        <v>104</v>
      </c>
      <c r="G895" t="s">
        <v>105</v>
      </c>
      <c r="H895">
        <v>0</v>
      </c>
    </row>
    <row r="896" spans="1:8">
      <c r="A896" t="s">
        <v>4046</v>
      </c>
      <c r="B896" s="24">
        <v>46185</v>
      </c>
      <c r="C896" s="27" t="s">
        <v>5797</v>
      </c>
      <c r="D896" s="27" t="s">
        <v>3222</v>
      </c>
      <c r="E896" t="s">
        <v>1311</v>
      </c>
      <c r="F896" t="s">
        <v>104</v>
      </c>
      <c r="G896" t="s">
        <v>105</v>
      </c>
      <c r="H896">
        <v>0</v>
      </c>
    </row>
    <row r="897" spans="1:8">
      <c r="A897" t="s">
        <v>4047</v>
      </c>
      <c r="B897" s="24">
        <v>46174</v>
      </c>
      <c r="C897" s="27" t="s">
        <v>5797</v>
      </c>
      <c r="D897" s="27" t="s">
        <v>3222</v>
      </c>
      <c r="E897" t="s">
        <v>1312</v>
      </c>
      <c r="F897" t="s">
        <v>104</v>
      </c>
      <c r="G897" t="s">
        <v>105</v>
      </c>
      <c r="H897">
        <v>0</v>
      </c>
    </row>
    <row r="898" spans="1:8">
      <c r="A898" t="s">
        <v>4048</v>
      </c>
      <c r="B898" s="24">
        <v>46175</v>
      </c>
      <c r="C898" s="27" t="s">
        <v>5797</v>
      </c>
      <c r="D898" s="27" t="s">
        <v>3222</v>
      </c>
      <c r="E898" t="s">
        <v>1313</v>
      </c>
      <c r="F898" t="s">
        <v>104</v>
      </c>
      <c r="G898" t="s">
        <v>105</v>
      </c>
      <c r="H898">
        <v>0</v>
      </c>
    </row>
    <row r="899" spans="1:8">
      <c r="A899" t="s">
        <v>4049</v>
      </c>
      <c r="B899" s="24">
        <v>46176</v>
      </c>
      <c r="C899" s="27" t="s">
        <v>5797</v>
      </c>
      <c r="D899" s="27" t="s">
        <v>3222</v>
      </c>
      <c r="E899" t="s">
        <v>1314</v>
      </c>
      <c r="F899" t="s">
        <v>104</v>
      </c>
      <c r="G899" t="s">
        <v>105</v>
      </c>
      <c r="H899">
        <v>0</v>
      </c>
    </row>
    <row r="900" spans="1:8">
      <c r="A900" t="s">
        <v>4050</v>
      </c>
      <c r="B900" s="24">
        <v>46177</v>
      </c>
      <c r="C900" s="27" t="s">
        <v>5797</v>
      </c>
      <c r="D900" s="27" t="s">
        <v>3222</v>
      </c>
      <c r="E900" t="s">
        <v>1315</v>
      </c>
      <c r="F900" t="s">
        <v>104</v>
      </c>
      <c r="G900" t="s">
        <v>105</v>
      </c>
      <c r="H900">
        <v>0</v>
      </c>
    </row>
    <row r="901" spans="1:8">
      <c r="A901" t="s">
        <v>4051</v>
      </c>
      <c r="B901" s="24">
        <v>46178</v>
      </c>
      <c r="C901" s="27" t="s">
        <v>5797</v>
      </c>
      <c r="D901" s="27" t="s">
        <v>3222</v>
      </c>
      <c r="E901" t="s">
        <v>1316</v>
      </c>
      <c r="F901" t="s">
        <v>104</v>
      </c>
      <c r="G901" t="s">
        <v>105</v>
      </c>
      <c r="H901">
        <v>0</v>
      </c>
    </row>
    <row r="902" spans="1:8">
      <c r="A902" t="s">
        <v>4052</v>
      </c>
      <c r="B902" s="24">
        <v>46181</v>
      </c>
      <c r="C902" s="27" t="s">
        <v>5797</v>
      </c>
      <c r="D902" s="27" t="s">
        <v>3222</v>
      </c>
      <c r="E902" t="s">
        <v>1317</v>
      </c>
      <c r="F902" t="s">
        <v>104</v>
      </c>
      <c r="G902" t="s">
        <v>105</v>
      </c>
      <c r="H902">
        <v>0</v>
      </c>
    </row>
    <row r="903" spans="1:8">
      <c r="A903" t="s">
        <v>4053</v>
      </c>
      <c r="B903" s="24">
        <v>46182</v>
      </c>
      <c r="C903" s="27" t="s">
        <v>5797</v>
      </c>
      <c r="D903" s="27" t="s">
        <v>3222</v>
      </c>
      <c r="E903" t="s">
        <v>1318</v>
      </c>
      <c r="F903" t="s">
        <v>104</v>
      </c>
      <c r="G903" t="s">
        <v>105</v>
      </c>
      <c r="H903">
        <v>0</v>
      </c>
    </row>
    <row r="904" spans="1:8">
      <c r="A904" t="s">
        <v>4054</v>
      </c>
      <c r="B904" s="24">
        <v>46183</v>
      </c>
      <c r="C904" s="27" t="s">
        <v>5797</v>
      </c>
      <c r="D904" s="27" t="s">
        <v>3222</v>
      </c>
      <c r="E904" t="s">
        <v>1319</v>
      </c>
      <c r="F904" t="s">
        <v>104</v>
      </c>
      <c r="G904" t="s">
        <v>105</v>
      </c>
      <c r="H904">
        <v>0</v>
      </c>
    </row>
    <row r="905" spans="1:8">
      <c r="A905" t="s">
        <v>4055</v>
      </c>
      <c r="B905" s="24">
        <v>46184</v>
      </c>
      <c r="C905" s="27" t="s">
        <v>5797</v>
      </c>
      <c r="D905" s="27" t="s">
        <v>3222</v>
      </c>
      <c r="E905" t="s">
        <v>1320</v>
      </c>
      <c r="F905" t="s">
        <v>104</v>
      </c>
      <c r="G905" t="s">
        <v>105</v>
      </c>
      <c r="H905">
        <v>0</v>
      </c>
    </row>
    <row r="906" spans="1:8">
      <c r="A906" t="s">
        <v>4056</v>
      </c>
      <c r="B906" s="24">
        <v>46185</v>
      </c>
      <c r="C906" s="27" t="s">
        <v>5797</v>
      </c>
      <c r="D906" s="27" t="s">
        <v>3222</v>
      </c>
      <c r="E906" t="s">
        <v>1321</v>
      </c>
      <c r="F906" t="s">
        <v>104</v>
      </c>
      <c r="G906" t="s">
        <v>105</v>
      </c>
      <c r="H906">
        <v>0</v>
      </c>
    </row>
    <row r="907" spans="1:8">
      <c r="A907" t="s">
        <v>4057</v>
      </c>
      <c r="B907" s="24">
        <v>46174</v>
      </c>
      <c r="C907" s="27" t="s">
        <v>5797</v>
      </c>
      <c r="D907" s="27" t="s">
        <v>3222</v>
      </c>
      <c r="E907" t="s">
        <v>1322</v>
      </c>
      <c r="F907" t="s">
        <v>104</v>
      </c>
      <c r="G907" t="s">
        <v>105</v>
      </c>
      <c r="H907">
        <v>0</v>
      </c>
    </row>
    <row r="908" spans="1:8">
      <c r="A908" t="s">
        <v>4058</v>
      </c>
      <c r="B908" s="24">
        <v>46175</v>
      </c>
      <c r="C908" s="27" t="s">
        <v>5797</v>
      </c>
      <c r="D908" s="27" t="s">
        <v>3222</v>
      </c>
      <c r="E908" t="s">
        <v>1323</v>
      </c>
      <c r="F908" t="s">
        <v>104</v>
      </c>
      <c r="G908" t="s">
        <v>105</v>
      </c>
      <c r="H908">
        <v>0</v>
      </c>
    </row>
    <row r="909" spans="1:8">
      <c r="A909" t="s">
        <v>4059</v>
      </c>
      <c r="B909" s="24">
        <v>46176</v>
      </c>
      <c r="C909" s="27" t="s">
        <v>5797</v>
      </c>
      <c r="D909" s="27" t="s">
        <v>3222</v>
      </c>
      <c r="E909" t="s">
        <v>1324</v>
      </c>
      <c r="F909" t="s">
        <v>104</v>
      </c>
      <c r="G909" t="s">
        <v>105</v>
      </c>
      <c r="H909">
        <v>0</v>
      </c>
    </row>
    <row r="910" spans="1:8">
      <c r="A910" t="s">
        <v>4060</v>
      </c>
      <c r="B910" s="24">
        <v>46177</v>
      </c>
      <c r="C910" s="27" t="s">
        <v>5797</v>
      </c>
      <c r="D910" s="27" t="s">
        <v>3222</v>
      </c>
      <c r="E910" t="s">
        <v>1325</v>
      </c>
      <c r="F910" t="s">
        <v>104</v>
      </c>
      <c r="G910" t="s">
        <v>105</v>
      </c>
      <c r="H910">
        <v>0</v>
      </c>
    </row>
    <row r="911" spans="1:8">
      <c r="A911" t="s">
        <v>4061</v>
      </c>
      <c r="B911" s="24">
        <v>46178</v>
      </c>
      <c r="C911" s="27" t="s">
        <v>5797</v>
      </c>
      <c r="D911" s="27" t="s">
        <v>3222</v>
      </c>
      <c r="E911" t="s">
        <v>1326</v>
      </c>
      <c r="F911" t="s">
        <v>104</v>
      </c>
      <c r="G911" t="s">
        <v>105</v>
      </c>
      <c r="H911">
        <v>0</v>
      </c>
    </row>
    <row r="912" spans="1:8">
      <c r="A912" t="s">
        <v>4062</v>
      </c>
      <c r="B912" s="24">
        <v>46181</v>
      </c>
      <c r="C912" s="27" t="s">
        <v>5797</v>
      </c>
      <c r="D912" s="27" t="s">
        <v>3222</v>
      </c>
      <c r="E912" t="s">
        <v>1327</v>
      </c>
      <c r="F912" t="s">
        <v>104</v>
      </c>
      <c r="G912" t="s">
        <v>105</v>
      </c>
      <c r="H912">
        <v>0</v>
      </c>
    </row>
    <row r="913" spans="1:8">
      <c r="A913" t="s">
        <v>4063</v>
      </c>
      <c r="B913" s="24">
        <v>46182</v>
      </c>
      <c r="C913" s="27" t="s">
        <v>5797</v>
      </c>
      <c r="D913" s="27" t="s">
        <v>3222</v>
      </c>
      <c r="E913" t="s">
        <v>1328</v>
      </c>
      <c r="F913" t="s">
        <v>104</v>
      </c>
      <c r="H913" t="s">
        <v>5762</v>
      </c>
    </row>
    <row r="914" spans="1:8">
      <c r="A914" t="s">
        <v>4064</v>
      </c>
      <c r="B914" s="24">
        <v>46183</v>
      </c>
      <c r="C914" s="27" t="s">
        <v>5797</v>
      </c>
      <c r="D914" s="27" t="s">
        <v>3222</v>
      </c>
      <c r="E914" t="s">
        <v>1329</v>
      </c>
      <c r="F914" t="s">
        <v>104</v>
      </c>
      <c r="H914" t="s">
        <v>5762</v>
      </c>
    </row>
    <row r="915" spans="1:8">
      <c r="A915" t="s">
        <v>4065</v>
      </c>
      <c r="B915" s="24">
        <v>46184</v>
      </c>
      <c r="C915" s="27" t="s">
        <v>5797</v>
      </c>
      <c r="D915" s="27" t="s">
        <v>3222</v>
      </c>
      <c r="E915" t="s">
        <v>1330</v>
      </c>
      <c r="F915" t="s">
        <v>104</v>
      </c>
      <c r="H915" t="s">
        <v>5762</v>
      </c>
    </row>
    <row r="916" spans="1:8">
      <c r="A916" t="s">
        <v>4066</v>
      </c>
      <c r="B916" s="24">
        <v>46185</v>
      </c>
      <c r="C916" s="27" t="s">
        <v>5797</v>
      </c>
      <c r="D916" s="27" t="s">
        <v>3222</v>
      </c>
      <c r="E916" t="s">
        <v>1331</v>
      </c>
      <c r="F916" t="s">
        <v>104</v>
      </c>
      <c r="H916" t="s">
        <v>5762</v>
      </c>
    </row>
    <row r="917" spans="1:8">
      <c r="A917" t="s">
        <v>4067</v>
      </c>
      <c r="B917" s="24">
        <v>46174</v>
      </c>
      <c r="C917" s="27" t="s">
        <v>5797</v>
      </c>
      <c r="D917" s="27" t="s">
        <v>3222</v>
      </c>
      <c r="E917" t="s">
        <v>1332</v>
      </c>
      <c r="F917" t="s">
        <v>104</v>
      </c>
      <c r="H917" t="s">
        <v>5762</v>
      </c>
    </row>
    <row r="918" spans="1:8">
      <c r="A918" t="s">
        <v>4068</v>
      </c>
      <c r="B918" s="24">
        <v>46175</v>
      </c>
      <c r="C918" s="27" t="s">
        <v>5797</v>
      </c>
      <c r="D918" s="27" t="s">
        <v>3222</v>
      </c>
      <c r="E918" t="s">
        <v>1333</v>
      </c>
      <c r="F918" t="s">
        <v>104</v>
      </c>
      <c r="H918" t="s">
        <v>5762</v>
      </c>
    </row>
    <row r="919" spans="1:8">
      <c r="A919" t="s">
        <v>4069</v>
      </c>
      <c r="B919" s="24">
        <v>46176</v>
      </c>
      <c r="C919" s="27" t="s">
        <v>5797</v>
      </c>
      <c r="D919" s="27" t="s">
        <v>3222</v>
      </c>
      <c r="E919" t="s">
        <v>1334</v>
      </c>
      <c r="F919" t="s">
        <v>104</v>
      </c>
      <c r="H919" t="s">
        <v>5762</v>
      </c>
    </row>
    <row r="920" spans="1:8">
      <c r="A920" t="s">
        <v>4070</v>
      </c>
      <c r="B920" s="24">
        <v>46177</v>
      </c>
      <c r="C920" s="27" t="s">
        <v>5797</v>
      </c>
      <c r="D920" s="27" t="s">
        <v>3222</v>
      </c>
      <c r="E920" t="s">
        <v>1335</v>
      </c>
      <c r="F920" t="s">
        <v>104</v>
      </c>
      <c r="H920" t="s">
        <v>5762</v>
      </c>
    </row>
    <row r="921" spans="1:8">
      <c r="A921" t="s">
        <v>4071</v>
      </c>
      <c r="B921" s="24">
        <v>46178</v>
      </c>
      <c r="C921" s="27" t="s">
        <v>5797</v>
      </c>
      <c r="D921" s="27" t="s">
        <v>3222</v>
      </c>
      <c r="E921" t="s">
        <v>1336</v>
      </c>
      <c r="F921" t="s">
        <v>104</v>
      </c>
      <c r="H921" t="s">
        <v>5762</v>
      </c>
    </row>
    <row r="922" spans="1:8">
      <c r="A922" t="s">
        <v>4072</v>
      </c>
      <c r="B922" s="24">
        <v>46181</v>
      </c>
      <c r="C922" s="27" t="s">
        <v>5797</v>
      </c>
      <c r="D922" s="27" t="s">
        <v>3222</v>
      </c>
      <c r="E922" t="s">
        <v>1337</v>
      </c>
      <c r="F922" t="s">
        <v>104</v>
      </c>
      <c r="H922" t="s">
        <v>5762</v>
      </c>
    </row>
    <row r="923" spans="1:8">
      <c r="A923" t="s">
        <v>4073</v>
      </c>
      <c r="B923" s="24">
        <v>46182</v>
      </c>
      <c r="C923" s="27" t="s">
        <v>5797</v>
      </c>
      <c r="D923" s="27" t="s">
        <v>3222</v>
      </c>
      <c r="E923" t="s">
        <v>1338</v>
      </c>
      <c r="F923" t="s">
        <v>104</v>
      </c>
      <c r="H923" t="s">
        <v>5762</v>
      </c>
    </row>
    <row r="924" spans="1:8">
      <c r="A924" t="s">
        <v>4074</v>
      </c>
      <c r="B924" s="24">
        <v>46183</v>
      </c>
      <c r="C924" s="27" t="s">
        <v>5797</v>
      </c>
      <c r="D924" s="27" t="s">
        <v>3222</v>
      </c>
      <c r="E924" t="s">
        <v>1339</v>
      </c>
      <c r="F924" t="s">
        <v>104</v>
      </c>
      <c r="H924" t="s">
        <v>5762</v>
      </c>
    </row>
    <row r="925" spans="1:8">
      <c r="A925" t="s">
        <v>4075</v>
      </c>
      <c r="B925" s="24">
        <v>46184</v>
      </c>
      <c r="C925" s="27" t="s">
        <v>5797</v>
      </c>
      <c r="D925" s="27" t="s">
        <v>3222</v>
      </c>
      <c r="E925" t="s">
        <v>1340</v>
      </c>
      <c r="F925" t="s">
        <v>104</v>
      </c>
      <c r="H925" t="s">
        <v>5762</v>
      </c>
    </row>
    <row r="926" spans="1:8">
      <c r="A926" t="s">
        <v>4076</v>
      </c>
      <c r="B926" s="24">
        <v>46185</v>
      </c>
      <c r="C926" s="27" t="s">
        <v>5797</v>
      </c>
      <c r="D926" s="27" t="s">
        <v>3222</v>
      </c>
      <c r="E926" t="s">
        <v>1341</v>
      </c>
      <c r="F926" t="s">
        <v>104</v>
      </c>
      <c r="H926" t="s">
        <v>5762</v>
      </c>
    </row>
    <row r="927" spans="1:8">
      <c r="A927" t="s">
        <v>4077</v>
      </c>
      <c r="B927" s="24">
        <v>46174</v>
      </c>
      <c r="C927" s="27" t="s">
        <v>5797</v>
      </c>
      <c r="D927" s="27" t="s">
        <v>3222</v>
      </c>
      <c r="E927" t="s">
        <v>1342</v>
      </c>
      <c r="F927" t="s">
        <v>104</v>
      </c>
      <c r="H927" t="s">
        <v>5762</v>
      </c>
    </row>
    <row r="928" spans="1:8">
      <c r="A928" t="s">
        <v>4078</v>
      </c>
      <c r="B928" s="24">
        <v>46175</v>
      </c>
      <c r="C928" s="27" t="s">
        <v>5797</v>
      </c>
      <c r="D928" s="27" t="s">
        <v>3222</v>
      </c>
      <c r="E928" t="s">
        <v>1343</v>
      </c>
      <c r="F928" t="s">
        <v>104</v>
      </c>
      <c r="H928" t="s">
        <v>5762</v>
      </c>
    </row>
    <row r="929" spans="1:8">
      <c r="A929" t="s">
        <v>4079</v>
      </c>
      <c r="B929" s="24">
        <v>46176</v>
      </c>
      <c r="C929" s="27" t="s">
        <v>5797</v>
      </c>
      <c r="D929" s="27" t="s">
        <v>3222</v>
      </c>
      <c r="E929" t="s">
        <v>1344</v>
      </c>
      <c r="F929" t="s">
        <v>104</v>
      </c>
      <c r="H929" t="s">
        <v>5762</v>
      </c>
    </row>
    <row r="930" spans="1:8">
      <c r="A930" t="s">
        <v>4080</v>
      </c>
      <c r="B930" s="24">
        <v>46177</v>
      </c>
      <c r="C930" s="27" t="s">
        <v>5797</v>
      </c>
      <c r="D930" s="27" t="s">
        <v>3222</v>
      </c>
      <c r="E930" t="s">
        <v>1345</v>
      </c>
      <c r="F930" t="s">
        <v>104</v>
      </c>
      <c r="H930" t="s">
        <v>5762</v>
      </c>
    </row>
    <row r="931" spans="1:8">
      <c r="A931" t="s">
        <v>4081</v>
      </c>
      <c r="B931" s="24">
        <v>46178</v>
      </c>
      <c r="C931" s="27" t="s">
        <v>5797</v>
      </c>
      <c r="D931" s="27" t="s">
        <v>3222</v>
      </c>
      <c r="E931" t="s">
        <v>1346</v>
      </c>
      <c r="F931" t="s">
        <v>104</v>
      </c>
      <c r="H931" t="s">
        <v>5762</v>
      </c>
    </row>
    <row r="932" spans="1:8">
      <c r="A932" t="s">
        <v>4082</v>
      </c>
      <c r="B932" s="24">
        <v>46181</v>
      </c>
      <c r="C932" s="27" t="s">
        <v>5797</v>
      </c>
      <c r="D932" s="27" t="s">
        <v>3222</v>
      </c>
      <c r="E932" t="s">
        <v>1347</v>
      </c>
      <c r="F932" t="s">
        <v>104</v>
      </c>
      <c r="H932" t="s">
        <v>5762</v>
      </c>
    </row>
    <row r="933" spans="1:8">
      <c r="A933" t="s">
        <v>4083</v>
      </c>
      <c r="B933" s="24">
        <v>46182</v>
      </c>
      <c r="C933" s="27" t="s">
        <v>5797</v>
      </c>
      <c r="D933" s="27" t="s">
        <v>3222</v>
      </c>
      <c r="E933" t="s">
        <v>1348</v>
      </c>
      <c r="F933" t="s">
        <v>104</v>
      </c>
      <c r="H933" t="s">
        <v>5762</v>
      </c>
    </row>
    <row r="934" spans="1:8">
      <c r="A934" t="s">
        <v>4084</v>
      </c>
      <c r="B934" s="24">
        <v>46183</v>
      </c>
      <c r="C934" s="27" t="s">
        <v>5797</v>
      </c>
      <c r="D934" s="27" t="s">
        <v>3222</v>
      </c>
      <c r="E934" t="s">
        <v>1349</v>
      </c>
      <c r="F934" t="s">
        <v>104</v>
      </c>
      <c r="H934" t="s">
        <v>5762</v>
      </c>
    </row>
    <row r="935" spans="1:8">
      <c r="A935" t="s">
        <v>4085</v>
      </c>
      <c r="B935" s="24">
        <v>46184</v>
      </c>
      <c r="C935" s="27" t="s">
        <v>5797</v>
      </c>
      <c r="D935" s="27" t="s">
        <v>3222</v>
      </c>
      <c r="E935" t="s">
        <v>1350</v>
      </c>
      <c r="F935" t="s">
        <v>104</v>
      </c>
      <c r="H935" t="s">
        <v>5762</v>
      </c>
    </row>
    <row r="936" spans="1:8">
      <c r="A936" t="s">
        <v>4086</v>
      </c>
      <c r="B936" s="24">
        <v>46185</v>
      </c>
      <c r="C936" s="27" t="s">
        <v>5797</v>
      </c>
      <c r="D936" s="27" t="s">
        <v>3222</v>
      </c>
      <c r="E936" t="s">
        <v>1351</v>
      </c>
      <c r="F936" t="s">
        <v>104</v>
      </c>
      <c r="H936" t="s">
        <v>5762</v>
      </c>
    </row>
    <row r="937" spans="1:8">
      <c r="A937" t="s">
        <v>4087</v>
      </c>
      <c r="B937" s="24">
        <v>46174</v>
      </c>
      <c r="C937" s="27" t="s">
        <v>5797</v>
      </c>
      <c r="D937" s="27" t="s">
        <v>3222</v>
      </c>
      <c r="E937" t="s">
        <v>1352</v>
      </c>
      <c r="F937" t="s">
        <v>104</v>
      </c>
      <c r="H937" t="s">
        <v>5762</v>
      </c>
    </row>
    <row r="938" spans="1:8">
      <c r="A938" t="s">
        <v>4088</v>
      </c>
      <c r="B938" s="24">
        <v>46175</v>
      </c>
      <c r="C938" s="27" t="s">
        <v>5797</v>
      </c>
      <c r="D938" s="27" t="s">
        <v>3222</v>
      </c>
      <c r="E938" t="s">
        <v>1353</v>
      </c>
      <c r="F938" t="s">
        <v>104</v>
      </c>
      <c r="H938" t="s">
        <v>5762</v>
      </c>
    </row>
    <row r="939" spans="1:8">
      <c r="A939" t="s">
        <v>4089</v>
      </c>
      <c r="B939" s="24">
        <v>46176</v>
      </c>
      <c r="C939" s="27" t="s">
        <v>5797</v>
      </c>
      <c r="D939" s="27" t="s">
        <v>3222</v>
      </c>
      <c r="E939" t="s">
        <v>1354</v>
      </c>
      <c r="F939" t="s">
        <v>104</v>
      </c>
      <c r="H939" t="s">
        <v>5762</v>
      </c>
    </row>
    <row r="940" spans="1:8">
      <c r="A940" t="s">
        <v>4090</v>
      </c>
      <c r="B940" s="24">
        <v>46177</v>
      </c>
      <c r="C940" s="27" t="s">
        <v>5797</v>
      </c>
      <c r="D940" s="27" t="s">
        <v>3222</v>
      </c>
      <c r="E940" t="s">
        <v>1355</v>
      </c>
      <c r="F940" t="s">
        <v>104</v>
      </c>
      <c r="H940" t="s">
        <v>5762</v>
      </c>
    </row>
    <row r="941" spans="1:8">
      <c r="A941" t="s">
        <v>4091</v>
      </c>
      <c r="B941" s="24">
        <v>46178</v>
      </c>
      <c r="C941" s="27" t="s">
        <v>5797</v>
      </c>
      <c r="D941" s="27" t="s">
        <v>3222</v>
      </c>
      <c r="E941" t="s">
        <v>1356</v>
      </c>
      <c r="F941" t="s">
        <v>104</v>
      </c>
      <c r="H941" t="s">
        <v>5762</v>
      </c>
    </row>
    <row r="942" spans="1:8">
      <c r="A942" t="s">
        <v>4092</v>
      </c>
      <c r="B942" s="24">
        <v>46181</v>
      </c>
      <c r="C942" s="27" t="s">
        <v>5797</v>
      </c>
      <c r="D942" s="27" t="s">
        <v>3222</v>
      </c>
      <c r="E942" t="s">
        <v>1357</v>
      </c>
      <c r="F942" t="s">
        <v>104</v>
      </c>
      <c r="H942" t="s">
        <v>5762</v>
      </c>
    </row>
    <row r="943" spans="1:8">
      <c r="A943" t="s">
        <v>4093</v>
      </c>
      <c r="B943" s="24">
        <v>46182</v>
      </c>
      <c r="C943" s="27" t="s">
        <v>5797</v>
      </c>
      <c r="D943" s="27" t="s">
        <v>3222</v>
      </c>
      <c r="E943" t="s">
        <v>1358</v>
      </c>
      <c r="F943" t="s">
        <v>104</v>
      </c>
      <c r="H943" t="s">
        <v>5762</v>
      </c>
    </row>
    <row r="944" spans="1:8">
      <c r="A944" t="s">
        <v>4094</v>
      </c>
      <c r="B944" s="24">
        <v>46183</v>
      </c>
      <c r="C944" s="27" t="s">
        <v>5797</v>
      </c>
      <c r="D944" s="27" t="s">
        <v>3222</v>
      </c>
      <c r="E944" t="s">
        <v>1359</v>
      </c>
      <c r="F944" t="s">
        <v>104</v>
      </c>
      <c r="H944" t="s">
        <v>5762</v>
      </c>
    </row>
    <row r="945" spans="1:8">
      <c r="A945" t="s">
        <v>4095</v>
      </c>
      <c r="B945" s="24">
        <v>46184</v>
      </c>
      <c r="C945" s="27" t="s">
        <v>5797</v>
      </c>
      <c r="D945" s="27" t="s">
        <v>3222</v>
      </c>
      <c r="E945" t="s">
        <v>1360</v>
      </c>
      <c r="F945" t="s">
        <v>104</v>
      </c>
      <c r="H945" t="s">
        <v>5762</v>
      </c>
    </row>
    <row r="946" spans="1:8">
      <c r="A946" t="s">
        <v>4096</v>
      </c>
      <c r="B946" s="24">
        <v>46185</v>
      </c>
      <c r="C946" s="27" t="s">
        <v>5797</v>
      </c>
      <c r="D946" s="27" t="s">
        <v>3222</v>
      </c>
      <c r="E946" t="s">
        <v>1361</v>
      </c>
      <c r="F946" t="s">
        <v>104</v>
      </c>
      <c r="H946" t="s">
        <v>5762</v>
      </c>
    </row>
    <row r="947" spans="1:8">
      <c r="A947" t="s">
        <v>4097</v>
      </c>
      <c r="B947" s="24">
        <v>46174</v>
      </c>
      <c r="C947" s="27" t="s">
        <v>5797</v>
      </c>
      <c r="D947" s="27" t="s">
        <v>3222</v>
      </c>
      <c r="E947" t="s">
        <v>1362</v>
      </c>
      <c r="F947" t="s">
        <v>104</v>
      </c>
      <c r="H947" t="s">
        <v>5762</v>
      </c>
    </row>
    <row r="948" spans="1:8">
      <c r="A948" t="s">
        <v>4098</v>
      </c>
      <c r="B948" s="24">
        <v>46175</v>
      </c>
      <c r="C948" s="27" t="s">
        <v>5797</v>
      </c>
      <c r="D948" s="27" t="s">
        <v>3222</v>
      </c>
      <c r="E948" t="s">
        <v>1363</v>
      </c>
      <c r="F948" t="s">
        <v>104</v>
      </c>
      <c r="H948" t="s">
        <v>5762</v>
      </c>
    </row>
    <row r="949" spans="1:8">
      <c r="A949" t="s">
        <v>4099</v>
      </c>
      <c r="B949" s="24">
        <v>46176</v>
      </c>
      <c r="C949" s="27" t="s">
        <v>5797</v>
      </c>
      <c r="D949" s="27" t="s">
        <v>3222</v>
      </c>
      <c r="E949" t="s">
        <v>1364</v>
      </c>
      <c r="F949" t="s">
        <v>104</v>
      </c>
      <c r="H949" t="s">
        <v>5762</v>
      </c>
    </row>
    <row r="950" spans="1:8">
      <c r="A950" t="s">
        <v>4100</v>
      </c>
      <c r="B950" s="24">
        <v>46177</v>
      </c>
      <c r="C950" s="27" t="s">
        <v>5797</v>
      </c>
      <c r="D950" s="27" t="s">
        <v>3222</v>
      </c>
      <c r="E950" t="s">
        <v>1365</v>
      </c>
      <c r="F950" t="s">
        <v>104</v>
      </c>
      <c r="H950" t="s">
        <v>5762</v>
      </c>
    </row>
    <row r="951" spans="1:8">
      <c r="A951" t="s">
        <v>4101</v>
      </c>
      <c r="B951" s="24">
        <v>46178</v>
      </c>
      <c r="C951" s="27" t="s">
        <v>5797</v>
      </c>
      <c r="D951" s="27" t="s">
        <v>3222</v>
      </c>
      <c r="E951" t="s">
        <v>1366</v>
      </c>
      <c r="F951" t="s">
        <v>104</v>
      </c>
      <c r="H951" t="s">
        <v>5762</v>
      </c>
    </row>
    <row r="952" spans="1:8">
      <c r="A952" t="s">
        <v>4102</v>
      </c>
      <c r="B952" s="24">
        <v>46181</v>
      </c>
      <c r="C952" s="27" t="s">
        <v>5797</v>
      </c>
      <c r="D952" s="27" t="s">
        <v>3222</v>
      </c>
      <c r="E952" t="s">
        <v>1367</v>
      </c>
      <c r="F952" t="s">
        <v>104</v>
      </c>
      <c r="H952" t="s">
        <v>5762</v>
      </c>
    </row>
    <row r="953" spans="1:8">
      <c r="A953" t="s">
        <v>4103</v>
      </c>
      <c r="B953" s="24">
        <v>46182</v>
      </c>
      <c r="C953" s="27" t="s">
        <v>5797</v>
      </c>
      <c r="D953" s="27" t="s">
        <v>3222</v>
      </c>
      <c r="E953" t="s">
        <v>1368</v>
      </c>
      <c r="F953" t="s">
        <v>104</v>
      </c>
      <c r="H953" t="s">
        <v>5762</v>
      </c>
    </row>
    <row r="954" spans="1:8">
      <c r="A954" t="s">
        <v>4104</v>
      </c>
      <c r="B954" s="24">
        <v>46183</v>
      </c>
      <c r="C954" s="27" t="s">
        <v>5797</v>
      </c>
      <c r="D954" s="27" t="s">
        <v>3222</v>
      </c>
      <c r="E954" t="s">
        <v>1369</v>
      </c>
      <c r="F954" t="s">
        <v>104</v>
      </c>
      <c r="H954" t="s">
        <v>5762</v>
      </c>
    </row>
    <row r="955" spans="1:8">
      <c r="A955" t="s">
        <v>4105</v>
      </c>
      <c r="B955" s="24">
        <v>46184</v>
      </c>
      <c r="C955" s="27" t="s">
        <v>5797</v>
      </c>
      <c r="D955" s="27" t="s">
        <v>3222</v>
      </c>
      <c r="E955" t="s">
        <v>1370</v>
      </c>
      <c r="F955" t="s">
        <v>104</v>
      </c>
      <c r="H955" t="s">
        <v>5762</v>
      </c>
    </row>
    <row r="956" spans="1:8">
      <c r="A956" t="s">
        <v>4106</v>
      </c>
      <c r="B956" s="24">
        <v>46185</v>
      </c>
      <c r="C956" s="27" t="s">
        <v>5797</v>
      </c>
      <c r="D956" s="27" t="s">
        <v>3222</v>
      </c>
      <c r="E956" t="s">
        <v>1371</v>
      </c>
      <c r="F956" t="s">
        <v>104</v>
      </c>
      <c r="H956" t="s">
        <v>5762</v>
      </c>
    </row>
    <row r="957" spans="1:8">
      <c r="A957" t="s">
        <v>4107</v>
      </c>
      <c r="B957" s="24">
        <v>46174</v>
      </c>
      <c r="C957" s="27" t="s">
        <v>5797</v>
      </c>
      <c r="D957" s="27" t="s">
        <v>3222</v>
      </c>
      <c r="E957" t="s">
        <v>1372</v>
      </c>
      <c r="F957" t="s">
        <v>104</v>
      </c>
      <c r="H957" t="s">
        <v>5762</v>
      </c>
    </row>
    <row r="958" spans="1:8">
      <c r="A958" t="s">
        <v>4108</v>
      </c>
      <c r="B958" s="24">
        <v>46175</v>
      </c>
      <c r="C958" s="27" t="s">
        <v>5797</v>
      </c>
      <c r="D958" s="27" t="s">
        <v>3222</v>
      </c>
      <c r="E958" t="s">
        <v>1373</v>
      </c>
      <c r="F958" t="s">
        <v>104</v>
      </c>
      <c r="H958" t="s">
        <v>5762</v>
      </c>
    </row>
    <row r="959" spans="1:8">
      <c r="A959" t="s">
        <v>4109</v>
      </c>
      <c r="B959" s="24">
        <v>46176</v>
      </c>
      <c r="C959" s="27" t="s">
        <v>5797</v>
      </c>
      <c r="D959" s="27" t="s">
        <v>3222</v>
      </c>
      <c r="E959" t="s">
        <v>1374</v>
      </c>
      <c r="F959" t="s">
        <v>104</v>
      </c>
      <c r="H959" t="s">
        <v>5762</v>
      </c>
    </row>
    <row r="960" spans="1:8">
      <c r="A960" t="s">
        <v>4110</v>
      </c>
      <c r="B960" s="24">
        <v>46177</v>
      </c>
      <c r="C960" s="27" t="s">
        <v>5797</v>
      </c>
      <c r="D960" s="27" t="s">
        <v>3222</v>
      </c>
      <c r="E960" t="s">
        <v>1375</v>
      </c>
      <c r="F960" t="s">
        <v>104</v>
      </c>
      <c r="H960" t="s">
        <v>5762</v>
      </c>
    </row>
    <row r="961" spans="1:8">
      <c r="A961" t="s">
        <v>4111</v>
      </c>
      <c r="B961" s="24">
        <v>46178</v>
      </c>
      <c r="C961" s="27" t="s">
        <v>5797</v>
      </c>
      <c r="D961" s="27" t="s">
        <v>3222</v>
      </c>
      <c r="E961" t="s">
        <v>1376</v>
      </c>
      <c r="F961" t="s">
        <v>104</v>
      </c>
      <c r="H961" t="s">
        <v>5762</v>
      </c>
    </row>
    <row r="962" spans="1:8">
      <c r="A962" t="s">
        <v>4112</v>
      </c>
      <c r="B962" s="24">
        <v>46181</v>
      </c>
      <c r="C962" s="27" t="s">
        <v>5797</v>
      </c>
      <c r="D962" s="27" t="s">
        <v>3222</v>
      </c>
      <c r="E962" t="s">
        <v>1377</v>
      </c>
      <c r="F962" t="s">
        <v>104</v>
      </c>
      <c r="H962" t="s">
        <v>5762</v>
      </c>
    </row>
    <row r="963" spans="1:8">
      <c r="A963" t="s">
        <v>4113</v>
      </c>
      <c r="B963" s="24">
        <v>46182</v>
      </c>
      <c r="C963" s="27" t="s">
        <v>5797</v>
      </c>
      <c r="D963" s="27" t="s">
        <v>3222</v>
      </c>
      <c r="E963" t="s">
        <v>1378</v>
      </c>
      <c r="F963" t="s">
        <v>104</v>
      </c>
      <c r="H963" t="s">
        <v>5762</v>
      </c>
    </row>
    <row r="964" spans="1:8">
      <c r="A964" t="s">
        <v>4114</v>
      </c>
      <c r="B964" s="24">
        <v>46183</v>
      </c>
      <c r="C964" s="27" t="s">
        <v>5797</v>
      </c>
      <c r="D964" s="27" t="s">
        <v>3222</v>
      </c>
      <c r="E964" t="s">
        <v>1379</v>
      </c>
      <c r="F964" t="s">
        <v>104</v>
      </c>
      <c r="H964" t="s">
        <v>5762</v>
      </c>
    </row>
    <row r="965" spans="1:8">
      <c r="A965" t="s">
        <v>4115</v>
      </c>
      <c r="B965" s="24">
        <v>46184</v>
      </c>
      <c r="C965" s="27" t="s">
        <v>5797</v>
      </c>
      <c r="D965" s="27" t="s">
        <v>3222</v>
      </c>
      <c r="E965" t="s">
        <v>1380</v>
      </c>
      <c r="F965" t="s">
        <v>104</v>
      </c>
      <c r="H965" t="s">
        <v>5762</v>
      </c>
    </row>
    <row r="966" spans="1:8">
      <c r="A966" t="s">
        <v>4116</v>
      </c>
      <c r="B966" s="24">
        <v>46185</v>
      </c>
      <c r="C966" s="27" t="s">
        <v>5797</v>
      </c>
      <c r="D966" s="27" t="s">
        <v>3222</v>
      </c>
      <c r="E966" t="s">
        <v>1381</v>
      </c>
      <c r="F966" t="s">
        <v>104</v>
      </c>
      <c r="H966" t="s">
        <v>5762</v>
      </c>
    </row>
    <row r="967" spans="1:8">
      <c r="A967" t="s">
        <v>4117</v>
      </c>
      <c r="B967" s="24">
        <v>46174</v>
      </c>
      <c r="C967" s="27" t="s">
        <v>5797</v>
      </c>
      <c r="D967" s="27" t="s">
        <v>3222</v>
      </c>
      <c r="E967" t="s">
        <v>1382</v>
      </c>
      <c r="F967" t="s">
        <v>104</v>
      </c>
      <c r="H967" t="s">
        <v>5762</v>
      </c>
    </row>
    <row r="968" spans="1:8">
      <c r="A968" t="s">
        <v>4118</v>
      </c>
      <c r="B968" s="24">
        <v>46175</v>
      </c>
      <c r="C968" s="27" t="s">
        <v>5797</v>
      </c>
      <c r="D968" s="27" t="s">
        <v>3222</v>
      </c>
      <c r="E968" t="s">
        <v>1383</v>
      </c>
      <c r="F968" t="s">
        <v>104</v>
      </c>
      <c r="H968" t="s">
        <v>5762</v>
      </c>
    </row>
    <row r="969" spans="1:8">
      <c r="A969" t="s">
        <v>4119</v>
      </c>
      <c r="B969" s="24">
        <v>46176</v>
      </c>
      <c r="C969" s="27" t="s">
        <v>5797</v>
      </c>
      <c r="D969" s="27" t="s">
        <v>3222</v>
      </c>
      <c r="E969" t="s">
        <v>1384</v>
      </c>
      <c r="F969" t="s">
        <v>104</v>
      </c>
      <c r="H969" t="s">
        <v>5762</v>
      </c>
    </row>
    <row r="970" spans="1:8">
      <c r="A970" t="s">
        <v>4120</v>
      </c>
      <c r="B970" s="24">
        <v>46177</v>
      </c>
      <c r="C970" s="27" t="s">
        <v>5797</v>
      </c>
      <c r="D970" s="27" t="s">
        <v>3222</v>
      </c>
      <c r="E970" t="s">
        <v>1385</v>
      </c>
      <c r="F970" t="s">
        <v>104</v>
      </c>
      <c r="H970" t="s">
        <v>5762</v>
      </c>
    </row>
    <row r="971" spans="1:8">
      <c r="A971" t="s">
        <v>4121</v>
      </c>
      <c r="B971" s="24">
        <v>46178</v>
      </c>
      <c r="C971" s="27" t="s">
        <v>5797</v>
      </c>
      <c r="D971" s="27" t="s">
        <v>3222</v>
      </c>
      <c r="E971" t="s">
        <v>1386</v>
      </c>
      <c r="F971" t="s">
        <v>104</v>
      </c>
      <c r="H971" t="s">
        <v>5762</v>
      </c>
    </row>
    <row r="972" spans="1:8">
      <c r="A972" t="s">
        <v>4122</v>
      </c>
      <c r="B972" s="24">
        <v>46181</v>
      </c>
      <c r="C972" s="27" t="s">
        <v>5797</v>
      </c>
      <c r="D972" s="27" t="s">
        <v>3222</v>
      </c>
      <c r="E972" t="s">
        <v>1387</v>
      </c>
      <c r="F972" t="s">
        <v>104</v>
      </c>
      <c r="H972" t="s">
        <v>5762</v>
      </c>
    </row>
    <row r="973" spans="1:8">
      <c r="A973" t="s">
        <v>4123</v>
      </c>
      <c r="B973" s="24">
        <v>46182</v>
      </c>
      <c r="C973" s="27" t="s">
        <v>5797</v>
      </c>
      <c r="D973" s="27" t="s">
        <v>3222</v>
      </c>
      <c r="E973" t="s">
        <v>1388</v>
      </c>
      <c r="F973" t="s">
        <v>104</v>
      </c>
      <c r="H973" t="s">
        <v>5762</v>
      </c>
    </row>
    <row r="974" spans="1:8">
      <c r="A974" t="s">
        <v>4124</v>
      </c>
      <c r="B974" s="24">
        <v>46183</v>
      </c>
      <c r="C974" s="27" t="s">
        <v>5797</v>
      </c>
      <c r="D974" s="27" t="s">
        <v>3222</v>
      </c>
      <c r="E974" t="s">
        <v>1389</v>
      </c>
      <c r="F974" t="s">
        <v>104</v>
      </c>
      <c r="H974" t="s">
        <v>5762</v>
      </c>
    </row>
    <row r="975" spans="1:8">
      <c r="A975" t="s">
        <v>4125</v>
      </c>
      <c r="B975" s="24">
        <v>46184</v>
      </c>
      <c r="C975" s="27" t="s">
        <v>5797</v>
      </c>
      <c r="D975" s="27" t="s">
        <v>3222</v>
      </c>
      <c r="E975" t="s">
        <v>1390</v>
      </c>
      <c r="F975" t="s">
        <v>104</v>
      </c>
      <c r="H975" t="s">
        <v>5762</v>
      </c>
    </row>
    <row r="976" spans="1:8">
      <c r="A976" t="s">
        <v>4126</v>
      </c>
      <c r="B976" s="24">
        <v>46185</v>
      </c>
      <c r="C976" s="27" t="s">
        <v>5797</v>
      </c>
      <c r="D976" s="27" t="s">
        <v>3222</v>
      </c>
      <c r="E976" t="s">
        <v>1391</v>
      </c>
      <c r="F976" t="s">
        <v>104</v>
      </c>
      <c r="H976" t="s">
        <v>5762</v>
      </c>
    </row>
    <row r="977" spans="1:8">
      <c r="A977" t="s">
        <v>4127</v>
      </c>
      <c r="B977" s="24">
        <v>46174</v>
      </c>
      <c r="C977" s="27" t="s">
        <v>5797</v>
      </c>
      <c r="D977" s="27" t="s">
        <v>3222</v>
      </c>
      <c r="E977" t="s">
        <v>1392</v>
      </c>
      <c r="F977" t="s">
        <v>104</v>
      </c>
      <c r="H977" t="s">
        <v>5762</v>
      </c>
    </row>
    <row r="978" spans="1:8">
      <c r="A978" t="s">
        <v>4128</v>
      </c>
      <c r="B978" s="24">
        <v>46175</v>
      </c>
      <c r="C978" s="27" t="s">
        <v>5797</v>
      </c>
      <c r="D978" s="27" t="s">
        <v>3222</v>
      </c>
      <c r="E978" t="s">
        <v>1393</v>
      </c>
      <c r="F978" t="s">
        <v>104</v>
      </c>
      <c r="H978" t="s">
        <v>5762</v>
      </c>
    </row>
    <row r="979" spans="1:8">
      <c r="A979" t="s">
        <v>4129</v>
      </c>
      <c r="B979" s="24">
        <v>46176</v>
      </c>
      <c r="C979" s="27" t="s">
        <v>5797</v>
      </c>
      <c r="D979" s="27" t="s">
        <v>3222</v>
      </c>
      <c r="E979" t="s">
        <v>1394</v>
      </c>
      <c r="F979" t="s">
        <v>104</v>
      </c>
      <c r="H979" t="s">
        <v>5762</v>
      </c>
    </row>
    <row r="980" spans="1:8">
      <c r="A980" t="s">
        <v>4130</v>
      </c>
      <c r="B980" s="24">
        <v>46177</v>
      </c>
      <c r="C980" s="27" t="s">
        <v>5797</v>
      </c>
      <c r="D980" s="27" t="s">
        <v>3222</v>
      </c>
      <c r="E980" t="s">
        <v>1395</v>
      </c>
      <c r="F980" t="s">
        <v>104</v>
      </c>
      <c r="H980" t="s">
        <v>5762</v>
      </c>
    </row>
    <row r="981" spans="1:8">
      <c r="A981" t="s">
        <v>4131</v>
      </c>
      <c r="B981" s="24">
        <v>46178</v>
      </c>
      <c r="C981" s="27" t="s">
        <v>5797</v>
      </c>
      <c r="D981" s="27" t="s">
        <v>3222</v>
      </c>
      <c r="E981" t="s">
        <v>1396</v>
      </c>
      <c r="F981" t="s">
        <v>104</v>
      </c>
      <c r="H981" t="s">
        <v>5762</v>
      </c>
    </row>
    <row r="982" spans="1:8">
      <c r="A982" t="s">
        <v>4132</v>
      </c>
      <c r="B982" s="24">
        <v>46181</v>
      </c>
      <c r="C982" s="27" t="s">
        <v>5797</v>
      </c>
      <c r="D982" s="27" t="s">
        <v>3222</v>
      </c>
      <c r="E982" t="s">
        <v>1397</v>
      </c>
      <c r="F982" t="s">
        <v>104</v>
      </c>
      <c r="H982" t="s">
        <v>5762</v>
      </c>
    </row>
    <row r="983" spans="1:8">
      <c r="A983" t="s">
        <v>4133</v>
      </c>
      <c r="B983" s="24">
        <v>46182</v>
      </c>
      <c r="C983" s="27" t="s">
        <v>5797</v>
      </c>
      <c r="D983" s="27" t="s">
        <v>3222</v>
      </c>
      <c r="E983" t="s">
        <v>1398</v>
      </c>
      <c r="F983" t="s">
        <v>104</v>
      </c>
      <c r="H983" t="s">
        <v>5762</v>
      </c>
    </row>
    <row r="984" spans="1:8">
      <c r="A984" t="s">
        <v>4134</v>
      </c>
      <c r="B984" s="24">
        <v>46183</v>
      </c>
      <c r="C984" s="27" t="s">
        <v>5797</v>
      </c>
      <c r="D984" s="27" t="s">
        <v>3222</v>
      </c>
      <c r="E984" t="s">
        <v>1399</v>
      </c>
      <c r="F984" t="s">
        <v>104</v>
      </c>
      <c r="H984" t="s">
        <v>5762</v>
      </c>
    </row>
    <row r="985" spans="1:8">
      <c r="A985" t="s">
        <v>4135</v>
      </c>
      <c r="B985" s="24">
        <v>46184</v>
      </c>
      <c r="C985" s="27" t="s">
        <v>5797</v>
      </c>
      <c r="D985" s="27" t="s">
        <v>3222</v>
      </c>
      <c r="E985" t="s">
        <v>1400</v>
      </c>
      <c r="F985" t="s">
        <v>104</v>
      </c>
      <c r="H985" t="s">
        <v>5762</v>
      </c>
    </row>
    <row r="986" spans="1:8">
      <c r="A986" t="s">
        <v>4136</v>
      </c>
      <c r="B986" s="24">
        <v>46185</v>
      </c>
      <c r="C986" s="27" t="s">
        <v>5797</v>
      </c>
      <c r="D986" s="27" t="s">
        <v>3222</v>
      </c>
      <c r="E986" t="s">
        <v>1401</v>
      </c>
      <c r="F986" t="s">
        <v>104</v>
      </c>
      <c r="H986" t="s">
        <v>5762</v>
      </c>
    </row>
    <row r="987" spans="1:8">
      <c r="A987" t="s">
        <v>4137</v>
      </c>
      <c r="B987" s="24">
        <v>46174</v>
      </c>
      <c r="C987" s="27" t="s">
        <v>5797</v>
      </c>
      <c r="D987" s="27" t="s">
        <v>3222</v>
      </c>
      <c r="E987" t="s">
        <v>1402</v>
      </c>
      <c r="F987" t="s">
        <v>104</v>
      </c>
      <c r="H987" t="s">
        <v>5762</v>
      </c>
    </row>
    <row r="988" spans="1:8">
      <c r="A988" t="s">
        <v>4138</v>
      </c>
      <c r="B988" s="24">
        <v>46175</v>
      </c>
      <c r="C988" s="27" t="s">
        <v>5797</v>
      </c>
      <c r="D988" s="27" t="s">
        <v>3222</v>
      </c>
      <c r="E988" t="s">
        <v>1403</v>
      </c>
      <c r="F988" t="s">
        <v>104</v>
      </c>
      <c r="H988" t="s">
        <v>5762</v>
      </c>
    </row>
    <row r="989" spans="1:8">
      <c r="A989" t="s">
        <v>4139</v>
      </c>
      <c r="B989" s="24">
        <v>46176</v>
      </c>
      <c r="C989" s="27" t="s">
        <v>5797</v>
      </c>
      <c r="D989" s="27" t="s">
        <v>3222</v>
      </c>
      <c r="E989" t="s">
        <v>1404</v>
      </c>
      <c r="F989" t="s">
        <v>104</v>
      </c>
      <c r="H989" t="s">
        <v>5762</v>
      </c>
    </row>
    <row r="990" spans="1:8">
      <c r="A990" t="s">
        <v>4140</v>
      </c>
      <c r="B990" s="24">
        <v>46177</v>
      </c>
      <c r="C990" s="27" t="s">
        <v>5797</v>
      </c>
      <c r="D990" s="27" t="s">
        <v>3222</v>
      </c>
      <c r="E990" t="s">
        <v>1405</v>
      </c>
      <c r="F990" t="s">
        <v>104</v>
      </c>
      <c r="H990" t="s">
        <v>5762</v>
      </c>
    </row>
    <row r="991" spans="1:8">
      <c r="A991" t="s">
        <v>4141</v>
      </c>
      <c r="B991" s="24">
        <v>46178</v>
      </c>
      <c r="C991" s="27" t="s">
        <v>5797</v>
      </c>
      <c r="D991" s="27" t="s">
        <v>3222</v>
      </c>
      <c r="E991" t="s">
        <v>1406</v>
      </c>
      <c r="F991" t="s">
        <v>104</v>
      </c>
      <c r="H991" t="s">
        <v>5762</v>
      </c>
    </row>
    <row r="992" spans="1:8">
      <c r="A992" t="s">
        <v>4142</v>
      </c>
      <c r="B992" s="24">
        <v>46181</v>
      </c>
      <c r="C992" s="27" t="s">
        <v>5797</v>
      </c>
      <c r="D992" s="27" t="s">
        <v>3222</v>
      </c>
      <c r="E992" t="s">
        <v>1407</v>
      </c>
      <c r="F992" t="s">
        <v>104</v>
      </c>
      <c r="H992" t="s">
        <v>5762</v>
      </c>
    </row>
    <row r="993" spans="1:8">
      <c r="A993" t="s">
        <v>4143</v>
      </c>
      <c r="B993" s="24">
        <v>46182</v>
      </c>
      <c r="C993" s="27" t="s">
        <v>5797</v>
      </c>
      <c r="D993" s="27" t="s">
        <v>3222</v>
      </c>
      <c r="E993" t="s">
        <v>1408</v>
      </c>
      <c r="F993" t="s">
        <v>104</v>
      </c>
      <c r="H993" t="s">
        <v>5762</v>
      </c>
    </row>
    <row r="994" spans="1:8">
      <c r="A994" t="s">
        <v>4144</v>
      </c>
      <c r="B994" s="24">
        <v>46183</v>
      </c>
      <c r="C994" s="27" t="s">
        <v>5797</v>
      </c>
      <c r="D994" s="27" t="s">
        <v>3222</v>
      </c>
      <c r="E994" t="s">
        <v>1409</v>
      </c>
      <c r="F994" t="s">
        <v>104</v>
      </c>
      <c r="H994" t="s">
        <v>5762</v>
      </c>
    </row>
    <row r="995" spans="1:8">
      <c r="A995" t="s">
        <v>4145</v>
      </c>
      <c r="B995" s="24">
        <v>46184</v>
      </c>
      <c r="C995" s="27" t="s">
        <v>5797</v>
      </c>
      <c r="D995" s="27" t="s">
        <v>3222</v>
      </c>
      <c r="E995" t="s">
        <v>1410</v>
      </c>
      <c r="F995" t="s">
        <v>104</v>
      </c>
      <c r="H995" t="s">
        <v>5762</v>
      </c>
    </row>
    <row r="996" spans="1:8">
      <c r="A996" t="s">
        <v>4146</v>
      </c>
      <c r="B996" s="24">
        <v>46185</v>
      </c>
      <c r="C996" s="27" t="s">
        <v>5797</v>
      </c>
      <c r="D996" s="27" t="s">
        <v>3222</v>
      </c>
      <c r="E996" t="s">
        <v>1411</v>
      </c>
      <c r="F996" t="s">
        <v>104</v>
      </c>
      <c r="H996" t="s">
        <v>5762</v>
      </c>
    </row>
    <row r="997" spans="1:8">
      <c r="A997" t="s">
        <v>4147</v>
      </c>
      <c r="B997" s="24">
        <v>46174</v>
      </c>
      <c r="C997" s="27" t="s">
        <v>5797</v>
      </c>
      <c r="D997" s="27" t="s">
        <v>3222</v>
      </c>
      <c r="E997" t="s">
        <v>1412</v>
      </c>
      <c r="F997" t="s">
        <v>104</v>
      </c>
      <c r="H997" t="s">
        <v>5762</v>
      </c>
    </row>
    <row r="998" spans="1:8">
      <c r="A998" t="s">
        <v>4148</v>
      </c>
      <c r="B998" s="24">
        <v>46175</v>
      </c>
      <c r="C998" s="27" t="s">
        <v>5797</v>
      </c>
      <c r="D998" s="27" t="s">
        <v>3222</v>
      </c>
      <c r="E998" t="s">
        <v>1413</v>
      </c>
      <c r="F998" t="s">
        <v>104</v>
      </c>
      <c r="H998" t="s">
        <v>5762</v>
      </c>
    </row>
    <row r="999" spans="1:8">
      <c r="A999" t="s">
        <v>4149</v>
      </c>
      <c r="B999" s="24">
        <v>46176</v>
      </c>
      <c r="C999" s="27" t="s">
        <v>5797</v>
      </c>
      <c r="D999" s="27" t="s">
        <v>3222</v>
      </c>
      <c r="E999" t="s">
        <v>1414</v>
      </c>
      <c r="F999" t="s">
        <v>104</v>
      </c>
      <c r="H999" t="s">
        <v>5762</v>
      </c>
    </row>
    <row r="1000" spans="1:8">
      <c r="A1000" t="s">
        <v>4150</v>
      </c>
      <c r="B1000" s="24">
        <v>46177</v>
      </c>
      <c r="C1000" s="27" t="s">
        <v>5797</v>
      </c>
      <c r="D1000" s="27" t="s">
        <v>3222</v>
      </c>
      <c r="E1000" t="s">
        <v>1415</v>
      </c>
      <c r="F1000" t="s">
        <v>104</v>
      </c>
      <c r="H1000" t="s">
        <v>5762</v>
      </c>
    </row>
    <row r="1001" spans="1:8">
      <c r="A1001" t="s">
        <v>4151</v>
      </c>
      <c r="B1001" s="24">
        <v>46178</v>
      </c>
      <c r="C1001" s="27" t="s">
        <v>5797</v>
      </c>
      <c r="D1001" s="27" t="s">
        <v>3222</v>
      </c>
      <c r="E1001" t="s">
        <v>1416</v>
      </c>
      <c r="F1001" t="s">
        <v>104</v>
      </c>
      <c r="H1001" t="s">
        <v>5762</v>
      </c>
    </row>
    <row r="1002" spans="1:8">
      <c r="A1002" t="s">
        <v>186</v>
      </c>
      <c r="B1002" s="24">
        <v>46181</v>
      </c>
      <c r="C1002" s="27" t="s">
        <v>5797</v>
      </c>
      <c r="D1002" s="27" t="s">
        <v>3222</v>
      </c>
      <c r="E1002" t="s">
        <v>1417</v>
      </c>
      <c r="F1002" t="s">
        <v>104</v>
      </c>
      <c r="H1002" t="s">
        <v>5762</v>
      </c>
    </row>
    <row r="1003" spans="1:8">
      <c r="A1003" t="s">
        <v>187</v>
      </c>
      <c r="B1003" s="24">
        <v>46182</v>
      </c>
      <c r="C1003" s="27" t="s">
        <v>5797</v>
      </c>
      <c r="D1003" s="27" t="s">
        <v>3222</v>
      </c>
      <c r="E1003" t="s">
        <v>1418</v>
      </c>
      <c r="F1003" t="s">
        <v>104</v>
      </c>
      <c r="H1003" t="s">
        <v>5762</v>
      </c>
    </row>
    <row r="1004" spans="1:8">
      <c r="A1004" t="s">
        <v>188</v>
      </c>
      <c r="B1004" s="24">
        <v>46183</v>
      </c>
      <c r="C1004" s="27" t="s">
        <v>5797</v>
      </c>
      <c r="D1004" s="27" t="s">
        <v>3222</v>
      </c>
      <c r="E1004" t="s">
        <v>1419</v>
      </c>
      <c r="F1004" t="s">
        <v>104</v>
      </c>
      <c r="H1004" t="s">
        <v>5762</v>
      </c>
    </row>
    <row r="1005" spans="1:8">
      <c r="A1005" t="s">
        <v>189</v>
      </c>
      <c r="B1005" s="24">
        <v>46184</v>
      </c>
      <c r="C1005" s="27" t="s">
        <v>5797</v>
      </c>
      <c r="D1005" s="27" t="s">
        <v>3222</v>
      </c>
      <c r="E1005" t="s">
        <v>1420</v>
      </c>
      <c r="F1005" t="s">
        <v>104</v>
      </c>
      <c r="H1005" t="s">
        <v>5762</v>
      </c>
    </row>
    <row r="1006" spans="1:8">
      <c r="A1006" t="s">
        <v>190</v>
      </c>
      <c r="B1006" s="24">
        <v>46185</v>
      </c>
      <c r="C1006" s="27" t="s">
        <v>5797</v>
      </c>
      <c r="D1006" s="27" t="s">
        <v>3222</v>
      </c>
      <c r="E1006" t="s">
        <v>1421</v>
      </c>
      <c r="F1006" t="s">
        <v>104</v>
      </c>
      <c r="H1006" t="s">
        <v>5762</v>
      </c>
    </row>
    <row r="1007" spans="1:8">
      <c r="A1007" t="s">
        <v>191</v>
      </c>
      <c r="B1007" s="24">
        <v>46174</v>
      </c>
      <c r="C1007" s="27" t="s">
        <v>5797</v>
      </c>
      <c r="D1007" s="27" t="s">
        <v>3222</v>
      </c>
      <c r="E1007" t="s">
        <v>1422</v>
      </c>
      <c r="F1007" t="s">
        <v>104</v>
      </c>
      <c r="H1007" t="s">
        <v>5762</v>
      </c>
    </row>
    <row r="1008" spans="1:8">
      <c r="A1008" t="s">
        <v>192</v>
      </c>
      <c r="B1008" s="24">
        <v>46175</v>
      </c>
      <c r="C1008" s="27" t="s">
        <v>5797</v>
      </c>
      <c r="D1008" s="27" t="s">
        <v>3222</v>
      </c>
      <c r="E1008" t="s">
        <v>1423</v>
      </c>
      <c r="F1008" t="s">
        <v>104</v>
      </c>
      <c r="H1008" t="s">
        <v>5762</v>
      </c>
    </row>
    <row r="1009" spans="1:8">
      <c r="A1009" t="s">
        <v>193</v>
      </c>
      <c r="B1009" s="24">
        <v>46176</v>
      </c>
      <c r="C1009" s="27" t="s">
        <v>5797</v>
      </c>
      <c r="D1009" s="27" t="s">
        <v>3222</v>
      </c>
      <c r="E1009" t="s">
        <v>1424</v>
      </c>
      <c r="F1009" t="s">
        <v>104</v>
      </c>
      <c r="H1009" t="s">
        <v>5762</v>
      </c>
    </row>
    <row r="1010" spans="1:8">
      <c r="A1010" t="s">
        <v>194</v>
      </c>
      <c r="B1010" s="24">
        <v>46177</v>
      </c>
      <c r="C1010" s="27" t="s">
        <v>5797</v>
      </c>
      <c r="D1010" s="27" t="s">
        <v>3222</v>
      </c>
      <c r="E1010" t="s">
        <v>1425</v>
      </c>
      <c r="F1010" t="s">
        <v>104</v>
      </c>
      <c r="H1010" t="s">
        <v>5762</v>
      </c>
    </row>
    <row r="1011" spans="1:8">
      <c r="A1011" t="s">
        <v>195</v>
      </c>
      <c r="B1011" s="24">
        <v>46178</v>
      </c>
      <c r="C1011" s="27" t="s">
        <v>5797</v>
      </c>
      <c r="D1011" s="27" t="s">
        <v>3222</v>
      </c>
      <c r="E1011" t="s">
        <v>1426</v>
      </c>
      <c r="F1011" t="s">
        <v>104</v>
      </c>
      <c r="G1011" t="s">
        <v>105</v>
      </c>
      <c r="H1011">
        <v>0</v>
      </c>
    </row>
    <row r="1012" spans="1:8">
      <c r="A1012" t="s">
        <v>196</v>
      </c>
      <c r="B1012" s="24">
        <v>46181</v>
      </c>
      <c r="C1012" s="27" t="s">
        <v>5797</v>
      </c>
      <c r="D1012" s="27" t="s">
        <v>3223</v>
      </c>
      <c r="E1012" t="s">
        <v>1427</v>
      </c>
      <c r="F1012" t="s">
        <v>104</v>
      </c>
      <c r="G1012" t="s">
        <v>105</v>
      </c>
      <c r="H1012">
        <v>0</v>
      </c>
    </row>
    <row r="1013" spans="1:8">
      <c r="A1013" t="s">
        <v>197</v>
      </c>
      <c r="B1013" s="24">
        <v>46182</v>
      </c>
      <c r="C1013" s="27" t="s">
        <v>5797</v>
      </c>
      <c r="D1013" s="27" t="s">
        <v>3223</v>
      </c>
      <c r="E1013" t="s">
        <v>1428</v>
      </c>
      <c r="F1013" t="s">
        <v>104</v>
      </c>
      <c r="G1013" t="s">
        <v>105</v>
      </c>
      <c r="H1013">
        <v>0</v>
      </c>
    </row>
    <row r="1014" spans="1:8">
      <c r="A1014" t="s">
        <v>198</v>
      </c>
      <c r="B1014" s="24">
        <v>46183</v>
      </c>
      <c r="C1014" s="27" t="s">
        <v>5797</v>
      </c>
      <c r="D1014" s="27" t="s">
        <v>3223</v>
      </c>
      <c r="E1014" t="s">
        <v>1429</v>
      </c>
      <c r="F1014" t="s">
        <v>104</v>
      </c>
      <c r="G1014" t="s">
        <v>105</v>
      </c>
      <c r="H1014">
        <v>0</v>
      </c>
    </row>
    <row r="1015" spans="1:8">
      <c r="A1015" t="s">
        <v>199</v>
      </c>
      <c r="B1015" s="24">
        <v>46184</v>
      </c>
      <c r="C1015" s="27" t="s">
        <v>5797</v>
      </c>
      <c r="D1015" s="27" t="s">
        <v>3223</v>
      </c>
      <c r="E1015" t="s">
        <v>1430</v>
      </c>
      <c r="F1015" t="s">
        <v>104</v>
      </c>
      <c r="G1015" t="s">
        <v>105</v>
      </c>
      <c r="H1015">
        <v>0</v>
      </c>
    </row>
    <row r="1016" spans="1:8">
      <c r="A1016" t="s">
        <v>200</v>
      </c>
      <c r="B1016" s="24">
        <v>46185</v>
      </c>
      <c r="C1016" s="27" t="s">
        <v>5797</v>
      </c>
      <c r="D1016" s="27" t="s">
        <v>3223</v>
      </c>
      <c r="E1016" t="s">
        <v>1431</v>
      </c>
      <c r="F1016" t="s">
        <v>104</v>
      </c>
      <c r="G1016" t="s">
        <v>105</v>
      </c>
      <c r="H1016">
        <v>0</v>
      </c>
    </row>
    <row r="1017" spans="1:8">
      <c r="A1017" t="s">
        <v>201</v>
      </c>
      <c r="B1017" s="24">
        <v>46174</v>
      </c>
      <c r="C1017" s="27" t="s">
        <v>5797</v>
      </c>
      <c r="D1017" s="27" t="s">
        <v>3223</v>
      </c>
      <c r="E1017" t="s">
        <v>1432</v>
      </c>
      <c r="F1017" t="s">
        <v>104</v>
      </c>
      <c r="G1017" t="s">
        <v>105</v>
      </c>
      <c r="H1017">
        <v>0</v>
      </c>
    </row>
    <row r="1018" spans="1:8">
      <c r="A1018" t="s">
        <v>202</v>
      </c>
      <c r="B1018" s="24">
        <v>46175</v>
      </c>
      <c r="C1018" s="27" t="s">
        <v>5797</v>
      </c>
      <c r="D1018" s="27" t="s">
        <v>3223</v>
      </c>
      <c r="E1018" t="s">
        <v>1433</v>
      </c>
      <c r="F1018" t="s">
        <v>104</v>
      </c>
      <c r="G1018" t="s">
        <v>105</v>
      </c>
      <c r="H1018">
        <v>0</v>
      </c>
    </row>
    <row r="1019" spans="1:8">
      <c r="A1019" t="s">
        <v>203</v>
      </c>
      <c r="B1019" s="24">
        <v>46176</v>
      </c>
      <c r="C1019" s="27" t="s">
        <v>5797</v>
      </c>
      <c r="D1019" s="27" t="s">
        <v>3223</v>
      </c>
      <c r="E1019" t="s">
        <v>1434</v>
      </c>
      <c r="F1019" t="s">
        <v>104</v>
      </c>
      <c r="G1019" t="s">
        <v>105</v>
      </c>
      <c r="H1019">
        <v>0</v>
      </c>
    </row>
    <row r="1020" spans="1:8">
      <c r="A1020" t="s">
        <v>204</v>
      </c>
      <c r="B1020" s="24">
        <v>46177</v>
      </c>
      <c r="C1020" s="27" t="s">
        <v>5797</v>
      </c>
      <c r="D1020" s="27" t="s">
        <v>3223</v>
      </c>
      <c r="E1020" t="s">
        <v>1435</v>
      </c>
      <c r="F1020" t="s">
        <v>104</v>
      </c>
      <c r="G1020" t="s">
        <v>105</v>
      </c>
      <c r="H1020">
        <v>0</v>
      </c>
    </row>
    <row r="1021" spans="1:8">
      <c r="A1021" t="s">
        <v>205</v>
      </c>
      <c r="B1021" s="24">
        <v>46178</v>
      </c>
      <c r="C1021" s="27" t="s">
        <v>5797</v>
      </c>
      <c r="D1021" s="27" t="s">
        <v>3223</v>
      </c>
      <c r="E1021" t="s">
        <v>1436</v>
      </c>
      <c r="F1021" t="s">
        <v>104</v>
      </c>
      <c r="G1021" t="s">
        <v>105</v>
      </c>
      <c r="H1021">
        <v>0</v>
      </c>
    </row>
    <row r="1022" spans="1:8">
      <c r="A1022" t="s">
        <v>206</v>
      </c>
      <c r="B1022" s="24">
        <v>46181</v>
      </c>
      <c r="C1022" s="27" t="s">
        <v>5797</v>
      </c>
      <c r="D1022" s="27" t="s">
        <v>3223</v>
      </c>
      <c r="E1022" t="s">
        <v>1437</v>
      </c>
      <c r="F1022" t="s">
        <v>104</v>
      </c>
      <c r="G1022" t="s">
        <v>105</v>
      </c>
      <c r="H1022">
        <v>0</v>
      </c>
    </row>
    <row r="1023" spans="1:8">
      <c r="A1023" t="s">
        <v>207</v>
      </c>
      <c r="B1023" s="24">
        <v>46182</v>
      </c>
      <c r="C1023" s="27" t="s">
        <v>5797</v>
      </c>
      <c r="D1023" s="27" t="s">
        <v>3223</v>
      </c>
      <c r="E1023" t="s">
        <v>1438</v>
      </c>
      <c r="F1023" t="s">
        <v>104</v>
      </c>
      <c r="G1023" t="s">
        <v>105</v>
      </c>
      <c r="H1023">
        <v>0</v>
      </c>
    </row>
    <row r="1024" spans="1:8">
      <c r="A1024" t="s">
        <v>208</v>
      </c>
      <c r="B1024" s="24">
        <v>46183</v>
      </c>
      <c r="C1024" s="27" t="s">
        <v>5797</v>
      </c>
      <c r="D1024" s="27" t="s">
        <v>3223</v>
      </c>
      <c r="E1024" t="s">
        <v>1439</v>
      </c>
      <c r="F1024" t="s">
        <v>104</v>
      </c>
      <c r="G1024" t="s">
        <v>105</v>
      </c>
      <c r="H1024">
        <v>0</v>
      </c>
    </row>
    <row r="1025" spans="1:8">
      <c r="A1025" t="s">
        <v>209</v>
      </c>
      <c r="B1025" s="24">
        <v>46184</v>
      </c>
      <c r="C1025" s="27" t="s">
        <v>5797</v>
      </c>
      <c r="D1025" s="27" t="s">
        <v>3223</v>
      </c>
      <c r="E1025" t="s">
        <v>1440</v>
      </c>
      <c r="F1025" t="s">
        <v>104</v>
      </c>
      <c r="G1025" t="s">
        <v>105</v>
      </c>
      <c r="H1025">
        <v>0</v>
      </c>
    </row>
    <row r="1026" spans="1:8">
      <c r="A1026" t="s">
        <v>210</v>
      </c>
      <c r="B1026" s="24">
        <v>46185</v>
      </c>
      <c r="C1026" s="27" t="s">
        <v>5797</v>
      </c>
      <c r="D1026" s="27" t="s">
        <v>3223</v>
      </c>
      <c r="E1026" t="s">
        <v>1441</v>
      </c>
      <c r="F1026" t="s">
        <v>104</v>
      </c>
      <c r="G1026" t="s">
        <v>105</v>
      </c>
      <c r="H1026">
        <v>0</v>
      </c>
    </row>
    <row r="1027" spans="1:8">
      <c r="A1027" t="s">
        <v>211</v>
      </c>
      <c r="B1027" s="24">
        <v>46174</v>
      </c>
      <c r="C1027" s="27" t="s">
        <v>5797</v>
      </c>
      <c r="D1027" s="27" t="s">
        <v>3223</v>
      </c>
      <c r="E1027" t="s">
        <v>1442</v>
      </c>
      <c r="F1027" t="s">
        <v>104</v>
      </c>
      <c r="G1027" t="s">
        <v>105</v>
      </c>
      <c r="H1027">
        <v>0</v>
      </c>
    </row>
    <row r="1028" spans="1:8">
      <c r="A1028" t="s">
        <v>212</v>
      </c>
      <c r="B1028" s="24">
        <v>46175</v>
      </c>
      <c r="C1028" s="27" t="s">
        <v>5797</v>
      </c>
      <c r="D1028" s="27" t="s">
        <v>3223</v>
      </c>
      <c r="E1028" t="s">
        <v>1443</v>
      </c>
      <c r="F1028" t="s">
        <v>104</v>
      </c>
      <c r="G1028" t="s">
        <v>105</v>
      </c>
      <c r="H1028">
        <v>0</v>
      </c>
    </row>
    <row r="1029" spans="1:8">
      <c r="A1029" t="s">
        <v>213</v>
      </c>
      <c r="B1029" s="24">
        <v>46176</v>
      </c>
      <c r="C1029" s="27" t="s">
        <v>5797</v>
      </c>
      <c r="D1029" s="27" t="s">
        <v>3223</v>
      </c>
      <c r="E1029" t="s">
        <v>1444</v>
      </c>
      <c r="F1029" t="s">
        <v>104</v>
      </c>
      <c r="G1029" t="s">
        <v>105</v>
      </c>
      <c r="H1029">
        <v>0</v>
      </c>
    </row>
    <row r="1030" spans="1:8">
      <c r="A1030" t="s">
        <v>214</v>
      </c>
      <c r="B1030" s="24">
        <v>46177</v>
      </c>
      <c r="C1030" s="27" t="s">
        <v>5797</v>
      </c>
      <c r="D1030" s="27" t="s">
        <v>3223</v>
      </c>
      <c r="E1030" t="s">
        <v>1445</v>
      </c>
      <c r="F1030" t="s">
        <v>104</v>
      </c>
      <c r="G1030" t="s">
        <v>105</v>
      </c>
      <c r="H1030">
        <v>0</v>
      </c>
    </row>
    <row r="1031" spans="1:8">
      <c r="A1031" t="s">
        <v>215</v>
      </c>
      <c r="B1031" s="24">
        <v>46178</v>
      </c>
      <c r="C1031" s="27" t="s">
        <v>5797</v>
      </c>
      <c r="D1031" s="27" t="s">
        <v>3223</v>
      </c>
      <c r="E1031" t="s">
        <v>1446</v>
      </c>
      <c r="F1031" t="s">
        <v>104</v>
      </c>
      <c r="G1031" t="s">
        <v>105</v>
      </c>
      <c r="H1031">
        <v>0</v>
      </c>
    </row>
    <row r="1032" spans="1:8">
      <c r="A1032" t="s">
        <v>216</v>
      </c>
      <c r="B1032" s="24">
        <v>46181</v>
      </c>
      <c r="C1032" s="27" t="s">
        <v>5797</v>
      </c>
      <c r="D1032" s="27" t="s">
        <v>3223</v>
      </c>
      <c r="E1032" t="s">
        <v>1447</v>
      </c>
      <c r="F1032" t="s">
        <v>104</v>
      </c>
      <c r="G1032" t="s">
        <v>105</v>
      </c>
      <c r="H1032">
        <v>0</v>
      </c>
    </row>
    <row r="1033" spans="1:8">
      <c r="A1033" t="s">
        <v>217</v>
      </c>
      <c r="B1033" s="24">
        <v>46182</v>
      </c>
      <c r="C1033" s="27" t="s">
        <v>5797</v>
      </c>
      <c r="D1033" s="27" t="s">
        <v>3223</v>
      </c>
      <c r="E1033" t="s">
        <v>1448</v>
      </c>
      <c r="F1033" t="s">
        <v>104</v>
      </c>
      <c r="G1033" t="s">
        <v>105</v>
      </c>
      <c r="H1033">
        <v>0</v>
      </c>
    </row>
    <row r="1034" spans="1:8">
      <c r="A1034" t="s">
        <v>218</v>
      </c>
      <c r="B1034" s="24">
        <v>46183</v>
      </c>
      <c r="C1034" s="27" t="s">
        <v>5797</v>
      </c>
      <c r="D1034" s="27" t="s">
        <v>3223</v>
      </c>
      <c r="E1034" t="s">
        <v>1449</v>
      </c>
      <c r="F1034" t="s">
        <v>104</v>
      </c>
      <c r="G1034" t="s">
        <v>105</v>
      </c>
      <c r="H1034">
        <v>0</v>
      </c>
    </row>
    <row r="1035" spans="1:8">
      <c r="A1035" t="s">
        <v>219</v>
      </c>
      <c r="B1035" s="24">
        <v>46184</v>
      </c>
      <c r="C1035" s="27" t="s">
        <v>5797</v>
      </c>
      <c r="D1035" s="27" t="s">
        <v>3223</v>
      </c>
      <c r="E1035" t="s">
        <v>1450</v>
      </c>
      <c r="F1035" t="s">
        <v>104</v>
      </c>
      <c r="G1035" t="s">
        <v>105</v>
      </c>
      <c r="H1035">
        <v>0</v>
      </c>
    </row>
    <row r="1036" spans="1:8">
      <c r="A1036" t="s">
        <v>220</v>
      </c>
      <c r="B1036" s="24">
        <v>46185</v>
      </c>
      <c r="C1036" s="27" t="s">
        <v>5797</v>
      </c>
      <c r="D1036" s="27" t="s">
        <v>3223</v>
      </c>
      <c r="E1036" t="s">
        <v>1451</v>
      </c>
      <c r="F1036" t="s">
        <v>104</v>
      </c>
      <c r="G1036" t="s">
        <v>105</v>
      </c>
      <c r="H1036">
        <v>0</v>
      </c>
    </row>
    <row r="1037" spans="1:8">
      <c r="A1037" t="s">
        <v>221</v>
      </c>
      <c r="B1037" s="24">
        <v>46174</v>
      </c>
      <c r="C1037" s="27" t="s">
        <v>5797</v>
      </c>
      <c r="D1037" s="27" t="s">
        <v>3223</v>
      </c>
      <c r="E1037" t="s">
        <v>1452</v>
      </c>
      <c r="F1037" t="s">
        <v>104</v>
      </c>
      <c r="G1037" t="s">
        <v>105</v>
      </c>
      <c r="H1037">
        <v>0</v>
      </c>
    </row>
    <row r="1038" spans="1:8">
      <c r="A1038" t="s">
        <v>222</v>
      </c>
      <c r="B1038" s="24">
        <v>46175</v>
      </c>
      <c r="C1038" s="27" t="s">
        <v>5797</v>
      </c>
      <c r="D1038" s="27" t="s">
        <v>3223</v>
      </c>
      <c r="E1038" t="s">
        <v>1453</v>
      </c>
      <c r="F1038" t="s">
        <v>104</v>
      </c>
      <c r="G1038" t="s">
        <v>105</v>
      </c>
      <c r="H1038">
        <v>0</v>
      </c>
    </row>
    <row r="1039" spans="1:8">
      <c r="A1039" t="s">
        <v>223</v>
      </c>
      <c r="B1039" s="24">
        <v>46176</v>
      </c>
      <c r="C1039" s="27" t="s">
        <v>5797</v>
      </c>
      <c r="D1039" s="27" t="s">
        <v>3223</v>
      </c>
      <c r="E1039" t="s">
        <v>1454</v>
      </c>
      <c r="F1039" t="s">
        <v>104</v>
      </c>
      <c r="G1039" t="s">
        <v>105</v>
      </c>
      <c r="H1039">
        <v>0</v>
      </c>
    </row>
    <row r="1040" spans="1:8">
      <c r="A1040" t="s">
        <v>224</v>
      </c>
      <c r="B1040" s="24">
        <v>46177</v>
      </c>
      <c r="C1040" s="27" t="s">
        <v>5797</v>
      </c>
      <c r="D1040" s="27" t="s">
        <v>3223</v>
      </c>
      <c r="E1040" t="s">
        <v>1455</v>
      </c>
      <c r="F1040" t="s">
        <v>104</v>
      </c>
      <c r="G1040" t="s">
        <v>105</v>
      </c>
      <c r="H1040">
        <v>0</v>
      </c>
    </row>
    <row r="1041" spans="1:8">
      <c r="A1041" t="s">
        <v>225</v>
      </c>
      <c r="B1041" s="24">
        <v>46178</v>
      </c>
      <c r="C1041" s="27" t="s">
        <v>5797</v>
      </c>
      <c r="D1041" s="27" t="s">
        <v>3223</v>
      </c>
      <c r="E1041" t="s">
        <v>1456</v>
      </c>
      <c r="F1041" t="s">
        <v>104</v>
      </c>
      <c r="G1041" t="s">
        <v>105</v>
      </c>
      <c r="H1041">
        <v>0</v>
      </c>
    </row>
    <row r="1042" spans="1:8">
      <c r="A1042" t="s">
        <v>226</v>
      </c>
      <c r="B1042" s="24">
        <v>46181</v>
      </c>
      <c r="C1042" s="27" t="s">
        <v>5797</v>
      </c>
      <c r="D1042" s="27" t="s">
        <v>3223</v>
      </c>
      <c r="E1042" t="s">
        <v>1457</v>
      </c>
      <c r="F1042" t="s">
        <v>104</v>
      </c>
      <c r="G1042" t="s">
        <v>105</v>
      </c>
      <c r="H1042">
        <v>0</v>
      </c>
    </row>
    <row r="1043" spans="1:8">
      <c r="A1043" t="s">
        <v>227</v>
      </c>
      <c r="B1043" s="24">
        <v>46182</v>
      </c>
      <c r="C1043" s="27" t="s">
        <v>5797</v>
      </c>
      <c r="D1043" s="27" t="s">
        <v>3223</v>
      </c>
      <c r="E1043" t="s">
        <v>1458</v>
      </c>
      <c r="F1043" t="s">
        <v>104</v>
      </c>
      <c r="G1043" t="s">
        <v>105</v>
      </c>
      <c r="H1043">
        <v>0</v>
      </c>
    </row>
    <row r="1044" spans="1:8">
      <c r="A1044" t="s">
        <v>228</v>
      </c>
      <c r="B1044" s="24">
        <v>46183</v>
      </c>
      <c r="C1044" s="27" t="s">
        <v>5797</v>
      </c>
      <c r="D1044" s="27" t="s">
        <v>3223</v>
      </c>
      <c r="E1044" t="s">
        <v>1459</v>
      </c>
      <c r="F1044" t="s">
        <v>104</v>
      </c>
      <c r="G1044" t="s">
        <v>105</v>
      </c>
      <c r="H1044">
        <v>0</v>
      </c>
    </row>
    <row r="1045" spans="1:8">
      <c r="A1045" t="s">
        <v>229</v>
      </c>
      <c r="B1045" s="24">
        <v>46184</v>
      </c>
      <c r="C1045" s="27" t="s">
        <v>5797</v>
      </c>
      <c r="D1045" s="27" t="s">
        <v>3223</v>
      </c>
      <c r="E1045" t="s">
        <v>1460</v>
      </c>
      <c r="F1045" t="s">
        <v>104</v>
      </c>
      <c r="G1045" t="s">
        <v>105</v>
      </c>
      <c r="H1045">
        <v>0</v>
      </c>
    </row>
    <row r="1046" spans="1:8">
      <c r="A1046" t="s">
        <v>230</v>
      </c>
      <c r="B1046" s="24">
        <v>46185</v>
      </c>
      <c r="C1046" s="27" t="s">
        <v>5797</v>
      </c>
      <c r="D1046" s="27" t="s">
        <v>3223</v>
      </c>
      <c r="E1046" t="s">
        <v>1461</v>
      </c>
      <c r="F1046" t="s">
        <v>104</v>
      </c>
      <c r="G1046" t="s">
        <v>105</v>
      </c>
      <c r="H1046">
        <v>0</v>
      </c>
    </row>
    <row r="1047" spans="1:8">
      <c r="A1047" t="s">
        <v>231</v>
      </c>
      <c r="B1047" s="24">
        <v>46174</v>
      </c>
      <c r="C1047" s="27" t="s">
        <v>5797</v>
      </c>
      <c r="D1047" s="27" t="s">
        <v>3223</v>
      </c>
      <c r="E1047" t="s">
        <v>1462</v>
      </c>
      <c r="F1047" t="s">
        <v>104</v>
      </c>
      <c r="G1047" t="s">
        <v>105</v>
      </c>
      <c r="H1047">
        <v>0</v>
      </c>
    </row>
    <row r="1048" spans="1:8">
      <c r="A1048" t="s">
        <v>232</v>
      </c>
      <c r="B1048" s="24">
        <v>46175</v>
      </c>
      <c r="C1048" s="27" t="s">
        <v>5797</v>
      </c>
      <c r="D1048" s="27" t="s">
        <v>3223</v>
      </c>
      <c r="E1048" t="s">
        <v>1463</v>
      </c>
      <c r="F1048" t="s">
        <v>104</v>
      </c>
      <c r="G1048" t="s">
        <v>105</v>
      </c>
      <c r="H1048">
        <v>0</v>
      </c>
    </row>
    <row r="1049" spans="1:8">
      <c r="A1049" t="s">
        <v>233</v>
      </c>
      <c r="B1049" s="24">
        <v>46176</v>
      </c>
      <c r="C1049" s="27" t="s">
        <v>5797</v>
      </c>
      <c r="D1049" s="27" t="s">
        <v>3223</v>
      </c>
      <c r="E1049" t="s">
        <v>1464</v>
      </c>
      <c r="F1049" t="s">
        <v>104</v>
      </c>
      <c r="G1049" t="s">
        <v>105</v>
      </c>
      <c r="H1049">
        <v>0</v>
      </c>
    </row>
    <row r="1050" spans="1:8">
      <c r="A1050" t="s">
        <v>234</v>
      </c>
      <c r="B1050" s="24">
        <v>46177</v>
      </c>
      <c r="C1050" s="27" t="s">
        <v>5797</v>
      </c>
      <c r="D1050" s="27" t="s">
        <v>3223</v>
      </c>
      <c r="E1050" t="s">
        <v>1465</v>
      </c>
      <c r="F1050" t="s">
        <v>104</v>
      </c>
      <c r="G1050" t="s">
        <v>105</v>
      </c>
      <c r="H1050">
        <v>0</v>
      </c>
    </row>
    <row r="1051" spans="1:8">
      <c r="A1051" t="s">
        <v>235</v>
      </c>
      <c r="B1051" s="24">
        <v>46178</v>
      </c>
      <c r="C1051" s="27" t="s">
        <v>5797</v>
      </c>
      <c r="D1051" s="27" t="s">
        <v>3223</v>
      </c>
      <c r="E1051" t="s">
        <v>1466</v>
      </c>
      <c r="F1051" t="s">
        <v>104</v>
      </c>
      <c r="G1051" t="s">
        <v>105</v>
      </c>
      <c r="H1051">
        <v>0</v>
      </c>
    </row>
    <row r="1052" spans="1:8">
      <c r="A1052" t="s">
        <v>236</v>
      </c>
      <c r="B1052" s="24">
        <v>46181</v>
      </c>
      <c r="C1052" s="27" t="s">
        <v>5797</v>
      </c>
      <c r="D1052" s="27" t="s">
        <v>3223</v>
      </c>
      <c r="E1052" t="s">
        <v>1467</v>
      </c>
      <c r="F1052" t="s">
        <v>104</v>
      </c>
      <c r="G1052" t="s">
        <v>105</v>
      </c>
      <c r="H1052">
        <v>0</v>
      </c>
    </row>
    <row r="1053" spans="1:8">
      <c r="A1053" t="s">
        <v>237</v>
      </c>
      <c r="B1053" s="24">
        <v>46182</v>
      </c>
      <c r="C1053" s="27" t="s">
        <v>5797</v>
      </c>
      <c r="D1053" s="27" t="s">
        <v>3223</v>
      </c>
      <c r="E1053" t="s">
        <v>1468</v>
      </c>
      <c r="F1053" t="s">
        <v>104</v>
      </c>
      <c r="G1053" t="s">
        <v>105</v>
      </c>
      <c r="H1053">
        <v>0</v>
      </c>
    </row>
    <row r="1054" spans="1:8">
      <c r="A1054" t="s">
        <v>238</v>
      </c>
      <c r="B1054" s="24">
        <v>46183</v>
      </c>
      <c r="C1054" s="27" t="s">
        <v>5797</v>
      </c>
      <c r="D1054" s="27" t="s">
        <v>3223</v>
      </c>
      <c r="E1054" t="s">
        <v>1469</v>
      </c>
      <c r="F1054" t="s">
        <v>104</v>
      </c>
      <c r="G1054" t="s">
        <v>105</v>
      </c>
      <c r="H1054">
        <v>0</v>
      </c>
    </row>
    <row r="1055" spans="1:8">
      <c r="A1055" t="s">
        <v>239</v>
      </c>
      <c r="B1055" s="24">
        <v>46184</v>
      </c>
      <c r="C1055" s="27" t="s">
        <v>5797</v>
      </c>
      <c r="D1055" s="27" t="s">
        <v>3223</v>
      </c>
      <c r="E1055" t="s">
        <v>1470</v>
      </c>
      <c r="F1055" t="s">
        <v>104</v>
      </c>
      <c r="G1055" t="s">
        <v>105</v>
      </c>
      <c r="H1055">
        <v>0</v>
      </c>
    </row>
    <row r="1056" spans="1:8">
      <c r="A1056" t="s">
        <v>240</v>
      </c>
      <c r="B1056" s="24">
        <v>46185</v>
      </c>
      <c r="C1056" s="27" t="s">
        <v>5797</v>
      </c>
      <c r="D1056" s="27" t="s">
        <v>3223</v>
      </c>
      <c r="E1056" t="s">
        <v>1471</v>
      </c>
      <c r="F1056" t="s">
        <v>104</v>
      </c>
      <c r="G1056" t="s">
        <v>105</v>
      </c>
      <c r="H1056">
        <v>0</v>
      </c>
    </row>
    <row r="1057" spans="1:8">
      <c r="A1057" t="s">
        <v>241</v>
      </c>
      <c r="B1057" s="24">
        <v>46174</v>
      </c>
      <c r="C1057" s="27" t="s">
        <v>5797</v>
      </c>
      <c r="D1057" s="27" t="s">
        <v>3223</v>
      </c>
      <c r="E1057" t="s">
        <v>1472</v>
      </c>
      <c r="F1057" t="s">
        <v>104</v>
      </c>
      <c r="G1057" t="s">
        <v>105</v>
      </c>
      <c r="H1057">
        <v>0</v>
      </c>
    </row>
    <row r="1058" spans="1:8">
      <c r="A1058" t="s">
        <v>242</v>
      </c>
      <c r="B1058" s="24">
        <v>46175</v>
      </c>
      <c r="C1058" s="27" t="s">
        <v>5797</v>
      </c>
      <c r="D1058" s="27" t="s">
        <v>3223</v>
      </c>
      <c r="E1058" t="s">
        <v>1473</v>
      </c>
      <c r="F1058" t="s">
        <v>104</v>
      </c>
      <c r="G1058" t="s">
        <v>105</v>
      </c>
      <c r="H1058">
        <v>0</v>
      </c>
    </row>
    <row r="1059" spans="1:8">
      <c r="A1059" t="s">
        <v>243</v>
      </c>
      <c r="B1059" s="24">
        <v>46176</v>
      </c>
      <c r="C1059" s="27" t="s">
        <v>5797</v>
      </c>
      <c r="D1059" s="27" t="s">
        <v>3223</v>
      </c>
      <c r="E1059" t="s">
        <v>1474</v>
      </c>
      <c r="F1059" t="s">
        <v>104</v>
      </c>
      <c r="G1059" t="s">
        <v>105</v>
      </c>
      <c r="H1059">
        <v>0</v>
      </c>
    </row>
    <row r="1060" spans="1:8">
      <c r="A1060" t="s">
        <v>244</v>
      </c>
      <c r="B1060" s="24">
        <v>46177</v>
      </c>
      <c r="C1060" s="27" t="s">
        <v>5797</v>
      </c>
      <c r="D1060" s="27" t="s">
        <v>3223</v>
      </c>
      <c r="E1060" t="s">
        <v>1475</v>
      </c>
      <c r="F1060" t="s">
        <v>104</v>
      </c>
      <c r="G1060" t="s">
        <v>105</v>
      </c>
      <c r="H1060">
        <v>0</v>
      </c>
    </row>
    <row r="1061" spans="1:8">
      <c r="A1061" t="s">
        <v>245</v>
      </c>
      <c r="B1061" s="24">
        <v>46178</v>
      </c>
      <c r="C1061" s="27" t="s">
        <v>5797</v>
      </c>
      <c r="D1061" s="27" t="s">
        <v>3223</v>
      </c>
      <c r="E1061" t="s">
        <v>1476</v>
      </c>
      <c r="F1061" t="s">
        <v>104</v>
      </c>
      <c r="G1061" t="s">
        <v>105</v>
      </c>
      <c r="H1061">
        <v>0</v>
      </c>
    </row>
    <row r="1062" spans="1:8">
      <c r="A1062" t="s">
        <v>246</v>
      </c>
      <c r="B1062" s="24">
        <v>46181</v>
      </c>
      <c r="C1062" s="27" t="s">
        <v>5797</v>
      </c>
      <c r="D1062" s="27" t="s">
        <v>3223</v>
      </c>
      <c r="E1062" t="s">
        <v>1477</v>
      </c>
      <c r="F1062" t="s">
        <v>104</v>
      </c>
      <c r="G1062" t="s">
        <v>105</v>
      </c>
      <c r="H1062">
        <v>0</v>
      </c>
    </row>
    <row r="1063" spans="1:8">
      <c r="A1063" t="s">
        <v>247</v>
      </c>
      <c r="B1063" s="24">
        <v>46182</v>
      </c>
      <c r="C1063" s="27" t="s">
        <v>5797</v>
      </c>
      <c r="D1063" s="27" t="s">
        <v>3223</v>
      </c>
      <c r="E1063" t="s">
        <v>1478</v>
      </c>
      <c r="F1063" t="s">
        <v>104</v>
      </c>
      <c r="G1063" t="s">
        <v>105</v>
      </c>
      <c r="H1063">
        <v>0</v>
      </c>
    </row>
    <row r="1064" spans="1:8">
      <c r="A1064" t="s">
        <v>248</v>
      </c>
      <c r="B1064" s="24">
        <v>46183</v>
      </c>
      <c r="C1064" s="27" t="s">
        <v>5797</v>
      </c>
      <c r="D1064" s="27" t="s">
        <v>3223</v>
      </c>
      <c r="E1064" t="s">
        <v>1479</v>
      </c>
      <c r="F1064" t="s">
        <v>104</v>
      </c>
      <c r="G1064" t="s">
        <v>105</v>
      </c>
      <c r="H1064">
        <v>0</v>
      </c>
    </row>
    <row r="1065" spans="1:8">
      <c r="A1065" t="s">
        <v>249</v>
      </c>
      <c r="B1065" s="24">
        <v>46184</v>
      </c>
      <c r="C1065" s="27" t="s">
        <v>5797</v>
      </c>
      <c r="D1065" s="27" t="s">
        <v>3223</v>
      </c>
      <c r="E1065" t="s">
        <v>1480</v>
      </c>
      <c r="F1065" t="s">
        <v>104</v>
      </c>
      <c r="G1065" t="s">
        <v>105</v>
      </c>
      <c r="H1065">
        <v>0</v>
      </c>
    </row>
    <row r="1066" spans="1:8">
      <c r="A1066" t="s">
        <v>250</v>
      </c>
      <c r="B1066" s="24">
        <v>46185</v>
      </c>
      <c r="C1066" s="27" t="s">
        <v>5797</v>
      </c>
      <c r="D1066" s="27" t="s">
        <v>3223</v>
      </c>
      <c r="E1066" t="s">
        <v>1481</v>
      </c>
      <c r="F1066" t="s">
        <v>104</v>
      </c>
      <c r="G1066" t="s">
        <v>105</v>
      </c>
      <c r="H1066">
        <v>0</v>
      </c>
    </row>
    <row r="1067" spans="1:8">
      <c r="A1067" t="s">
        <v>251</v>
      </c>
      <c r="B1067" s="24">
        <v>46174</v>
      </c>
      <c r="C1067" s="27" t="s">
        <v>5797</v>
      </c>
      <c r="D1067" s="27" t="s">
        <v>3223</v>
      </c>
      <c r="E1067" t="s">
        <v>1482</v>
      </c>
      <c r="F1067" t="s">
        <v>104</v>
      </c>
      <c r="G1067" t="s">
        <v>105</v>
      </c>
      <c r="H1067">
        <v>0</v>
      </c>
    </row>
    <row r="1068" spans="1:8">
      <c r="A1068" t="s">
        <v>252</v>
      </c>
      <c r="B1068" s="24">
        <v>46175</v>
      </c>
      <c r="C1068" s="27" t="s">
        <v>5797</v>
      </c>
      <c r="D1068" s="27" t="s">
        <v>3223</v>
      </c>
      <c r="E1068" t="s">
        <v>1483</v>
      </c>
      <c r="F1068" t="s">
        <v>104</v>
      </c>
      <c r="G1068" t="s">
        <v>105</v>
      </c>
      <c r="H1068">
        <v>0</v>
      </c>
    </row>
    <row r="1069" spans="1:8">
      <c r="A1069" t="s">
        <v>253</v>
      </c>
      <c r="B1069" s="24">
        <v>46176</v>
      </c>
      <c r="C1069" s="27" t="s">
        <v>5797</v>
      </c>
      <c r="D1069" s="27" t="s">
        <v>3223</v>
      </c>
      <c r="E1069" t="s">
        <v>1484</v>
      </c>
      <c r="F1069" t="s">
        <v>104</v>
      </c>
      <c r="G1069" t="s">
        <v>105</v>
      </c>
      <c r="H1069">
        <v>0</v>
      </c>
    </row>
    <row r="1070" spans="1:8">
      <c r="A1070" t="s">
        <v>254</v>
      </c>
      <c r="B1070" s="24">
        <v>46177</v>
      </c>
      <c r="C1070" s="27" t="s">
        <v>5797</v>
      </c>
      <c r="D1070" s="27" t="s">
        <v>3223</v>
      </c>
      <c r="E1070" t="s">
        <v>1485</v>
      </c>
      <c r="F1070" t="s">
        <v>104</v>
      </c>
      <c r="G1070" t="s">
        <v>105</v>
      </c>
      <c r="H1070">
        <v>0</v>
      </c>
    </row>
    <row r="1071" spans="1:8">
      <c r="A1071" t="s">
        <v>255</v>
      </c>
      <c r="B1071" s="24">
        <v>46178</v>
      </c>
      <c r="C1071" s="27" t="s">
        <v>5797</v>
      </c>
      <c r="D1071" s="27" t="s">
        <v>3223</v>
      </c>
      <c r="E1071" t="s">
        <v>1486</v>
      </c>
      <c r="F1071" t="s">
        <v>104</v>
      </c>
      <c r="G1071" t="s">
        <v>105</v>
      </c>
      <c r="H1071">
        <v>0</v>
      </c>
    </row>
    <row r="1072" spans="1:8">
      <c r="A1072" t="s">
        <v>256</v>
      </c>
      <c r="B1072" s="24">
        <v>46181</v>
      </c>
      <c r="C1072" s="27" t="s">
        <v>5797</v>
      </c>
      <c r="D1072" s="27" t="s">
        <v>3223</v>
      </c>
      <c r="E1072" t="s">
        <v>1487</v>
      </c>
      <c r="F1072" t="s">
        <v>104</v>
      </c>
      <c r="G1072" t="s">
        <v>105</v>
      </c>
      <c r="H1072">
        <v>0</v>
      </c>
    </row>
    <row r="1073" spans="1:8">
      <c r="A1073" t="s">
        <v>257</v>
      </c>
      <c r="B1073" s="24">
        <v>46182</v>
      </c>
      <c r="C1073" s="27" t="s">
        <v>5797</v>
      </c>
      <c r="D1073" s="27" t="s">
        <v>3223</v>
      </c>
      <c r="E1073" t="s">
        <v>1488</v>
      </c>
      <c r="F1073" t="s">
        <v>104</v>
      </c>
      <c r="G1073" t="s">
        <v>105</v>
      </c>
      <c r="H1073">
        <v>0</v>
      </c>
    </row>
    <row r="1074" spans="1:8">
      <c r="A1074" t="s">
        <v>258</v>
      </c>
      <c r="B1074" s="24">
        <v>46183</v>
      </c>
      <c r="C1074" s="27" t="s">
        <v>5797</v>
      </c>
      <c r="D1074" s="27" t="s">
        <v>3223</v>
      </c>
      <c r="E1074" t="s">
        <v>1489</v>
      </c>
      <c r="F1074" t="s">
        <v>104</v>
      </c>
      <c r="G1074" t="s">
        <v>105</v>
      </c>
      <c r="H1074">
        <v>0</v>
      </c>
    </row>
    <row r="1075" spans="1:8">
      <c r="A1075" t="s">
        <v>259</v>
      </c>
      <c r="B1075" s="24">
        <v>46184</v>
      </c>
      <c r="C1075" s="27" t="s">
        <v>5797</v>
      </c>
      <c r="D1075" s="27" t="s">
        <v>3223</v>
      </c>
      <c r="E1075" t="s">
        <v>1490</v>
      </c>
      <c r="F1075" t="s">
        <v>104</v>
      </c>
      <c r="G1075" t="s">
        <v>105</v>
      </c>
      <c r="H1075">
        <v>0</v>
      </c>
    </row>
    <row r="1076" spans="1:8">
      <c r="A1076" t="s">
        <v>260</v>
      </c>
      <c r="B1076" s="24">
        <v>46185</v>
      </c>
      <c r="C1076" s="27" t="s">
        <v>5797</v>
      </c>
      <c r="D1076" s="27" t="s">
        <v>3223</v>
      </c>
      <c r="E1076" t="s">
        <v>1491</v>
      </c>
      <c r="F1076" t="s">
        <v>104</v>
      </c>
      <c r="G1076" t="s">
        <v>105</v>
      </c>
      <c r="H1076">
        <v>0</v>
      </c>
    </row>
    <row r="1077" spans="1:8">
      <c r="A1077" t="s">
        <v>261</v>
      </c>
      <c r="B1077" s="24">
        <v>46174</v>
      </c>
      <c r="C1077" s="27" t="s">
        <v>5797</v>
      </c>
      <c r="D1077" s="27" t="s">
        <v>3223</v>
      </c>
      <c r="E1077" t="s">
        <v>1492</v>
      </c>
      <c r="F1077" t="s">
        <v>104</v>
      </c>
      <c r="G1077" t="s">
        <v>105</v>
      </c>
      <c r="H1077">
        <v>0</v>
      </c>
    </row>
    <row r="1078" spans="1:8">
      <c r="A1078" t="s">
        <v>262</v>
      </c>
      <c r="B1078" s="24">
        <v>46175</v>
      </c>
      <c r="C1078" s="27" t="s">
        <v>5797</v>
      </c>
      <c r="D1078" s="27" t="s">
        <v>3223</v>
      </c>
      <c r="E1078" t="s">
        <v>1493</v>
      </c>
      <c r="F1078" t="s">
        <v>104</v>
      </c>
      <c r="G1078" t="s">
        <v>105</v>
      </c>
      <c r="H1078">
        <v>0</v>
      </c>
    </row>
    <row r="1079" spans="1:8">
      <c r="A1079" t="s">
        <v>263</v>
      </c>
      <c r="B1079" s="24">
        <v>46176</v>
      </c>
      <c r="C1079" s="27" t="s">
        <v>5797</v>
      </c>
      <c r="D1079" s="27" t="s">
        <v>3223</v>
      </c>
      <c r="E1079" t="s">
        <v>1494</v>
      </c>
      <c r="F1079" t="s">
        <v>104</v>
      </c>
      <c r="G1079" t="s">
        <v>105</v>
      </c>
      <c r="H1079">
        <v>0</v>
      </c>
    </row>
    <row r="1080" spans="1:8">
      <c r="A1080" t="s">
        <v>264</v>
      </c>
      <c r="B1080" s="24">
        <v>46177</v>
      </c>
      <c r="C1080" s="27" t="s">
        <v>5797</v>
      </c>
      <c r="D1080" s="27" t="s">
        <v>3223</v>
      </c>
      <c r="E1080" t="s">
        <v>1495</v>
      </c>
      <c r="F1080" t="s">
        <v>104</v>
      </c>
      <c r="G1080" t="s">
        <v>105</v>
      </c>
      <c r="H1080">
        <v>0</v>
      </c>
    </row>
    <row r="1081" spans="1:8">
      <c r="A1081" t="s">
        <v>265</v>
      </c>
      <c r="B1081" s="24">
        <v>46178</v>
      </c>
      <c r="C1081" s="27" t="s">
        <v>5797</v>
      </c>
      <c r="D1081" s="27" t="s">
        <v>3223</v>
      </c>
      <c r="E1081" t="s">
        <v>1496</v>
      </c>
      <c r="F1081" t="s">
        <v>104</v>
      </c>
      <c r="G1081" t="s">
        <v>105</v>
      </c>
      <c r="H1081">
        <v>0</v>
      </c>
    </row>
    <row r="1082" spans="1:8">
      <c r="A1082" t="s">
        <v>266</v>
      </c>
      <c r="B1082" s="24">
        <v>46181</v>
      </c>
      <c r="C1082" s="27" t="s">
        <v>5797</v>
      </c>
      <c r="D1082" s="27" t="s">
        <v>3223</v>
      </c>
      <c r="E1082" t="s">
        <v>1497</v>
      </c>
      <c r="F1082" t="s">
        <v>104</v>
      </c>
      <c r="G1082" t="s">
        <v>105</v>
      </c>
      <c r="H1082">
        <v>0</v>
      </c>
    </row>
    <row r="1083" spans="1:8">
      <c r="A1083" t="s">
        <v>267</v>
      </c>
      <c r="B1083" s="24">
        <v>46182</v>
      </c>
      <c r="C1083" s="27" t="s">
        <v>5797</v>
      </c>
      <c r="D1083" s="27" t="s">
        <v>3223</v>
      </c>
      <c r="E1083" t="s">
        <v>1498</v>
      </c>
      <c r="F1083" t="s">
        <v>104</v>
      </c>
      <c r="G1083" t="s">
        <v>105</v>
      </c>
      <c r="H1083">
        <v>0</v>
      </c>
    </row>
    <row r="1084" spans="1:8">
      <c r="A1084" t="s">
        <v>268</v>
      </c>
      <c r="B1084" s="24">
        <v>46183</v>
      </c>
      <c r="C1084" s="27" t="s">
        <v>5797</v>
      </c>
      <c r="D1084" s="27" t="s">
        <v>3223</v>
      </c>
      <c r="E1084" t="s">
        <v>1499</v>
      </c>
      <c r="F1084" t="s">
        <v>104</v>
      </c>
      <c r="G1084" t="s">
        <v>105</v>
      </c>
      <c r="H1084">
        <v>0</v>
      </c>
    </row>
    <row r="1085" spans="1:8">
      <c r="A1085" t="s">
        <v>269</v>
      </c>
      <c r="B1085" s="24">
        <v>46184</v>
      </c>
      <c r="C1085" s="27" t="s">
        <v>5797</v>
      </c>
      <c r="D1085" s="27" t="s">
        <v>3223</v>
      </c>
      <c r="E1085" t="s">
        <v>1500</v>
      </c>
      <c r="F1085" t="s">
        <v>104</v>
      </c>
      <c r="G1085" t="s">
        <v>105</v>
      </c>
      <c r="H1085">
        <v>0</v>
      </c>
    </row>
    <row r="1086" spans="1:8">
      <c r="A1086" t="s">
        <v>270</v>
      </c>
      <c r="B1086" s="24">
        <v>46185</v>
      </c>
      <c r="C1086" s="27" t="s">
        <v>5797</v>
      </c>
      <c r="D1086" s="27" t="s">
        <v>3223</v>
      </c>
      <c r="E1086" t="s">
        <v>1501</v>
      </c>
      <c r="F1086" t="s">
        <v>104</v>
      </c>
      <c r="G1086" t="s">
        <v>105</v>
      </c>
      <c r="H1086">
        <v>0</v>
      </c>
    </row>
    <row r="1087" spans="1:8">
      <c r="A1087" t="s">
        <v>271</v>
      </c>
      <c r="B1087" s="24">
        <v>46186</v>
      </c>
      <c r="C1087" s="27" t="s">
        <v>5797</v>
      </c>
      <c r="D1087" s="27" t="s">
        <v>3223</v>
      </c>
      <c r="E1087" t="s">
        <v>1502</v>
      </c>
      <c r="F1087" t="s">
        <v>104</v>
      </c>
      <c r="G1087" t="s">
        <v>105</v>
      </c>
      <c r="H1087">
        <v>0</v>
      </c>
    </row>
    <row r="1088" spans="1:8">
      <c r="A1088" t="s">
        <v>272</v>
      </c>
      <c r="B1088" s="24">
        <v>46187</v>
      </c>
      <c r="C1088" s="27" t="s">
        <v>5797</v>
      </c>
      <c r="D1088" s="27" t="s">
        <v>3223</v>
      </c>
      <c r="E1088" t="s">
        <v>1503</v>
      </c>
      <c r="F1088" t="s">
        <v>104</v>
      </c>
      <c r="G1088" t="s">
        <v>105</v>
      </c>
      <c r="H1088">
        <v>0</v>
      </c>
    </row>
    <row r="1089" spans="1:8">
      <c r="A1089" t="s">
        <v>273</v>
      </c>
      <c r="B1089" s="24">
        <v>46188</v>
      </c>
      <c r="C1089" s="27" t="s">
        <v>5797</v>
      </c>
      <c r="D1089" s="27" t="s">
        <v>3223</v>
      </c>
      <c r="E1089" t="s">
        <v>1504</v>
      </c>
      <c r="F1089" t="s">
        <v>104</v>
      </c>
      <c r="G1089" t="s">
        <v>105</v>
      </c>
      <c r="H1089">
        <v>0</v>
      </c>
    </row>
    <row r="1090" spans="1:8">
      <c r="A1090" t="s">
        <v>274</v>
      </c>
      <c r="B1090" s="24">
        <v>46189</v>
      </c>
      <c r="C1090" s="27" t="s">
        <v>5797</v>
      </c>
      <c r="D1090" s="27" t="s">
        <v>3223</v>
      </c>
      <c r="E1090" t="s">
        <v>1505</v>
      </c>
      <c r="F1090" t="s">
        <v>104</v>
      </c>
      <c r="G1090" t="s">
        <v>105</v>
      </c>
      <c r="H1090">
        <v>0</v>
      </c>
    </row>
    <row r="1091" spans="1:8">
      <c r="A1091" t="s">
        <v>275</v>
      </c>
      <c r="B1091" s="24">
        <v>46190</v>
      </c>
      <c r="C1091" s="27" t="s">
        <v>5797</v>
      </c>
      <c r="D1091" s="27" t="s">
        <v>3223</v>
      </c>
      <c r="E1091" t="s">
        <v>1506</v>
      </c>
      <c r="F1091" t="s">
        <v>104</v>
      </c>
      <c r="G1091" t="s">
        <v>105</v>
      </c>
      <c r="H1091">
        <v>0</v>
      </c>
    </row>
    <row r="1092" spans="1:8">
      <c r="A1092" t="s">
        <v>276</v>
      </c>
      <c r="B1092" s="24">
        <v>46174</v>
      </c>
      <c r="C1092" s="27" t="s">
        <v>5797</v>
      </c>
      <c r="D1092" s="27" t="s">
        <v>3223</v>
      </c>
      <c r="E1092" t="s">
        <v>1507</v>
      </c>
      <c r="F1092" t="s">
        <v>104</v>
      </c>
      <c r="G1092" t="s">
        <v>105</v>
      </c>
      <c r="H1092">
        <v>0</v>
      </c>
    </row>
    <row r="1093" spans="1:8">
      <c r="A1093" t="s">
        <v>277</v>
      </c>
      <c r="B1093" s="24">
        <v>46175</v>
      </c>
      <c r="C1093" s="27" t="s">
        <v>5797</v>
      </c>
      <c r="D1093" s="27" t="s">
        <v>3223</v>
      </c>
      <c r="E1093" t="s">
        <v>1508</v>
      </c>
      <c r="F1093" t="s">
        <v>104</v>
      </c>
      <c r="G1093" t="s">
        <v>105</v>
      </c>
      <c r="H1093">
        <v>0</v>
      </c>
    </row>
    <row r="1094" spans="1:8">
      <c r="A1094" t="s">
        <v>278</v>
      </c>
      <c r="B1094" s="24">
        <v>46176</v>
      </c>
      <c r="C1094" s="27" t="s">
        <v>5797</v>
      </c>
      <c r="D1094" s="27" t="s">
        <v>3223</v>
      </c>
      <c r="E1094" t="s">
        <v>1509</v>
      </c>
      <c r="F1094" t="s">
        <v>104</v>
      </c>
      <c r="G1094" t="s">
        <v>105</v>
      </c>
      <c r="H1094">
        <v>0</v>
      </c>
    </row>
    <row r="1095" spans="1:8">
      <c r="A1095" t="s">
        <v>279</v>
      </c>
      <c r="B1095" s="24">
        <v>46177</v>
      </c>
      <c r="C1095" s="27" t="s">
        <v>5797</v>
      </c>
      <c r="D1095" s="27" t="s">
        <v>3223</v>
      </c>
      <c r="E1095" t="s">
        <v>1510</v>
      </c>
      <c r="F1095" t="s">
        <v>104</v>
      </c>
      <c r="G1095" t="s">
        <v>105</v>
      </c>
      <c r="H1095">
        <v>0</v>
      </c>
    </row>
    <row r="1096" spans="1:8">
      <c r="A1096" t="s">
        <v>280</v>
      </c>
      <c r="B1096" s="24">
        <v>46178</v>
      </c>
      <c r="C1096" s="27" t="s">
        <v>5797</v>
      </c>
      <c r="D1096" s="27" t="s">
        <v>3223</v>
      </c>
      <c r="E1096" t="s">
        <v>1511</v>
      </c>
      <c r="F1096" t="s">
        <v>104</v>
      </c>
      <c r="G1096" t="s">
        <v>105</v>
      </c>
      <c r="H1096">
        <v>0</v>
      </c>
    </row>
    <row r="1097" spans="1:8">
      <c r="A1097" t="s">
        <v>281</v>
      </c>
      <c r="B1097" s="24">
        <v>46181</v>
      </c>
      <c r="C1097" s="27" t="s">
        <v>5797</v>
      </c>
      <c r="D1097" s="27" t="s">
        <v>3223</v>
      </c>
      <c r="E1097" t="s">
        <v>1512</v>
      </c>
      <c r="F1097" t="s">
        <v>104</v>
      </c>
      <c r="G1097" t="s">
        <v>105</v>
      </c>
      <c r="H1097">
        <v>0</v>
      </c>
    </row>
    <row r="1098" spans="1:8">
      <c r="A1098" t="s">
        <v>282</v>
      </c>
      <c r="B1098" s="24">
        <v>46182</v>
      </c>
      <c r="C1098" s="27" t="s">
        <v>5797</v>
      </c>
      <c r="D1098" s="27" t="s">
        <v>3223</v>
      </c>
      <c r="E1098" t="s">
        <v>1513</v>
      </c>
      <c r="F1098" t="s">
        <v>104</v>
      </c>
      <c r="G1098" t="s">
        <v>105</v>
      </c>
      <c r="H1098">
        <v>0</v>
      </c>
    </row>
    <row r="1099" spans="1:8">
      <c r="A1099" t="s">
        <v>283</v>
      </c>
      <c r="B1099" s="24">
        <v>46183</v>
      </c>
      <c r="C1099" s="27" t="s">
        <v>5797</v>
      </c>
      <c r="D1099" s="27" t="s">
        <v>3223</v>
      </c>
      <c r="E1099" t="s">
        <v>1514</v>
      </c>
      <c r="F1099" t="s">
        <v>104</v>
      </c>
      <c r="G1099" t="s">
        <v>105</v>
      </c>
      <c r="H1099">
        <v>0</v>
      </c>
    </row>
    <row r="1100" spans="1:8">
      <c r="A1100" t="s">
        <v>284</v>
      </c>
      <c r="B1100" s="24">
        <v>46184</v>
      </c>
      <c r="C1100" s="27" t="s">
        <v>5797</v>
      </c>
      <c r="D1100" s="27" t="s">
        <v>3223</v>
      </c>
      <c r="E1100" t="s">
        <v>1515</v>
      </c>
      <c r="F1100" t="s">
        <v>104</v>
      </c>
      <c r="G1100" t="s">
        <v>105</v>
      </c>
      <c r="H1100">
        <v>0</v>
      </c>
    </row>
    <row r="1101" spans="1:8">
      <c r="A1101" t="s">
        <v>285</v>
      </c>
      <c r="B1101" s="24">
        <v>46185</v>
      </c>
      <c r="C1101" s="27" t="s">
        <v>5797</v>
      </c>
      <c r="D1101" s="27" t="s">
        <v>3223</v>
      </c>
      <c r="E1101" t="s">
        <v>1516</v>
      </c>
      <c r="F1101" t="s">
        <v>104</v>
      </c>
      <c r="G1101" t="s">
        <v>105</v>
      </c>
      <c r="H1101">
        <v>0</v>
      </c>
    </row>
    <row r="1102" spans="1:8">
      <c r="A1102" t="s">
        <v>4152</v>
      </c>
      <c r="B1102" s="24">
        <v>46174</v>
      </c>
      <c r="C1102" s="27" t="s">
        <v>5797</v>
      </c>
      <c r="D1102" s="27" t="s">
        <v>3223</v>
      </c>
      <c r="E1102" t="s">
        <v>1517</v>
      </c>
      <c r="F1102" t="s">
        <v>104</v>
      </c>
      <c r="G1102" t="s">
        <v>105</v>
      </c>
      <c r="H1102">
        <v>0</v>
      </c>
    </row>
    <row r="1103" spans="1:8">
      <c r="A1103" t="s">
        <v>4153</v>
      </c>
      <c r="B1103" s="24">
        <v>46175</v>
      </c>
      <c r="C1103" s="27" t="s">
        <v>5797</v>
      </c>
      <c r="D1103" s="27" t="s">
        <v>3223</v>
      </c>
      <c r="E1103" t="s">
        <v>1518</v>
      </c>
      <c r="F1103" t="s">
        <v>104</v>
      </c>
      <c r="G1103" t="s">
        <v>105</v>
      </c>
      <c r="H1103">
        <v>0</v>
      </c>
    </row>
    <row r="1104" spans="1:8">
      <c r="A1104" t="s">
        <v>4154</v>
      </c>
      <c r="B1104" s="24">
        <v>46176</v>
      </c>
      <c r="C1104" s="27" t="s">
        <v>5797</v>
      </c>
      <c r="D1104" s="27" t="s">
        <v>3223</v>
      </c>
      <c r="E1104" t="s">
        <v>1519</v>
      </c>
      <c r="F1104" t="s">
        <v>104</v>
      </c>
      <c r="G1104" t="s">
        <v>105</v>
      </c>
      <c r="H1104">
        <v>0</v>
      </c>
    </row>
    <row r="1105" spans="1:8">
      <c r="A1105" t="s">
        <v>4155</v>
      </c>
      <c r="B1105" s="24">
        <v>46177</v>
      </c>
      <c r="C1105" s="27" t="s">
        <v>5797</v>
      </c>
      <c r="D1105" s="27" t="s">
        <v>3223</v>
      </c>
      <c r="E1105" t="s">
        <v>1520</v>
      </c>
      <c r="F1105" t="s">
        <v>104</v>
      </c>
      <c r="G1105" t="s">
        <v>105</v>
      </c>
      <c r="H1105">
        <v>0</v>
      </c>
    </row>
    <row r="1106" spans="1:8">
      <c r="A1106" t="s">
        <v>4156</v>
      </c>
      <c r="B1106" s="24">
        <v>46178</v>
      </c>
      <c r="C1106" s="27" t="s">
        <v>5797</v>
      </c>
      <c r="D1106" s="27" t="s">
        <v>3223</v>
      </c>
      <c r="E1106" t="s">
        <v>1521</v>
      </c>
      <c r="F1106" t="s">
        <v>104</v>
      </c>
      <c r="G1106" t="s">
        <v>105</v>
      </c>
      <c r="H1106">
        <v>0</v>
      </c>
    </row>
    <row r="1107" spans="1:8">
      <c r="A1107" t="s">
        <v>4157</v>
      </c>
      <c r="B1107" s="24">
        <v>46181</v>
      </c>
      <c r="C1107" s="27" t="s">
        <v>5797</v>
      </c>
      <c r="D1107" s="27" t="s">
        <v>3223</v>
      </c>
      <c r="E1107" t="s">
        <v>1522</v>
      </c>
      <c r="F1107" t="s">
        <v>104</v>
      </c>
      <c r="G1107" t="s">
        <v>105</v>
      </c>
      <c r="H1107">
        <v>0</v>
      </c>
    </row>
    <row r="1108" spans="1:8">
      <c r="A1108" t="s">
        <v>4158</v>
      </c>
      <c r="B1108" s="24">
        <v>46182</v>
      </c>
      <c r="C1108" s="27" t="s">
        <v>5797</v>
      </c>
      <c r="D1108" s="27" t="s">
        <v>3223</v>
      </c>
      <c r="E1108" t="s">
        <v>1523</v>
      </c>
      <c r="F1108" t="s">
        <v>104</v>
      </c>
      <c r="G1108" t="s">
        <v>105</v>
      </c>
      <c r="H1108">
        <v>0</v>
      </c>
    </row>
    <row r="1109" spans="1:8">
      <c r="A1109" t="s">
        <v>4159</v>
      </c>
      <c r="B1109" s="24">
        <v>46183</v>
      </c>
      <c r="C1109" s="27" t="s">
        <v>5797</v>
      </c>
      <c r="D1109" s="27" t="s">
        <v>3223</v>
      </c>
      <c r="E1109" t="s">
        <v>1524</v>
      </c>
      <c r="F1109" t="s">
        <v>104</v>
      </c>
      <c r="G1109" t="s">
        <v>105</v>
      </c>
      <c r="H1109">
        <v>0</v>
      </c>
    </row>
    <row r="1110" spans="1:8">
      <c r="A1110" t="s">
        <v>4160</v>
      </c>
      <c r="B1110" s="24">
        <v>46184</v>
      </c>
      <c r="C1110" s="27" t="s">
        <v>5797</v>
      </c>
      <c r="D1110" s="27" t="s">
        <v>3223</v>
      </c>
      <c r="E1110" t="s">
        <v>1525</v>
      </c>
      <c r="F1110" t="s">
        <v>104</v>
      </c>
      <c r="H1110" t="s">
        <v>5762</v>
      </c>
    </row>
    <row r="1111" spans="1:8">
      <c r="A1111" t="s">
        <v>4161</v>
      </c>
      <c r="B1111" s="24">
        <v>46185</v>
      </c>
      <c r="C1111" s="27" t="s">
        <v>5797</v>
      </c>
      <c r="D1111" s="27" t="s">
        <v>3223</v>
      </c>
      <c r="E1111" t="s">
        <v>1526</v>
      </c>
      <c r="F1111" t="s">
        <v>104</v>
      </c>
      <c r="H1111" t="s">
        <v>5762</v>
      </c>
    </row>
    <row r="1112" spans="1:8">
      <c r="A1112" t="s">
        <v>4162</v>
      </c>
      <c r="B1112" s="24">
        <v>46174</v>
      </c>
      <c r="C1112" s="27" t="s">
        <v>5797</v>
      </c>
      <c r="D1112" s="27" t="s">
        <v>3223</v>
      </c>
      <c r="E1112" t="s">
        <v>1527</v>
      </c>
      <c r="F1112" t="s">
        <v>104</v>
      </c>
      <c r="H1112" t="s">
        <v>5762</v>
      </c>
    </row>
    <row r="1113" spans="1:8">
      <c r="A1113" t="s">
        <v>4163</v>
      </c>
      <c r="B1113" s="24">
        <v>46175</v>
      </c>
      <c r="C1113" s="27" t="s">
        <v>5797</v>
      </c>
      <c r="D1113" s="27" t="s">
        <v>3223</v>
      </c>
      <c r="E1113" t="s">
        <v>1528</v>
      </c>
      <c r="F1113" t="s">
        <v>104</v>
      </c>
      <c r="H1113" t="s">
        <v>5762</v>
      </c>
    </row>
    <row r="1114" spans="1:8">
      <c r="A1114" t="s">
        <v>4164</v>
      </c>
      <c r="B1114" s="24">
        <v>46176</v>
      </c>
      <c r="C1114" s="27" t="s">
        <v>5797</v>
      </c>
      <c r="D1114" s="27" t="s">
        <v>3223</v>
      </c>
      <c r="E1114" t="s">
        <v>1529</v>
      </c>
      <c r="F1114" t="s">
        <v>104</v>
      </c>
      <c r="H1114" t="s">
        <v>5762</v>
      </c>
    </row>
    <row r="1115" spans="1:8">
      <c r="A1115" t="s">
        <v>4165</v>
      </c>
      <c r="B1115" s="24">
        <v>46177</v>
      </c>
      <c r="C1115" s="27" t="s">
        <v>5797</v>
      </c>
      <c r="D1115" s="27" t="s">
        <v>3223</v>
      </c>
      <c r="E1115" t="s">
        <v>1530</v>
      </c>
      <c r="F1115" t="s">
        <v>104</v>
      </c>
      <c r="H1115" t="s">
        <v>5762</v>
      </c>
    </row>
    <row r="1116" spans="1:8">
      <c r="A1116" t="s">
        <v>4166</v>
      </c>
      <c r="B1116" s="24">
        <v>46178</v>
      </c>
      <c r="C1116" s="27" t="s">
        <v>5797</v>
      </c>
      <c r="D1116" s="27" t="s">
        <v>3223</v>
      </c>
      <c r="E1116" t="s">
        <v>1531</v>
      </c>
      <c r="F1116" t="s">
        <v>104</v>
      </c>
      <c r="H1116" t="s">
        <v>5762</v>
      </c>
    </row>
    <row r="1117" spans="1:8">
      <c r="A1117" t="s">
        <v>4167</v>
      </c>
      <c r="B1117" s="24">
        <v>46181</v>
      </c>
      <c r="C1117" s="27" t="s">
        <v>5797</v>
      </c>
      <c r="D1117" s="27" t="s">
        <v>3223</v>
      </c>
      <c r="E1117" t="s">
        <v>1532</v>
      </c>
      <c r="F1117" t="s">
        <v>104</v>
      </c>
      <c r="H1117" t="s">
        <v>5762</v>
      </c>
    </row>
    <row r="1118" spans="1:8">
      <c r="A1118" t="s">
        <v>4168</v>
      </c>
      <c r="B1118" s="24">
        <v>46182</v>
      </c>
      <c r="C1118" s="27" t="s">
        <v>5797</v>
      </c>
      <c r="D1118" s="27" t="s">
        <v>3223</v>
      </c>
      <c r="E1118" t="s">
        <v>1533</v>
      </c>
      <c r="F1118" t="s">
        <v>104</v>
      </c>
      <c r="H1118" t="s">
        <v>5762</v>
      </c>
    </row>
    <row r="1119" spans="1:8">
      <c r="A1119" t="s">
        <v>4169</v>
      </c>
      <c r="B1119" s="24">
        <v>46183</v>
      </c>
      <c r="C1119" s="27" t="s">
        <v>5797</v>
      </c>
      <c r="D1119" s="27" t="s">
        <v>3223</v>
      </c>
      <c r="E1119" t="s">
        <v>1534</v>
      </c>
      <c r="F1119" t="s">
        <v>104</v>
      </c>
      <c r="H1119" t="s">
        <v>5762</v>
      </c>
    </row>
    <row r="1120" spans="1:8">
      <c r="A1120" t="s">
        <v>4170</v>
      </c>
      <c r="B1120" s="24">
        <v>46184</v>
      </c>
      <c r="C1120" s="27" t="s">
        <v>5797</v>
      </c>
      <c r="D1120" s="27" t="s">
        <v>3223</v>
      </c>
      <c r="E1120" t="s">
        <v>1535</v>
      </c>
      <c r="F1120" t="s">
        <v>104</v>
      </c>
      <c r="H1120" t="s">
        <v>5762</v>
      </c>
    </row>
    <row r="1121" spans="1:8">
      <c r="A1121" t="s">
        <v>4171</v>
      </c>
      <c r="B1121" s="24">
        <v>46185</v>
      </c>
      <c r="C1121" s="27" t="s">
        <v>5797</v>
      </c>
      <c r="D1121" s="27" t="s">
        <v>3223</v>
      </c>
      <c r="E1121" t="s">
        <v>1536</v>
      </c>
      <c r="F1121" t="s">
        <v>104</v>
      </c>
      <c r="H1121" t="s">
        <v>5762</v>
      </c>
    </row>
    <row r="1122" spans="1:8">
      <c r="A1122" t="s">
        <v>4172</v>
      </c>
      <c r="B1122" s="24">
        <v>46174</v>
      </c>
      <c r="C1122" s="27" t="s">
        <v>5797</v>
      </c>
      <c r="D1122" s="27" t="s">
        <v>3223</v>
      </c>
      <c r="E1122" t="s">
        <v>1537</v>
      </c>
      <c r="F1122" t="s">
        <v>104</v>
      </c>
      <c r="H1122" t="s">
        <v>5762</v>
      </c>
    </row>
    <row r="1123" spans="1:8">
      <c r="A1123" t="s">
        <v>4173</v>
      </c>
      <c r="B1123" s="24">
        <v>46175</v>
      </c>
      <c r="C1123" s="27" t="s">
        <v>5797</v>
      </c>
      <c r="D1123" s="27" t="s">
        <v>3223</v>
      </c>
      <c r="E1123" t="s">
        <v>1538</v>
      </c>
      <c r="F1123" t="s">
        <v>104</v>
      </c>
      <c r="H1123" t="s">
        <v>5762</v>
      </c>
    </row>
    <row r="1124" spans="1:8">
      <c r="A1124" t="s">
        <v>4174</v>
      </c>
      <c r="B1124" s="24">
        <v>46176</v>
      </c>
      <c r="C1124" s="27" t="s">
        <v>5797</v>
      </c>
      <c r="D1124" s="27" t="s">
        <v>3223</v>
      </c>
      <c r="E1124" t="s">
        <v>1539</v>
      </c>
      <c r="F1124" t="s">
        <v>104</v>
      </c>
      <c r="H1124" t="s">
        <v>5762</v>
      </c>
    </row>
    <row r="1125" spans="1:8">
      <c r="A1125" t="s">
        <v>4175</v>
      </c>
      <c r="B1125" s="24">
        <v>46177</v>
      </c>
      <c r="C1125" s="27" t="s">
        <v>5797</v>
      </c>
      <c r="D1125" s="27" t="s">
        <v>3223</v>
      </c>
      <c r="E1125" t="s">
        <v>1540</v>
      </c>
      <c r="F1125" t="s">
        <v>104</v>
      </c>
      <c r="H1125" t="s">
        <v>5762</v>
      </c>
    </row>
    <row r="1126" spans="1:8">
      <c r="A1126" t="s">
        <v>4176</v>
      </c>
      <c r="B1126" s="24">
        <v>46178</v>
      </c>
      <c r="C1126" s="27" t="s">
        <v>5797</v>
      </c>
      <c r="D1126" s="27" t="s">
        <v>3223</v>
      </c>
      <c r="E1126" t="s">
        <v>1541</v>
      </c>
      <c r="F1126" t="s">
        <v>104</v>
      </c>
      <c r="H1126" t="s">
        <v>5762</v>
      </c>
    </row>
    <row r="1127" spans="1:8">
      <c r="A1127" t="s">
        <v>4177</v>
      </c>
      <c r="B1127" s="24">
        <v>46181</v>
      </c>
      <c r="C1127" s="27" t="s">
        <v>5797</v>
      </c>
      <c r="D1127" s="27" t="s">
        <v>3223</v>
      </c>
      <c r="E1127" t="s">
        <v>1542</v>
      </c>
      <c r="F1127" t="s">
        <v>104</v>
      </c>
      <c r="H1127" t="s">
        <v>5762</v>
      </c>
    </row>
    <row r="1128" spans="1:8">
      <c r="A1128" t="s">
        <v>4178</v>
      </c>
      <c r="B1128" s="24">
        <v>46182</v>
      </c>
      <c r="C1128" s="27" t="s">
        <v>5797</v>
      </c>
      <c r="D1128" s="27" t="s">
        <v>3223</v>
      </c>
      <c r="E1128" t="s">
        <v>1543</v>
      </c>
      <c r="F1128" t="s">
        <v>104</v>
      </c>
      <c r="H1128" t="s">
        <v>5762</v>
      </c>
    </row>
    <row r="1129" spans="1:8">
      <c r="A1129" t="s">
        <v>4179</v>
      </c>
      <c r="B1129" s="24">
        <v>46183</v>
      </c>
      <c r="C1129" s="27" t="s">
        <v>5797</v>
      </c>
      <c r="D1129" s="27" t="s">
        <v>3223</v>
      </c>
      <c r="E1129" t="s">
        <v>1544</v>
      </c>
      <c r="F1129" t="s">
        <v>104</v>
      </c>
      <c r="H1129" t="s">
        <v>5762</v>
      </c>
    </row>
    <row r="1130" spans="1:8">
      <c r="A1130" t="s">
        <v>4180</v>
      </c>
      <c r="B1130" s="24">
        <v>46184</v>
      </c>
      <c r="C1130" s="27" t="s">
        <v>5797</v>
      </c>
      <c r="D1130" s="27" t="s">
        <v>3223</v>
      </c>
      <c r="E1130" t="s">
        <v>1545</v>
      </c>
      <c r="F1130" t="s">
        <v>104</v>
      </c>
      <c r="H1130" t="s">
        <v>5762</v>
      </c>
    </row>
    <row r="1131" spans="1:8">
      <c r="A1131" t="s">
        <v>4181</v>
      </c>
      <c r="B1131" s="24">
        <v>46185</v>
      </c>
      <c r="C1131" s="27" t="s">
        <v>5797</v>
      </c>
      <c r="D1131" s="27" t="s">
        <v>3223</v>
      </c>
      <c r="E1131" t="s">
        <v>1546</v>
      </c>
      <c r="F1131" t="s">
        <v>104</v>
      </c>
      <c r="H1131" t="s">
        <v>5762</v>
      </c>
    </row>
    <row r="1132" spans="1:8">
      <c r="A1132" t="s">
        <v>4182</v>
      </c>
      <c r="B1132" s="24">
        <v>46174</v>
      </c>
      <c r="C1132" s="27" t="s">
        <v>5797</v>
      </c>
      <c r="D1132" s="27" t="s">
        <v>3223</v>
      </c>
      <c r="E1132" t="s">
        <v>1547</v>
      </c>
      <c r="F1132" t="s">
        <v>104</v>
      </c>
      <c r="H1132" t="s">
        <v>5762</v>
      </c>
    </row>
    <row r="1133" spans="1:8">
      <c r="A1133" t="s">
        <v>4183</v>
      </c>
      <c r="B1133" s="24">
        <v>46175</v>
      </c>
      <c r="C1133" s="27" t="s">
        <v>5797</v>
      </c>
      <c r="D1133" s="27" t="s">
        <v>3223</v>
      </c>
      <c r="E1133" t="s">
        <v>1548</v>
      </c>
      <c r="F1133" t="s">
        <v>104</v>
      </c>
      <c r="H1133" t="s">
        <v>5762</v>
      </c>
    </row>
    <row r="1134" spans="1:8">
      <c r="A1134" t="s">
        <v>4184</v>
      </c>
      <c r="B1134" s="24">
        <v>46176</v>
      </c>
      <c r="C1134" s="27" t="s">
        <v>5797</v>
      </c>
      <c r="D1134" s="27" t="s">
        <v>3223</v>
      </c>
      <c r="E1134" t="s">
        <v>1549</v>
      </c>
      <c r="F1134" t="s">
        <v>104</v>
      </c>
      <c r="H1134" t="s">
        <v>5762</v>
      </c>
    </row>
    <row r="1135" spans="1:8">
      <c r="A1135" t="s">
        <v>4185</v>
      </c>
      <c r="B1135" s="24">
        <v>46177</v>
      </c>
      <c r="C1135" s="27" t="s">
        <v>5797</v>
      </c>
      <c r="D1135" s="27" t="s">
        <v>3223</v>
      </c>
      <c r="E1135" t="s">
        <v>1550</v>
      </c>
      <c r="F1135" t="s">
        <v>104</v>
      </c>
      <c r="H1135" t="s">
        <v>5762</v>
      </c>
    </row>
    <row r="1136" spans="1:8">
      <c r="A1136" t="s">
        <v>4186</v>
      </c>
      <c r="B1136" s="24">
        <v>46178</v>
      </c>
      <c r="C1136" s="27" t="s">
        <v>5797</v>
      </c>
      <c r="D1136" s="27" t="s">
        <v>3223</v>
      </c>
      <c r="E1136" t="s">
        <v>1551</v>
      </c>
      <c r="F1136" t="s">
        <v>104</v>
      </c>
      <c r="H1136" t="s">
        <v>5762</v>
      </c>
    </row>
    <row r="1137" spans="1:8">
      <c r="A1137" t="s">
        <v>4187</v>
      </c>
      <c r="B1137" s="24">
        <v>46181</v>
      </c>
      <c r="C1137" s="27" t="s">
        <v>5797</v>
      </c>
      <c r="D1137" s="27" t="s">
        <v>3223</v>
      </c>
      <c r="E1137" t="s">
        <v>1552</v>
      </c>
      <c r="F1137" t="s">
        <v>104</v>
      </c>
      <c r="H1137" t="s">
        <v>5762</v>
      </c>
    </row>
    <row r="1138" spans="1:8">
      <c r="A1138" t="s">
        <v>4188</v>
      </c>
      <c r="B1138" s="24">
        <v>46182</v>
      </c>
      <c r="C1138" s="27" t="s">
        <v>5797</v>
      </c>
      <c r="D1138" s="27" t="s">
        <v>3223</v>
      </c>
      <c r="E1138" t="s">
        <v>1553</v>
      </c>
      <c r="F1138" t="s">
        <v>104</v>
      </c>
      <c r="H1138" t="s">
        <v>5762</v>
      </c>
    </row>
    <row r="1139" spans="1:8">
      <c r="A1139" t="s">
        <v>4189</v>
      </c>
      <c r="B1139" s="24">
        <v>46183</v>
      </c>
      <c r="C1139" s="27" t="s">
        <v>5797</v>
      </c>
      <c r="D1139" s="27" t="s">
        <v>3223</v>
      </c>
      <c r="E1139" t="s">
        <v>1554</v>
      </c>
      <c r="F1139" t="s">
        <v>104</v>
      </c>
      <c r="H1139" t="s">
        <v>5762</v>
      </c>
    </row>
    <row r="1140" spans="1:8">
      <c r="A1140" t="s">
        <v>4190</v>
      </c>
      <c r="B1140" s="24">
        <v>46184</v>
      </c>
      <c r="C1140" s="27" t="s">
        <v>5797</v>
      </c>
      <c r="D1140" s="27" t="s">
        <v>3223</v>
      </c>
      <c r="E1140" t="s">
        <v>1555</v>
      </c>
      <c r="F1140" t="s">
        <v>104</v>
      </c>
      <c r="H1140" t="s">
        <v>5762</v>
      </c>
    </row>
    <row r="1141" spans="1:8">
      <c r="A1141" t="s">
        <v>4191</v>
      </c>
      <c r="B1141" s="24">
        <v>46185</v>
      </c>
      <c r="C1141" s="27" t="s">
        <v>5797</v>
      </c>
      <c r="D1141" s="27" t="s">
        <v>3223</v>
      </c>
      <c r="E1141" t="s">
        <v>1556</v>
      </c>
      <c r="F1141" t="s">
        <v>104</v>
      </c>
      <c r="H1141" t="s">
        <v>5762</v>
      </c>
    </row>
    <row r="1142" spans="1:8">
      <c r="A1142" t="s">
        <v>4192</v>
      </c>
      <c r="B1142" s="24">
        <v>46174</v>
      </c>
      <c r="C1142" s="27" t="s">
        <v>5797</v>
      </c>
      <c r="D1142" s="27" t="s">
        <v>3223</v>
      </c>
      <c r="E1142" t="s">
        <v>1557</v>
      </c>
      <c r="F1142" t="s">
        <v>104</v>
      </c>
      <c r="H1142" t="s">
        <v>5762</v>
      </c>
    </row>
    <row r="1143" spans="1:8">
      <c r="A1143" t="s">
        <v>4193</v>
      </c>
      <c r="B1143" s="24">
        <v>46175</v>
      </c>
      <c r="C1143" s="27" t="s">
        <v>5797</v>
      </c>
      <c r="D1143" s="27" t="s">
        <v>3223</v>
      </c>
      <c r="E1143" t="s">
        <v>1558</v>
      </c>
      <c r="F1143" t="s">
        <v>104</v>
      </c>
      <c r="H1143" t="s">
        <v>5762</v>
      </c>
    </row>
    <row r="1144" spans="1:8">
      <c r="A1144" t="s">
        <v>4194</v>
      </c>
      <c r="B1144" s="24">
        <v>46176</v>
      </c>
      <c r="C1144" s="27" t="s">
        <v>5797</v>
      </c>
      <c r="D1144" s="27" t="s">
        <v>3223</v>
      </c>
      <c r="E1144" t="s">
        <v>1559</v>
      </c>
      <c r="F1144" t="s">
        <v>104</v>
      </c>
      <c r="H1144" t="s">
        <v>5762</v>
      </c>
    </row>
    <row r="1145" spans="1:8">
      <c r="A1145" t="s">
        <v>4195</v>
      </c>
      <c r="B1145" s="24">
        <v>46177</v>
      </c>
      <c r="C1145" s="27" t="s">
        <v>5797</v>
      </c>
      <c r="D1145" s="27" t="s">
        <v>3223</v>
      </c>
      <c r="E1145" t="s">
        <v>1560</v>
      </c>
      <c r="F1145" t="s">
        <v>104</v>
      </c>
      <c r="H1145" t="s">
        <v>5762</v>
      </c>
    </row>
    <row r="1146" spans="1:8">
      <c r="A1146" t="s">
        <v>4196</v>
      </c>
      <c r="B1146" s="24">
        <v>46178</v>
      </c>
      <c r="C1146" s="27" t="s">
        <v>5797</v>
      </c>
      <c r="D1146" s="27" t="s">
        <v>3223</v>
      </c>
      <c r="E1146" t="s">
        <v>1561</v>
      </c>
      <c r="F1146" t="s">
        <v>104</v>
      </c>
      <c r="H1146" t="s">
        <v>5762</v>
      </c>
    </row>
    <row r="1147" spans="1:8">
      <c r="A1147" t="s">
        <v>4197</v>
      </c>
      <c r="B1147" s="24">
        <v>46181</v>
      </c>
      <c r="C1147" s="27" t="s">
        <v>5797</v>
      </c>
      <c r="D1147" s="27" t="s">
        <v>3223</v>
      </c>
      <c r="E1147" t="s">
        <v>1562</v>
      </c>
      <c r="F1147" t="s">
        <v>104</v>
      </c>
      <c r="H1147" t="s">
        <v>5762</v>
      </c>
    </row>
    <row r="1148" spans="1:8">
      <c r="A1148" t="s">
        <v>4198</v>
      </c>
      <c r="B1148" s="24">
        <v>46182</v>
      </c>
      <c r="C1148" s="27" t="s">
        <v>5797</v>
      </c>
      <c r="D1148" s="27" t="s">
        <v>3223</v>
      </c>
      <c r="E1148" t="s">
        <v>1563</v>
      </c>
      <c r="F1148" t="s">
        <v>104</v>
      </c>
      <c r="H1148" t="s">
        <v>5762</v>
      </c>
    </row>
    <row r="1149" spans="1:8">
      <c r="A1149" t="s">
        <v>4199</v>
      </c>
      <c r="B1149" s="24">
        <v>46183</v>
      </c>
      <c r="C1149" s="27" t="s">
        <v>5797</v>
      </c>
      <c r="D1149" s="27" t="s">
        <v>3223</v>
      </c>
      <c r="E1149" t="s">
        <v>1564</v>
      </c>
      <c r="F1149" t="s">
        <v>104</v>
      </c>
      <c r="H1149" t="s">
        <v>5762</v>
      </c>
    </row>
    <row r="1150" spans="1:8">
      <c r="A1150" t="s">
        <v>4200</v>
      </c>
      <c r="B1150" s="24">
        <v>46184</v>
      </c>
      <c r="C1150" s="27" t="s">
        <v>5797</v>
      </c>
      <c r="D1150" s="27" t="s">
        <v>3223</v>
      </c>
      <c r="E1150" t="s">
        <v>1565</v>
      </c>
      <c r="F1150" t="s">
        <v>104</v>
      </c>
      <c r="H1150" t="s">
        <v>5762</v>
      </c>
    </row>
    <row r="1151" spans="1:8">
      <c r="A1151" t="s">
        <v>4201</v>
      </c>
      <c r="B1151" s="24">
        <v>46185</v>
      </c>
      <c r="C1151" s="27" t="s">
        <v>5797</v>
      </c>
      <c r="D1151" s="27" t="s">
        <v>3223</v>
      </c>
      <c r="E1151" t="s">
        <v>1566</v>
      </c>
      <c r="F1151" t="s">
        <v>104</v>
      </c>
      <c r="H1151" t="s">
        <v>5762</v>
      </c>
    </row>
    <row r="1152" spans="1:8">
      <c r="A1152" t="s">
        <v>4202</v>
      </c>
      <c r="B1152" s="24">
        <v>46174</v>
      </c>
      <c r="C1152" s="27" t="s">
        <v>5797</v>
      </c>
      <c r="D1152" s="27" t="s">
        <v>3223</v>
      </c>
      <c r="E1152" t="s">
        <v>1567</v>
      </c>
      <c r="F1152" t="s">
        <v>104</v>
      </c>
      <c r="H1152" t="s">
        <v>5762</v>
      </c>
    </row>
    <row r="1153" spans="1:8">
      <c r="A1153" t="s">
        <v>4203</v>
      </c>
      <c r="B1153" s="24">
        <v>46175</v>
      </c>
      <c r="C1153" s="27" t="s">
        <v>5797</v>
      </c>
      <c r="D1153" s="27" t="s">
        <v>3223</v>
      </c>
      <c r="E1153" t="s">
        <v>1568</v>
      </c>
      <c r="F1153" t="s">
        <v>104</v>
      </c>
      <c r="H1153" t="s">
        <v>5762</v>
      </c>
    </row>
    <row r="1154" spans="1:8">
      <c r="A1154" t="s">
        <v>4204</v>
      </c>
      <c r="B1154" s="24">
        <v>46176</v>
      </c>
      <c r="C1154" s="27" t="s">
        <v>5797</v>
      </c>
      <c r="D1154" s="27" t="s">
        <v>3223</v>
      </c>
      <c r="E1154" t="s">
        <v>1569</v>
      </c>
      <c r="F1154" t="s">
        <v>104</v>
      </c>
      <c r="H1154" t="s">
        <v>5762</v>
      </c>
    </row>
    <row r="1155" spans="1:8">
      <c r="A1155" t="s">
        <v>4205</v>
      </c>
      <c r="B1155" s="24">
        <v>46177</v>
      </c>
      <c r="C1155" s="27" t="s">
        <v>5797</v>
      </c>
      <c r="D1155" s="27" t="s">
        <v>3223</v>
      </c>
      <c r="E1155" t="s">
        <v>1570</v>
      </c>
      <c r="F1155" t="s">
        <v>104</v>
      </c>
      <c r="H1155" t="s">
        <v>5762</v>
      </c>
    </row>
    <row r="1156" spans="1:8">
      <c r="A1156" t="s">
        <v>4206</v>
      </c>
      <c r="B1156" s="24">
        <v>46178</v>
      </c>
      <c r="C1156" s="27" t="s">
        <v>5797</v>
      </c>
      <c r="D1156" s="27" t="s">
        <v>3223</v>
      </c>
      <c r="E1156" t="s">
        <v>1571</v>
      </c>
      <c r="F1156" t="s">
        <v>104</v>
      </c>
      <c r="H1156" t="s">
        <v>5762</v>
      </c>
    </row>
    <row r="1157" spans="1:8">
      <c r="A1157" t="s">
        <v>4207</v>
      </c>
      <c r="B1157" s="24">
        <v>46181</v>
      </c>
      <c r="C1157" s="27" t="s">
        <v>5797</v>
      </c>
      <c r="D1157" s="27" t="s">
        <v>3223</v>
      </c>
      <c r="E1157" t="s">
        <v>1572</v>
      </c>
      <c r="F1157" t="s">
        <v>104</v>
      </c>
      <c r="H1157" t="s">
        <v>5762</v>
      </c>
    </row>
    <row r="1158" spans="1:8">
      <c r="A1158" t="s">
        <v>4208</v>
      </c>
      <c r="B1158" s="24">
        <v>46182</v>
      </c>
      <c r="C1158" s="27" t="s">
        <v>5797</v>
      </c>
      <c r="D1158" s="27" t="s">
        <v>3223</v>
      </c>
      <c r="E1158" t="s">
        <v>1573</v>
      </c>
      <c r="F1158" t="s">
        <v>104</v>
      </c>
      <c r="H1158" t="s">
        <v>5762</v>
      </c>
    </row>
    <row r="1159" spans="1:8">
      <c r="A1159" t="s">
        <v>4209</v>
      </c>
      <c r="B1159" s="24">
        <v>46183</v>
      </c>
      <c r="C1159" s="27" t="s">
        <v>5797</v>
      </c>
      <c r="D1159" s="27" t="s">
        <v>3223</v>
      </c>
      <c r="E1159" t="s">
        <v>1574</v>
      </c>
      <c r="F1159" t="s">
        <v>104</v>
      </c>
      <c r="H1159" t="s">
        <v>5762</v>
      </c>
    </row>
    <row r="1160" spans="1:8">
      <c r="A1160" t="s">
        <v>4210</v>
      </c>
      <c r="B1160" s="24">
        <v>46184</v>
      </c>
      <c r="C1160" s="27" t="s">
        <v>5797</v>
      </c>
      <c r="D1160" s="27" t="s">
        <v>3223</v>
      </c>
      <c r="E1160" t="s">
        <v>1575</v>
      </c>
      <c r="F1160" t="s">
        <v>104</v>
      </c>
      <c r="H1160" t="s">
        <v>5762</v>
      </c>
    </row>
    <row r="1161" spans="1:8">
      <c r="A1161" t="s">
        <v>4211</v>
      </c>
      <c r="B1161" s="24">
        <v>46185</v>
      </c>
      <c r="C1161" s="27" t="s">
        <v>5797</v>
      </c>
      <c r="D1161" s="27" t="s">
        <v>3223</v>
      </c>
      <c r="E1161" t="s">
        <v>1576</v>
      </c>
      <c r="F1161" t="s">
        <v>104</v>
      </c>
      <c r="H1161" t="s">
        <v>5762</v>
      </c>
    </row>
    <row r="1162" spans="1:8">
      <c r="A1162" t="s">
        <v>4212</v>
      </c>
      <c r="B1162" s="24">
        <v>46174</v>
      </c>
      <c r="C1162" s="27" t="s">
        <v>5797</v>
      </c>
      <c r="D1162" s="27" t="s">
        <v>3223</v>
      </c>
      <c r="E1162" t="s">
        <v>1577</v>
      </c>
      <c r="F1162" t="s">
        <v>104</v>
      </c>
      <c r="H1162" t="s">
        <v>5762</v>
      </c>
    </row>
    <row r="1163" spans="1:8">
      <c r="A1163" t="s">
        <v>4213</v>
      </c>
      <c r="B1163" s="24">
        <v>46175</v>
      </c>
      <c r="C1163" s="27" t="s">
        <v>5797</v>
      </c>
      <c r="D1163" s="27" t="s">
        <v>3223</v>
      </c>
      <c r="E1163" t="s">
        <v>1578</v>
      </c>
      <c r="F1163" t="s">
        <v>104</v>
      </c>
      <c r="H1163" t="s">
        <v>5762</v>
      </c>
    </row>
    <row r="1164" spans="1:8">
      <c r="A1164" t="s">
        <v>4214</v>
      </c>
      <c r="B1164" s="24">
        <v>46176</v>
      </c>
      <c r="C1164" s="27" t="s">
        <v>5797</v>
      </c>
      <c r="D1164" s="27" t="s">
        <v>3223</v>
      </c>
      <c r="E1164" t="s">
        <v>1579</v>
      </c>
      <c r="F1164" t="s">
        <v>104</v>
      </c>
      <c r="H1164" t="s">
        <v>5762</v>
      </c>
    </row>
    <row r="1165" spans="1:8">
      <c r="A1165" t="s">
        <v>4215</v>
      </c>
      <c r="B1165" s="24">
        <v>46177</v>
      </c>
      <c r="C1165" s="27" t="s">
        <v>5797</v>
      </c>
      <c r="D1165" s="27" t="s">
        <v>3223</v>
      </c>
      <c r="E1165" t="s">
        <v>1580</v>
      </c>
      <c r="F1165" t="s">
        <v>104</v>
      </c>
      <c r="H1165" t="s">
        <v>5762</v>
      </c>
    </row>
    <row r="1166" spans="1:8">
      <c r="A1166" t="s">
        <v>4216</v>
      </c>
      <c r="B1166" s="24">
        <v>46178</v>
      </c>
      <c r="C1166" s="27" t="s">
        <v>5797</v>
      </c>
      <c r="D1166" s="27" t="s">
        <v>3223</v>
      </c>
      <c r="E1166" t="s">
        <v>1581</v>
      </c>
      <c r="F1166" t="s">
        <v>104</v>
      </c>
      <c r="H1166" t="s">
        <v>5762</v>
      </c>
    </row>
    <row r="1167" spans="1:8">
      <c r="A1167" t="s">
        <v>4217</v>
      </c>
      <c r="B1167" s="24">
        <v>46181</v>
      </c>
      <c r="C1167" s="27" t="s">
        <v>5797</v>
      </c>
      <c r="D1167" s="27" t="s">
        <v>3223</v>
      </c>
      <c r="E1167" t="s">
        <v>1582</v>
      </c>
      <c r="F1167" t="s">
        <v>104</v>
      </c>
      <c r="H1167" t="s">
        <v>5762</v>
      </c>
    </row>
    <row r="1168" spans="1:8">
      <c r="A1168" t="s">
        <v>4218</v>
      </c>
      <c r="B1168" s="24">
        <v>46182</v>
      </c>
      <c r="C1168" s="27" t="s">
        <v>5797</v>
      </c>
      <c r="D1168" s="27" t="s">
        <v>3223</v>
      </c>
      <c r="E1168" t="s">
        <v>1583</v>
      </c>
      <c r="F1168" t="s">
        <v>104</v>
      </c>
      <c r="H1168" t="s">
        <v>5762</v>
      </c>
    </row>
    <row r="1169" spans="1:8">
      <c r="A1169" t="s">
        <v>4219</v>
      </c>
      <c r="B1169" s="24">
        <v>46183</v>
      </c>
      <c r="C1169" s="27" t="s">
        <v>5797</v>
      </c>
      <c r="D1169" s="27" t="s">
        <v>3223</v>
      </c>
      <c r="E1169" t="s">
        <v>1584</v>
      </c>
      <c r="F1169" t="s">
        <v>104</v>
      </c>
      <c r="H1169" t="s">
        <v>5762</v>
      </c>
    </row>
    <row r="1170" spans="1:8">
      <c r="A1170" t="s">
        <v>4220</v>
      </c>
      <c r="B1170" s="24">
        <v>46184</v>
      </c>
      <c r="C1170" s="27" t="s">
        <v>5797</v>
      </c>
      <c r="D1170" s="27" t="s">
        <v>3223</v>
      </c>
      <c r="E1170" t="s">
        <v>1585</v>
      </c>
      <c r="F1170" t="s">
        <v>104</v>
      </c>
      <c r="H1170" t="s">
        <v>5762</v>
      </c>
    </row>
    <row r="1171" spans="1:8">
      <c r="A1171" t="s">
        <v>4221</v>
      </c>
      <c r="B1171" s="24">
        <v>46185</v>
      </c>
      <c r="C1171" s="27" t="s">
        <v>5797</v>
      </c>
      <c r="D1171" s="27" t="s">
        <v>3223</v>
      </c>
      <c r="E1171" t="s">
        <v>1586</v>
      </c>
      <c r="F1171" t="s">
        <v>104</v>
      </c>
      <c r="H1171" t="s">
        <v>5762</v>
      </c>
    </row>
    <row r="1172" spans="1:8">
      <c r="A1172" t="s">
        <v>4222</v>
      </c>
      <c r="B1172" s="24">
        <v>46174</v>
      </c>
      <c r="C1172" s="27" t="s">
        <v>5797</v>
      </c>
      <c r="D1172" s="27" t="s">
        <v>3223</v>
      </c>
      <c r="E1172" t="s">
        <v>1587</v>
      </c>
      <c r="F1172" t="s">
        <v>104</v>
      </c>
      <c r="H1172" t="s">
        <v>5762</v>
      </c>
    </row>
    <row r="1173" spans="1:8">
      <c r="A1173" t="s">
        <v>4223</v>
      </c>
      <c r="B1173" s="24">
        <v>46175</v>
      </c>
      <c r="C1173" s="27" t="s">
        <v>5797</v>
      </c>
      <c r="D1173" s="27" t="s">
        <v>3223</v>
      </c>
      <c r="E1173" t="s">
        <v>1588</v>
      </c>
      <c r="F1173" t="s">
        <v>104</v>
      </c>
      <c r="H1173" t="s">
        <v>5762</v>
      </c>
    </row>
    <row r="1174" spans="1:8">
      <c r="A1174" t="s">
        <v>4224</v>
      </c>
      <c r="B1174" s="24">
        <v>46176</v>
      </c>
      <c r="C1174" s="27" t="s">
        <v>5797</v>
      </c>
      <c r="D1174" s="27" t="s">
        <v>3223</v>
      </c>
      <c r="E1174" t="s">
        <v>1589</v>
      </c>
      <c r="F1174" t="s">
        <v>104</v>
      </c>
      <c r="H1174" t="s">
        <v>5762</v>
      </c>
    </row>
    <row r="1175" spans="1:8">
      <c r="A1175" t="s">
        <v>4225</v>
      </c>
      <c r="B1175" s="24">
        <v>46177</v>
      </c>
      <c r="C1175" s="27" t="s">
        <v>5797</v>
      </c>
      <c r="D1175" s="27" t="s">
        <v>3223</v>
      </c>
      <c r="E1175" t="s">
        <v>1590</v>
      </c>
      <c r="F1175" t="s">
        <v>104</v>
      </c>
      <c r="H1175" t="s">
        <v>5762</v>
      </c>
    </row>
    <row r="1176" spans="1:8">
      <c r="A1176" t="s">
        <v>4226</v>
      </c>
      <c r="B1176" s="24">
        <v>46178</v>
      </c>
      <c r="C1176" s="27" t="s">
        <v>5797</v>
      </c>
      <c r="D1176" s="27" t="s">
        <v>3223</v>
      </c>
      <c r="E1176" t="s">
        <v>1591</v>
      </c>
      <c r="F1176" t="s">
        <v>104</v>
      </c>
      <c r="H1176" t="s">
        <v>5762</v>
      </c>
    </row>
    <row r="1177" spans="1:8">
      <c r="A1177" t="s">
        <v>4227</v>
      </c>
      <c r="B1177" s="24">
        <v>46181</v>
      </c>
      <c r="C1177" s="27" t="s">
        <v>5797</v>
      </c>
      <c r="D1177" s="27" t="s">
        <v>3223</v>
      </c>
      <c r="E1177" t="s">
        <v>1592</v>
      </c>
      <c r="F1177" t="s">
        <v>104</v>
      </c>
      <c r="H1177" t="s">
        <v>5762</v>
      </c>
    </row>
    <row r="1178" spans="1:8">
      <c r="A1178" t="s">
        <v>4228</v>
      </c>
      <c r="B1178" s="24">
        <v>46182</v>
      </c>
      <c r="C1178" s="27" t="s">
        <v>5797</v>
      </c>
      <c r="D1178" s="27" t="s">
        <v>3223</v>
      </c>
      <c r="E1178" t="s">
        <v>1593</v>
      </c>
      <c r="F1178" t="s">
        <v>104</v>
      </c>
      <c r="H1178" t="s">
        <v>5762</v>
      </c>
    </row>
    <row r="1179" spans="1:8">
      <c r="A1179" t="s">
        <v>4229</v>
      </c>
      <c r="B1179" s="24">
        <v>46183</v>
      </c>
      <c r="C1179" s="27" t="s">
        <v>5797</v>
      </c>
      <c r="D1179" s="27" t="s">
        <v>3223</v>
      </c>
      <c r="E1179" t="s">
        <v>1594</v>
      </c>
      <c r="F1179" t="s">
        <v>104</v>
      </c>
      <c r="H1179" t="s">
        <v>5762</v>
      </c>
    </row>
    <row r="1180" spans="1:8">
      <c r="A1180" t="s">
        <v>4230</v>
      </c>
      <c r="B1180" s="24">
        <v>46184</v>
      </c>
      <c r="C1180" s="27" t="s">
        <v>5797</v>
      </c>
      <c r="D1180" s="27" t="s">
        <v>3223</v>
      </c>
      <c r="E1180" t="s">
        <v>1595</v>
      </c>
      <c r="F1180" t="s">
        <v>104</v>
      </c>
      <c r="H1180" t="s">
        <v>5762</v>
      </c>
    </row>
    <row r="1181" spans="1:8">
      <c r="A1181" t="s">
        <v>4231</v>
      </c>
      <c r="B1181" s="24">
        <v>46185</v>
      </c>
      <c r="C1181" s="27" t="s">
        <v>5797</v>
      </c>
      <c r="D1181" s="27" t="s">
        <v>3223</v>
      </c>
      <c r="E1181" t="s">
        <v>1596</v>
      </c>
      <c r="F1181" t="s">
        <v>104</v>
      </c>
      <c r="H1181" t="s">
        <v>5762</v>
      </c>
    </row>
    <row r="1182" spans="1:8">
      <c r="A1182" t="s">
        <v>4232</v>
      </c>
      <c r="B1182" s="24">
        <v>46174</v>
      </c>
      <c r="C1182" s="27" t="s">
        <v>5797</v>
      </c>
      <c r="D1182" s="27" t="s">
        <v>3223</v>
      </c>
      <c r="E1182" t="s">
        <v>1597</v>
      </c>
      <c r="F1182" t="s">
        <v>104</v>
      </c>
      <c r="H1182" t="s">
        <v>5762</v>
      </c>
    </row>
    <row r="1183" spans="1:8">
      <c r="A1183" t="s">
        <v>4233</v>
      </c>
      <c r="B1183" s="24">
        <v>46175</v>
      </c>
      <c r="C1183" s="27" t="s">
        <v>5797</v>
      </c>
      <c r="D1183" s="27" t="s">
        <v>3223</v>
      </c>
      <c r="E1183" t="s">
        <v>1598</v>
      </c>
      <c r="F1183" t="s">
        <v>104</v>
      </c>
      <c r="H1183" t="s">
        <v>5762</v>
      </c>
    </row>
    <row r="1184" spans="1:8">
      <c r="A1184" t="s">
        <v>4234</v>
      </c>
      <c r="B1184" s="24">
        <v>46176</v>
      </c>
      <c r="C1184" s="27" t="s">
        <v>5797</v>
      </c>
      <c r="D1184" s="27" t="s">
        <v>3223</v>
      </c>
      <c r="E1184" t="s">
        <v>1599</v>
      </c>
      <c r="F1184" t="s">
        <v>104</v>
      </c>
      <c r="H1184" t="s">
        <v>5762</v>
      </c>
    </row>
    <row r="1185" spans="1:8">
      <c r="A1185" t="s">
        <v>4235</v>
      </c>
      <c r="B1185" s="24">
        <v>46177</v>
      </c>
      <c r="C1185" s="27" t="s">
        <v>5797</v>
      </c>
      <c r="D1185" s="27" t="s">
        <v>3223</v>
      </c>
      <c r="E1185" t="s">
        <v>1600</v>
      </c>
      <c r="F1185" t="s">
        <v>104</v>
      </c>
      <c r="H1185" t="s">
        <v>5762</v>
      </c>
    </row>
    <row r="1186" spans="1:8">
      <c r="A1186" t="s">
        <v>4236</v>
      </c>
      <c r="B1186" s="24">
        <v>46178</v>
      </c>
      <c r="C1186" s="27" t="s">
        <v>5797</v>
      </c>
      <c r="D1186" s="27" t="s">
        <v>3223</v>
      </c>
      <c r="E1186" t="s">
        <v>1601</v>
      </c>
      <c r="F1186" t="s">
        <v>104</v>
      </c>
      <c r="H1186" t="s">
        <v>5762</v>
      </c>
    </row>
    <row r="1187" spans="1:8">
      <c r="A1187" t="s">
        <v>4237</v>
      </c>
      <c r="B1187" s="24">
        <v>46181</v>
      </c>
      <c r="C1187" s="27" t="s">
        <v>5797</v>
      </c>
      <c r="D1187" s="27" t="s">
        <v>3223</v>
      </c>
      <c r="E1187" t="s">
        <v>1602</v>
      </c>
      <c r="F1187" t="s">
        <v>104</v>
      </c>
      <c r="H1187" t="s">
        <v>5762</v>
      </c>
    </row>
    <row r="1188" spans="1:8">
      <c r="A1188" t="s">
        <v>4238</v>
      </c>
      <c r="B1188" s="24">
        <v>46182</v>
      </c>
      <c r="C1188" s="27" t="s">
        <v>5797</v>
      </c>
      <c r="D1188" s="27" t="s">
        <v>3223</v>
      </c>
      <c r="E1188" t="s">
        <v>1603</v>
      </c>
      <c r="F1188" t="s">
        <v>104</v>
      </c>
      <c r="H1188" t="s">
        <v>5762</v>
      </c>
    </row>
    <row r="1189" spans="1:8">
      <c r="A1189" t="s">
        <v>4239</v>
      </c>
      <c r="B1189" s="24">
        <v>46183</v>
      </c>
      <c r="C1189" s="27" t="s">
        <v>5797</v>
      </c>
      <c r="D1189" s="27" t="s">
        <v>3223</v>
      </c>
      <c r="E1189" t="s">
        <v>1604</v>
      </c>
      <c r="F1189" t="s">
        <v>104</v>
      </c>
      <c r="H1189" t="s">
        <v>5762</v>
      </c>
    </row>
    <row r="1190" spans="1:8">
      <c r="A1190" t="s">
        <v>4240</v>
      </c>
      <c r="B1190" s="24">
        <v>46184</v>
      </c>
      <c r="C1190" s="27" t="s">
        <v>5797</v>
      </c>
      <c r="D1190" s="27" t="s">
        <v>3223</v>
      </c>
      <c r="E1190" t="s">
        <v>1605</v>
      </c>
      <c r="F1190" t="s">
        <v>104</v>
      </c>
      <c r="H1190" t="s">
        <v>5762</v>
      </c>
    </row>
    <row r="1191" spans="1:8">
      <c r="A1191" t="s">
        <v>4241</v>
      </c>
      <c r="B1191" s="24">
        <v>46185</v>
      </c>
      <c r="C1191" s="27" t="s">
        <v>5797</v>
      </c>
      <c r="D1191" s="27" t="s">
        <v>3223</v>
      </c>
      <c r="E1191" t="s">
        <v>1606</v>
      </c>
      <c r="F1191" t="s">
        <v>104</v>
      </c>
      <c r="H1191" t="s">
        <v>5762</v>
      </c>
    </row>
    <row r="1192" spans="1:8">
      <c r="A1192" t="s">
        <v>4242</v>
      </c>
      <c r="B1192" s="24">
        <v>46174</v>
      </c>
      <c r="C1192" s="27" t="s">
        <v>5797</v>
      </c>
      <c r="D1192" s="27" t="s">
        <v>3223</v>
      </c>
      <c r="E1192" t="s">
        <v>1607</v>
      </c>
      <c r="F1192" t="s">
        <v>104</v>
      </c>
      <c r="H1192" t="s">
        <v>5762</v>
      </c>
    </row>
    <row r="1193" spans="1:8">
      <c r="A1193" t="s">
        <v>4243</v>
      </c>
      <c r="B1193" s="24">
        <v>46175</v>
      </c>
      <c r="C1193" s="27" t="s">
        <v>5797</v>
      </c>
      <c r="D1193" s="27" t="s">
        <v>3223</v>
      </c>
      <c r="E1193" t="s">
        <v>1608</v>
      </c>
      <c r="F1193" t="s">
        <v>104</v>
      </c>
      <c r="H1193" t="s">
        <v>5762</v>
      </c>
    </row>
    <row r="1194" spans="1:8">
      <c r="A1194" t="s">
        <v>4244</v>
      </c>
      <c r="B1194" s="24">
        <v>46176</v>
      </c>
      <c r="C1194" s="27" t="s">
        <v>5797</v>
      </c>
      <c r="D1194" s="27" t="s">
        <v>3223</v>
      </c>
      <c r="E1194" t="s">
        <v>1609</v>
      </c>
      <c r="F1194" t="s">
        <v>104</v>
      </c>
      <c r="H1194" t="s">
        <v>5762</v>
      </c>
    </row>
    <row r="1195" spans="1:8">
      <c r="A1195" t="s">
        <v>4245</v>
      </c>
      <c r="B1195" s="24">
        <v>46177</v>
      </c>
      <c r="C1195" s="27" t="s">
        <v>5797</v>
      </c>
      <c r="D1195" s="27" t="s">
        <v>3223</v>
      </c>
      <c r="E1195" t="s">
        <v>1610</v>
      </c>
      <c r="F1195" t="s">
        <v>104</v>
      </c>
      <c r="H1195" t="s">
        <v>5762</v>
      </c>
    </row>
    <row r="1196" spans="1:8">
      <c r="A1196" t="s">
        <v>4246</v>
      </c>
      <c r="B1196" s="24">
        <v>46178</v>
      </c>
      <c r="C1196" s="27" t="s">
        <v>5797</v>
      </c>
      <c r="D1196" s="27" t="s">
        <v>3223</v>
      </c>
      <c r="E1196" t="s">
        <v>1611</v>
      </c>
      <c r="F1196" t="s">
        <v>104</v>
      </c>
      <c r="H1196" t="s">
        <v>5762</v>
      </c>
    </row>
    <row r="1197" spans="1:8">
      <c r="A1197" t="s">
        <v>4247</v>
      </c>
      <c r="B1197" s="24">
        <v>46181</v>
      </c>
      <c r="C1197" s="27" t="s">
        <v>5797</v>
      </c>
      <c r="D1197" s="27" t="s">
        <v>3223</v>
      </c>
      <c r="E1197" t="s">
        <v>1612</v>
      </c>
      <c r="F1197" t="s">
        <v>104</v>
      </c>
      <c r="H1197" t="s">
        <v>5762</v>
      </c>
    </row>
    <row r="1198" spans="1:8">
      <c r="A1198" t="s">
        <v>4248</v>
      </c>
      <c r="B1198" s="24">
        <v>46182</v>
      </c>
      <c r="C1198" s="27" t="s">
        <v>5797</v>
      </c>
      <c r="D1198" s="27" t="s">
        <v>3223</v>
      </c>
      <c r="E1198" t="s">
        <v>1613</v>
      </c>
      <c r="F1198" t="s">
        <v>104</v>
      </c>
      <c r="H1198" t="s">
        <v>5762</v>
      </c>
    </row>
    <row r="1199" spans="1:8">
      <c r="A1199" t="s">
        <v>4249</v>
      </c>
      <c r="B1199" s="24">
        <v>46183</v>
      </c>
      <c r="C1199" s="27" t="s">
        <v>5797</v>
      </c>
      <c r="D1199" s="27" t="s">
        <v>3223</v>
      </c>
      <c r="E1199" t="s">
        <v>1614</v>
      </c>
      <c r="F1199" t="s">
        <v>104</v>
      </c>
      <c r="H1199" t="s">
        <v>5762</v>
      </c>
    </row>
    <row r="1200" spans="1:8">
      <c r="A1200" t="s">
        <v>4250</v>
      </c>
      <c r="B1200" s="24">
        <v>46184</v>
      </c>
      <c r="C1200" s="27" t="s">
        <v>5797</v>
      </c>
      <c r="D1200" s="27" t="s">
        <v>3223</v>
      </c>
      <c r="E1200" t="s">
        <v>1615</v>
      </c>
      <c r="F1200" t="s">
        <v>104</v>
      </c>
      <c r="H1200" t="s">
        <v>5762</v>
      </c>
    </row>
    <row r="1201" spans="1:8">
      <c r="A1201" t="s">
        <v>4251</v>
      </c>
      <c r="B1201" s="24">
        <v>46185</v>
      </c>
      <c r="C1201" s="27" t="s">
        <v>5797</v>
      </c>
      <c r="D1201" s="27" t="s">
        <v>3223</v>
      </c>
      <c r="E1201" t="s">
        <v>1616</v>
      </c>
      <c r="F1201" t="s">
        <v>104</v>
      </c>
      <c r="H1201" t="s">
        <v>5762</v>
      </c>
    </row>
    <row r="1202" spans="1:8">
      <c r="A1202" t="s">
        <v>4252</v>
      </c>
      <c r="B1202" s="24">
        <v>46174</v>
      </c>
      <c r="C1202" s="27" t="s">
        <v>5797</v>
      </c>
      <c r="D1202" s="27" t="s">
        <v>3223</v>
      </c>
      <c r="E1202" t="s">
        <v>1617</v>
      </c>
      <c r="F1202" t="s">
        <v>104</v>
      </c>
      <c r="H1202" t="s">
        <v>5762</v>
      </c>
    </row>
    <row r="1203" spans="1:8">
      <c r="A1203" t="s">
        <v>4253</v>
      </c>
      <c r="B1203" s="24">
        <v>46175</v>
      </c>
      <c r="C1203" s="27" t="s">
        <v>5797</v>
      </c>
      <c r="D1203" s="27" t="s">
        <v>3223</v>
      </c>
      <c r="E1203" t="s">
        <v>1618</v>
      </c>
      <c r="F1203" t="s">
        <v>104</v>
      </c>
      <c r="H1203" t="s">
        <v>5762</v>
      </c>
    </row>
    <row r="1204" spans="1:8">
      <c r="A1204" t="s">
        <v>4254</v>
      </c>
      <c r="B1204" s="24">
        <v>46176</v>
      </c>
      <c r="C1204" s="27" t="s">
        <v>5797</v>
      </c>
      <c r="D1204" s="27" t="s">
        <v>3223</v>
      </c>
      <c r="E1204" t="s">
        <v>1619</v>
      </c>
      <c r="F1204" t="s">
        <v>104</v>
      </c>
      <c r="H1204" t="s">
        <v>5762</v>
      </c>
    </row>
    <row r="1205" spans="1:8">
      <c r="A1205" t="s">
        <v>4255</v>
      </c>
      <c r="B1205" s="24">
        <v>46177</v>
      </c>
      <c r="C1205" s="27" t="s">
        <v>5797</v>
      </c>
      <c r="D1205" s="27" t="s">
        <v>3223</v>
      </c>
      <c r="E1205" t="s">
        <v>1620</v>
      </c>
      <c r="F1205" t="s">
        <v>104</v>
      </c>
      <c r="H1205" t="s">
        <v>5762</v>
      </c>
    </row>
    <row r="1206" spans="1:8">
      <c r="A1206" t="s">
        <v>4256</v>
      </c>
      <c r="B1206" s="24">
        <v>46178</v>
      </c>
      <c r="C1206" s="27" t="s">
        <v>5797</v>
      </c>
      <c r="D1206" s="27" t="s">
        <v>3223</v>
      </c>
      <c r="E1206" t="s">
        <v>1621</v>
      </c>
      <c r="F1206" t="s">
        <v>104</v>
      </c>
      <c r="H1206" t="s">
        <v>5762</v>
      </c>
    </row>
    <row r="1207" spans="1:8">
      <c r="A1207" t="s">
        <v>4257</v>
      </c>
      <c r="B1207" s="24">
        <v>46181</v>
      </c>
      <c r="C1207" s="27" t="s">
        <v>5797</v>
      </c>
      <c r="D1207" s="27" t="s">
        <v>3223</v>
      </c>
      <c r="E1207" t="s">
        <v>1622</v>
      </c>
      <c r="F1207" t="s">
        <v>104</v>
      </c>
      <c r="H1207" t="s">
        <v>5762</v>
      </c>
    </row>
    <row r="1208" spans="1:8">
      <c r="A1208" t="s">
        <v>4258</v>
      </c>
      <c r="B1208" s="24">
        <v>46182</v>
      </c>
      <c r="C1208" s="27" t="s">
        <v>5797</v>
      </c>
      <c r="D1208" s="27" t="s">
        <v>3223</v>
      </c>
      <c r="E1208" t="s">
        <v>1623</v>
      </c>
      <c r="F1208" t="s">
        <v>104</v>
      </c>
      <c r="H1208" t="s">
        <v>5762</v>
      </c>
    </row>
    <row r="1209" spans="1:8">
      <c r="A1209" t="s">
        <v>4259</v>
      </c>
      <c r="B1209" s="24">
        <v>46183</v>
      </c>
      <c r="C1209" s="27" t="s">
        <v>5797</v>
      </c>
      <c r="D1209" s="27" t="s">
        <v>3223</v>
      </c>
      <c r="E1209" t="s">
        <v>1624</v>
      </c>
      <c r="F1209" t="s">
        <v>104</v>
      </c>
      <c r="H1209" t="s">
        <v>5762</v>
      </c>
    </row>
    <row r="1210" spans="1:8">
      <c r="A1210" t="s">
        <v>4260</v>
      </c>
      <c r="B1210" s="24">
        <v>46184</v>
      </c>
      <c r="C1210" s="27" t="s">
        <v>5797</v>
      </c>
      <c r="D1210" s="27" t="s">
        <v>3223</v>
      </c>
      <c r="E1210" t="s">
        <v>1625</v>
      </c>
      <c r="F1210" t="s">
        <v>104</v>
      </c>
      <c r="H1210" t="s">
        <v>5762</v>
      </c>
    </row>
    <row r="1211" spans="1:8">
      <c r="A1211" t="s">
        <v>4261</v>
      </c>
      <c r="B1211" s="24">
        <v>46185</v>
      </c>
      <c r="C1211" s="27" t="s">
        <v>5797</v>
      </c>
      <c r="D1211" s="27" t="s">
        <v>3223</v>
      </c>
      <c r="E1211" t="s">
        <v>1626</v>
      </c>
      <c r="F1211" t="s">
        <v>104</v>
      </c>
      <c r="H1211" t="s">
        <v>5762</v>
      </c>
    </row>
    <row r="1212" spans="1:8">
      <c r="A1212" t="s">
        <v>4262</v>
      </c>
      <c r="B1212" s="24">
        <v>46174</v>
      </c>
      <c r="C1212" s="27" t="s">
        <v>5797</v>
      </c>
      <c r="D1212" s="27" t="s">
        <v>3223</v>
      </c>
      <c r="E1212" t="s">
        <v>1627</v>
      </c>
      <c r="F1212" t="s">
        <v>104</v>
      </c>
      <c r="H1212" t="s">
        <v>5762</v>
      </c>
    </row>
    <row r="1213" spans="1:8">
      <c r="A1213" t="s">
        <v>4263</v>
      </c>
      <c r="B1213" s="24">
        <v>46175</v>
      </c>
      <c r="C1213" s="27" t="s">
        <v>5797</v>
      </c>
      <c r="D1213" s="27" t="s">
        <v>3223</v>
      </c>
      <c r="E1213" t="s">
        <v>1628</v>
      </c>
      <c r="F1213" t="s">
        <v>104</v>
      </c>
      <c r="H1213" t="s">
        <v>5762</v>
      </c>
    </row>
    <row r="1214" spans="1:8">
      <c r="A1214" t="s">
        <v>4264</v>
      </c>
      <c r="B1214" s="24">
        <v>46176</v>
      </c>
      <c r="C1214" s="27" t="s">
        <v>5797</v>
      </c>
      <c r="D1214" s="27" t="s">
        <v>3223</v>
      </c>
      <c r="E1214" t="s">
        <v>1629</v>
      </c>
      <c r="F1214" t="s">
        <v>104</v>
      </c>
      <c r="H1214" t="s">
        <v>5762</v>
      </c>
    </row>
    <row r="1215" spans="1:8">
      <c r="A1215" t="s">
        <v>4265</v>
      </c>
      <c r="B1215" s="24">
        <v>46177</v>
      </c>
      <c r="C1215" s="27" t="s">
        <v>5797</v>
      </c>
      <c r="D1215" s="27" t="s">
        <v>3223</v>
      </c>
      <c r="E1215" t="s">
        <v>1630</v>
      </c>
      <c r="F1215" t="s">
        <v>104</v>
      </c>
      <c r="H1215" t="s">
        <v>5762</v>
      </c>
    </row>
    <row r="1216" spans="1:8">
      <c r="A1216" t="s">
        <v>4266</v>
      </c>
      <c r="B1216" s="24">
        <v>46178</v>
      </c>
      <c r="C1216" s="27" t="s">
        <v>5797</v>
      </c>
      <c r="D1216" s="27" t="s">
        <v>3223</v>
      </c>
      <c r="E1216" t="s">
        <v>1631</v>
      </c>
      <c r="F1216" t="s">
        <v>104</v>
      </c>
      <c r="H1216" t="s">
        <v>5762</v>
      </c>
    </row>
    <row r="1217" spans="1:8">
      <c r="A1217" t="s">
        <v>4267</v>
      </c>
      <c r="B1217" s="24">
        <v>46181</v>
      </c>
      <c r="C1217" s="27" t="s">
        <v>5797</v>
      </c>
      <c r="D1217" s="27" t="s">
        <v>3223</v>
      </c>
      <c r="E1217" t="s">
        <v>1632</v>
      </c>
      <c r="F1217" t="s">
        <v>104</v>
      </c>
      <c r="H1217" t="s">
        <v>5762</v>
      </c>
    </row>
    <row r="1218" spans="1:8">
      <c r="A1218" t="s">
        <v>4268</v>
      </c>
      <c r="B1218" s="24">
        <v>46182</v>
      </c>
      <c r="C1218" s="27" t="s">
        <v>5797</v>
      </c>
      <c r="D1218" s="27" t="s">
        <v>3223</v>
      </c>
      <c r="E1218" t="s">
        <v>1633</v>
      </c>
      <c r="F1218" t="s">
        <v>104</v>
      </c>
      <c r="H1218" t="s">
        <v>5762</v>
      </c>
    </row>
    <row r="1219" spans="1:8">
      <c r="A1219" t="s">
        <v>4269</v>
      </c>
      <c r="B1219" s="24">
        <v>46183</v>
      </c>
      <c r="C1219" s="27" t="s">
        <v>5797</v>
      </c>
      <c r="D1219" s="27" t="s">
        <v>3223</v>
      </c>
      <c r="E1219" t="s">
        <v>1634</v>
      </c>
      <c r="F1219" t="s">
        <v>104</v>
      </c>
      <c r="H1219" t="s">
        <v>5762</v>
      </c>
    </row>
    <row r="1220" spans="1:8">
      <c r="A1220" t="s">
        <v>4270</v>
      </c>
      <c r="B1220" s="24">
        <v>46184</v>
      </c>
      <c r="C1220" s="27" t="s">
        <v>5797</v>
      </c>
      <c r="D1220" s="27" t="s">
        <v>3223</v>
      </c>
      <c r="E1220" t="s">
        <v>1635</v>
      </c>
      <c r="F1220" t="s">
        <v>104</v>
      </c>
      <c r="H1220" t="s">
        <v>5762</v>
      </c>
    </row>
    <row r="1221" spans="1:8">
      <c r="A1221" t="s">
        <v>4271</v>
      </c>
      <c r="B1221" s="24">
        <v>46185</v>
      </c>
      <c r="C1221" s="27" t="s">
        <v>5797</v>
      </c>
      <c r="D1221" s="27" t="s">
        <v>3223</v>
      </c>
      <c r="E1221" t="s">
        <v>1636</v>
      </c>
      <c r="F1221" t="s">
        <v>104</v>
      </c>
      <c r="H1221" t="s">
        <v>5762</v>
      </c>
    </row>
    <row r="1222" spans="1:8">
      <c r="A1222" t="s">
        <v>4272</v>
      </c>
      <c r="B1222" s="24">
        <v>46174</v>
      </c>
      <c r="C1222" s="27" t="s">
        <v>5797</v>
      </c>
      <c r="D1222" s="27" t="s">
        <v>3223</v>
      </c>
      <c r="E1222" t="s">
        <v>1637</v>
      </c>
      <c r="F1222" t="s">
        <v>104</v>
      </c>
      <c r="H1222" t="s">
        <v>5762</v>
      </c>
    </row>
    <row r="1223" spans="1:8">
      <c r="A1223" t="s">
        <v>4273</v>
      </c>
      <c r="B1223" s="24">
        <v>46175</v>
      </c>
      <c r="C1223" s="27" t="s">
        <v>5797</v>
      </c>
      <c r="D1223" s="27" t="s">
        <v>3223</v>
      </c>
      <c r="E1223" t="s">
        <v>1638</v>
      </c>
      <c r="F1223" t="s">
        <v>104</v>
      </c>
      <c r="H1223" t="s">
        <v>5762</v>
      </c>
    </row>
    <row r="1224" spans="1:8">
      <c r="A1224" t="s">
        <v>4274</v>
      </c>
      <c r="B1224" s="24">
        <v>46176</v>
      </c>
      <c r="C1224" s="27" t="s">
        <v>5797</v>
      </c>
      <c r="D1224" s="27" t="s">
        <v>3223</v>
      </c>
      <c r="E1224" t="s">
        <v>1639</v>
      </c>
      <c r="F1224" t="s">
        <v>104</v>
      </c>
      <c r="H1224" t="s">
        <v>5762</v>
      </c>
    </row>
    <row r="1225" spans="1:8">
      <c r="A1225" t="s">
        <v>4275</v>
      </c>
      <c r="B1225" s="24">
        <v>46177</v>
      </c>
      <c r="C1225" s="27" t="s">
        <v>5797</v>
      </c>
      <c r="D1225" s="27" t="s">
        <v>3223</v>
      </c>
      <c r="E1225" t="s">
        <v>1640</v>
      </c>
      <c r="F1225" t="s">
        <v>104</v>
      </c>
      <c r="H1225" t="s">
        <v>5762</v>
      </c>
    </row>
    <row r="1226" spans="1:8">
      <c r="A1226" t="s">
        <v>4276</v>
      </c>
      <c r="B1226" s="24">
        <v>46178</v>
      </c>
      <c r="C1226" s="27" t="s">
        <v>5797</v>
      </c>
      <c r="D1226" s="27" t="s">
        <v>3223</v>
      </c>
      <c r="E1226" t="s">
        <v>1641</v>
      </c>
      <c r="F1226" t="s">
        <v>104</v>
      </c>
      <c r="H1226" t="s">
        <v>5762</v>
      </c>
    </row>
    <row r="1227" spans="1:8">
      <c r="A1227" t="s">
        <v>4277</v>
      </c>
      <c r="B1227" s="24">
        <v>46181</v>
      </c>
      <c r="C1227" s="27" t="s">
        <v>5797</v>
      </c>
      <c r="D1227" s="27" t="s">
        <v>3223</v>
      </c>
      <c r="E1227" t="s">
        <v>1642</v>
      </c>
      <c r="F1227" t="s">
        <v>104</v>
      </c>
      <c r="H1227" t="s">
        <v>5762</v>
      </c>
    </row>
    <row r="1228" spans="1:8">
      <c r="A1228" t="s">
        <v>4278</v>
      </c>
      <c r="B1228" s="24">
        <v>46182</v>
      </c>
      <c r="C1228" s="27" t="s">
        <v>5797</v>
      </c>
      <c r="D1228" s="27" t="s">
        <v>3223</v>
      </c>
      <c r="E1228" t="s">
        <v>1643</v>
      </c>
      <c r="F1228" t="s">
        <v>104</v>
      </c>
      <c r="H1228" t="s">
        <v>5762</v>
      </c>
    </row>
    <row r="1229" spans="1:8">
      <c r="A1229" t="s">
        <v>4279</v>
      </c>
      <c r="B1229" s="24">
        <v>46183</v>
      </c>
      <c r="C1229" s="27" t="s">
        <v>5797</v>
      </c>
      <c r="D1229" s="27" t="s">
        <v>3223</v>
      </c>
      <c r="E1229" t="s">
        <v>1644</v>
      </c>
      <c r="F1229" t="s">
        <v>104</v>
      </c>
      <c r="G1229" t="s">
        <v>105</v>
      </c>
      <c r="H1229">
        <v>0</v>
      </c>
    </row>
    <row r="1230" spans="1:8">
      <c r="A1230" t="s">
        <v>4280</v>
      </c>
      <c r="B1230" s="24">
        <v>46184</v>
      </c>
      <c r="C1230" s="27" t="s">
        <v>5797</v>
      </c>
      <c r="D1230" s="27" t="s">
        <v>3223</v>
      </c>
      <c r="E1230" t="s">
        <v>1645</v>
      </c>
      <c r="F1230" t="s">
        <v>104</v>
      </c>
      <c r="G1230" t="s">
        <v>105</v>
      </c>
      <c r="H1230">
        <v>0</v>
      </c>
    </row>
    <row r="1231" spans="1:8">
      <c r="A1231" t="s">
        <v>4281</v>
      </c>
      <c r="B1231" s="24">
        <v>46185</v>
      </c>
      <c r="C1231" s="27" t="s">
        <v>5797</v>
      </c>
      <c r="D1231" s="27" t="s">
        <v>3224</v>
      </c>
      <c r="E1231" t="s">
        <v>1646</v>
      </c>
      <c r="F1231" t="s">
        <v>104</v>
      </c>
      <c r="G1231" t="s">
        <v>105</v>
      </c>
      <c r="H1231">
        <v>0</v>
      </c>
    </row>
    <row r="1232" spans="1:8">
      <c r="A1232" t="s">
        <v>4282</v>
      </c>
      <c r="B1232" s="24">
        <v>46174</v>
      </c>
      <c r="C1232" s="27" t="s">
        <v>5797</v>
      </c>
      <c r="D1232" s="27" t="s">
        <v>3224</v>
      </c>
      <c r="E1232" t="s">
        <v>1647</v>
      </c>
      <c r="F1232" t="s">
        <v>104</v>
      </c>
      <c r="G1232" t="s">
        <v>105</v>
      </c>
      <c r="H1232">
        <v>0</v>
      </c>
    </row>
    <row r="1233" spans="1:8">
      <c r="A1233" t="s">
        <v>4283</v>
      </c>
      <c r="B1233" s="24">
        <v>46175</v>
      </c>
      <c r="C1233" s="27" t="s">
        <v>5797</v>
      </c>
      <c r="D1233" s="27" t="s">
        <v>3224</v>
      </c>
      <c r="E1233" t="s">
        <v>1648</v>
      </c>
      <c r="F1233" t="s">
        <v>104</v>
      </c>
      <c r="G1233" t="s">
        <v>105</v>
      </c>
      <c r="H1233">
        <v>0</v>
      </c>
    </row>
    <row r="1234" spans="1:8">
      <c r="A1234" t="s">
        <v>4284</v>
      </c>
      <c r="B1234" s="24">
        <v>46176</v>
      </c>
      <c r="C1234" s="27" t="s">
        <v>5797</v>
      </c>
      <c r="D1234" s="27" t="s">
        <v>3224</v>
      </c>
      <c r="E1234" t="s">
        <v>1649</v>
      </c>
      <c r="F1234" t="s">
        <v>104</v>
      </c>
      <c r="G1234" t="s">
        <v>105</v>
      </c>
      <c r="H1234">
        <v>0</v>
      </c>
    </row>
    <row r="1235" spans="1:8">
      <c r="A1235" t="s">
        <v>4285</v>
      </c>
      <c r="B1235" s="24">
        <v>46177</v>
      </c>
      <c r="C1235" s="27" t="s">
        <v>5797</v>
      </c>
      <c r="D1235" s="27" t="s">
        <v>3224</v>
      </c>
      <c r="E1235" t="s">
        <v>1650</v>
      </c>
      <c r="F1235" t="s">
        <v>104</v>
      </c>
      <c r="G1235" t="s">
        <v>105</v>
      </c>
      <c r="H1235">
        <v>0</v>
      </c>
    </row>
    <row r="1236" spans="1:8">
      <c r="A1236" t="s">
        <v>4286</v>
      </c>
      <c r="B1236" s="24">
        <v>46178</v>
      </c>
      <c r="C1236" s="27" t="s">
        <v>5797</v>
      </c>
      <c r="D1236" s="27" t="s">
        <v>3224</v>
      </c>
      <c r="E1236" t="s">
        <v>1651</v>
      </c>
      <c r="F1236" t="s">
        <v>104</v>
      </c>
      <c r="G1236" t="s">
        <v>105</v>
      </c>
      <c r="H1236">
        <v>0</v>
      </c>
    </row>
    <row r="1237" spans="1:8">
      <c r="A1237" t="s">
        <v>4287</v>
      </c>
      <c r="B1237" s="24">
        <v>46181</v>
      </c>
      <c r="C1237" s="27" t="s">
        <v>5797</v>
      </c>
      <c r="D1237" s="27" t="s">
        <v>3224</v>
      </c>
      <c r="E1237" t="s">
        <v>1652</v>
      </c>
      <c r="F1237" t="s">
        <v>104</v>
      </c>
      <c r="G1237" t="s">
        <v>105</v>
      </c>
      <c r="H1237">
        <v>0</v>
      </c>
    </row>
    <row r="1238" spans="1:8">
      <c r="A1238" t="s">
        <v>4288</v>
      </c>
      <c r="B1238" s="24">
        <v>46182</v>
      </c>
      <c r="C1238" s="27" t="s">
        <v>5797</v>
      </c>
      <c r="D1238" s="27" t="s">
        <v>3224</v>
      </c>
      <c r="E1238" t="s">
        <v>1653</v>
      </c>
      <c r="F1238" t="s">
        <v>104</v>
      </c>
      <c r="G1238" t="s">
        <v>105</v>
      </c>
      <c r="H1238">
        <v>0</v>
      </c>
    </row>
    <row r="1239" spans="1:8">
      <c r="A1239" t="s">
        <v>4289</v>
      </c>
      <c r="B1239" s="24">
        <v>46183</v>
      </c>
      <c r="C1239" s="27" t="s">
        <v>5797</v>
      </c>
      <c r="D1239" s="27" t="s">
        <v>3224</v>
      </c>
      <c r="E1239" t="s">
        <v>1654</v>
      </c>
      <c r="F1239" t="s">
        <v>104</v>
      </c>
      <c r="G1239" t="s">
        <v>105</v>
      </c>
      <c r="H1239">
        <v>0</v>
      </c>
    </row>
    <row r="1240" spans="1:8">
      <c r="A1240" t="s">
        <v>4290</v>
      </c>
      <c r="B1240" s="24">
        <v>46184</v>
      </c>
      <c r="C1240" s="27" t="s">
        <v>5797</v>
      </c>
      <c r="D1240" s="27" t="s">
        <v>3224</v>
      </c>
      <c r="E1240" t="s">
        <v>1655</v>
      </c>
      <c r="F1240" t="s">
        <v>104</v>
      </c>
      <c r="G1240" t="s">
        <v>105</v>
      </c>
      <c r="H1240">
        <v>0</v>
      </c>
    </row>
    <row r="1241" spans="1:8">
      <c r="A1241" t="s">
        <v>4291</v>
      </c>
      <c r="B1241" s="24">
        <v>46185</v>
      </c>
      <c r="C1241" s="27" t="s">
        <v>5797</v>
      </c>
      <c r="D1241" s="27" t="s">
        <v>3224</v>
      </c>
      <c r="E1241" t="s">
        <v>1656</v>
      </c>
      <c r="F1241" t="s">
        <v>104</v>
      </c>
      <c r="G1241" t="s">
        <v>105</v>
      </c>
      <c r="H1241">
        <v>0</v>
      </c>
    </row>
    <row r="1242" spans="1:8">
      <c r="A1242" t="s">
        <v>4292</v>
      </c>
      <c r="B1242" s="24">
        <v>46174</v>
      </c>
      <c r="C1242" s="27" t="s">
        <v>5797</v>
      </c>
      <c r="D1242" s="27" t="s">
        <v>3224</v>
      </c>
      <c r="E1242" t="s">
        <v>1657</v>
      </c>
      <c r="F1242" t="s">
        <v>104</v>
      </c>
      <c r="G1242" t="s">
        <v>105</v>
      </c>
      <c r="H1242">
        <v>0</v>
      </c>
    </row>
    <row r="1243" spans="1:8">
      <c r="A1243" t="s">
        <v>4293</v>
      </c>
      <c r="B1243" s="24">
        <v>46175</v>
      </c>
      <c r="C1243" s="27" t="s">
        <v>5797</v>
      </c>
      <c r="D1243" s="27" t="s">
        <v>3224</v>
      </c>
      <c r="E1243" t="s">
        <v>1658</v>
      </c>
      <c r="F1243" t="s">
        <v>104</v>
      </c>
      <c r="G1243" t="s">
        <v>105</v>
      </c>
      <c r="H1243">
        <v>0</v>
      </c>
    </row>
    <row r="1244" spans="1:8">
      <c r="A1244" t="s">
        <v>4294</v>
      </c>
      <c r="B1244" s="24">
        <v>46176</v>
      </c>
      <c r="C1244" s="27" t="s">
        <v>5797</v>
      </c>
      <c r="D1244" s="27" t="s">
        <v>3224</v>
      </c>
      <c r="E1244" t="s">
        <v>1659</v>
      </c>
      <c r="F1244" t="s">
        <v>104</v>
      </c>
      <c r="G1244" t="s">
        <v>105</v>
      </c>
      <c r="H1244">
        <v>0</v>
      </c>
    </row>
    <row r="1245" spans="1:8">
      <c r="A1245" t="s">
        <v>4295</v>
      </c>
      <c r="B1245" s="24">
        <v>46177</v>
      </c>
      <c r="C1245" s="27" t="s">
        <v>5797</v>
      </c>
      <c r="D1245" s="27" t="s">
        <v>3224</v>
      </c>
      <c r="E1245" t="s">
        <v>1660</v>
      </c>
      <c r="F1245" t="s">
        <v>104</v>
      </c>
      <c r="G1245" t="s">
        <v>105</v>
      </c>
      <c r="H1245">
        <v>0</v>
      </c>
    </row>
    <row r="1246" spans="1:8">
      <c r="A1246" t="s">
        <v>4296</v>
      </c>
      <c r="B1246" s="24">
        <v>46178</v>
      </c>
      <c r="C1246" s="27" t="s">
        <v>5797</v>
      </c>
      <c r="D1246" s="27" t="s">
        <v>3225</v>
      </c>
      <c r="E1246" t="s">
        <v>1661</v>
      </c>
      <c r="F1246" t="s">
        <v>104</v>
      </c>
      <c r="G1246" t="s">
        <v>105</v>
      </c>
      <c r="H1246">
        <v>0</v>
      </c>
    </row>
    <row r="1247" spans="1:8">
      <c r="A1247" t="s">
        <v>4297</v>
      </c>
      <c r="B1247" s="24">
        <v>46181</v>
      </c>
      <c r="C1247" s="27" t="s">
        <v>5797</v>
      </c>
      <c r="D1247" s="27" t="s">
        <v>3224</v>
      </c>
      <c r="E1247" t="s">
        <v>1662</v>
      </c>
      <c r="F1247" t="s">
        <v>104</v>
      </c>
      <c r="G1247" t="s">
        <v>105</v>
      </c>
      <c r="H1247">
        <v>0</v>
      </c>
    </row>
    <row r="1248" spans="1:8">
      <c r="A1248" t="s">
        <v>4298</v>
      </c>
      <c r="B1248" s="24">
        <v>46182</v>
      </c>
      <c r="C1248" s="27" t="s">
        <v>5797</v>
      </c>
      <c r="D1248" s="27" t="s">
        <v>3224</v>
      </c>
      <c r="E1248" t="s">
        <v>1663</v>
      </c>
      <c r="F1248" t="s">
        <v>104</v>
      </c>
      <c r="G1248" t="s">
        <v>105</v>
      </c>
      <c r="H1248">
        <v>0</v>
      </c>
    </row>
    <row r="1249" spans="1:8">
      <c r="A1249" t="s">
        <v>4299</v>
      </c>
      <c r="B1249" s="24">
        <v>46183</v>
      </c>
      <c r="C1249" s="27" t="s">
        <v>5797</v>
      </c>
      <c r="D1249" s="27" t="s">
        <v>3224</v>
      </c>
      <c r="E1249" t="s">
        <v>1664</v>
      </c>
      <c r="F1249" t="s">
        <v>104</v>
      </c>
      <c r="G1249" t="s">
        <v>105</v>
      </c>
      <c r="H1249">
        <v>0</v>
      </c>
    </row>
    <row r="1250" spans="1:8">
      <c r="A1250" t="s">
        <v>4300</v>
      </c>
      <c r="B1250" s="24">
        <v>46184</v>
      </c>
      <c r="C1250" s="27" t="s">
        <v>5797</v>
      </c>
      <c r="D1250" s="27" t="s">
        <v>3224</v>
      </c>
      <c r="E1250" t="s">
        <v>1665</v>
      </c>
      <c r="F1250" t="s">
        <v>104</v>
      </c>
      <c r="G1250" t="s">
        <v>105</v>
      </c>
      <c r="H1250">
        <v>0</v>
      </c>
    </row>
    <row r="1251" spans="1:8">
      <c r="A1251" t="s">
        <v>4301</v>
      </c>
      <c r="B1251" s="24">
        <v>46185</v>
      </c>
      <c r="C1251" s="27" t="s">
        <v>5797</v>
      </c>
      <c r="D1251" s="27" t="s">
        <v>3224</v>
      </c>
      <c r="E1251" t="s">
        <v>1666</v>
      </c>
      <c r="F1251" t="s">
        <v>104</v>
      </c>
      <c r="G1251" t="s">
        <v>105</v>
      </c>
      <c r="H1251">
        <v>0</v>
      </c>
    </row>
    <row r="1252" spans="1:8">
      <c r="A1252" t="s">
        <v>4302</v>
      </c>
      <c r="B1252" s="24">
        <v>46174</v>
      </c>
      <c r="C1252" s="27" t="s">
        <v>5797</v>
      </c>
      <c r="D1252" s="27" t="s">
        <v>3224</v>
      </c>
      <c r="E1252" t="s">
        <v>1667</v>
      </c>
      <c r="F1252" t="s">
        <v>104</v>
      </c>
      <c r="G1252" t="s">
        <v>105</v>
      </c>
      <c r="H1252">
        <v>0</v>
      </c>
    </row>
    <row r="1253" spans="1:8">
      <c r="A1253" t="s">
        <v>4303</v>
      </c>
      <c r="B1253" s="24">
        <v>46175</v>
      </c>
      <c r="C1253" s="27" t="s">
        <v>5797</v>
      </c>
      <c r="D1253" s="27" t="s">
        <v>3224</v>
      </c>
      <c r="E1253" t="s">
        <v>1668</v>
      </c>
      <c r="F1253" t="s">
        <v>104</v>
      </c>
      <c r="G1253" t="s">
        <v>105</v>
      </c>
      <c r="H1253">
        <v>0</v>
      </c>
    </row>
    <row r="1254" spans="1:8">
      <c r="A1254" t="s">
        <v>4304</v>
      </c>
      <c r="B1254" s="24">
        <v>46176</v>
      </c>
      <c r="C1254" s="27" t="s">
        <v>5797</v>
      </c>
      <c r="D1254" s="27" t="s">
        <v>3224</v>
      </c>
      <c r="E1254" t="s">
        <v>1669</v>
      </c>
      <c r="F1254" t="s">
        <v>104</v>
      </c>
      <c r="G1254" t="s">
        <v>105</v>
      </c>
      <c r="H1254">
        <v>0</v>
      </c>
    </row>
    <row r="1255" spans="1:8">
      <c r="A1255" t="s">
        <v>4305</v>
      </c>
      <c r="B1255" s="24">
        <v>46177</v>
      </c>
      <c r="C1255" s="27" t="s">
        <v>5797</v>
      </c>
      <c r="D1255" s="27" t="s">
        <v>3224</v>
      </c>
      <c r="E1255" t="s">
        <v>1670</v>
      </c>
      <c r="F1255" t="s">
        <v>104</v>
      </c>
      <c r="G1255" t="s">
        <v>105</v>
      </c>
      <c r="H1255">
        <v>0</v>
      </c>
    </row>
    <row r="1256" spans="1:8">
      <c r="A1256" t="s">
        <v>4306</v>
      </c>
      <c r="B1256" s="24">
        <v>46178</v>
      </c>
      <c r="C1256" s="27" t="s">
        <v>5797</v>
      </c>
      <c r="D1256" s="27" t="s">
        <v>3224</v>
      </c>
      <c r="E1256" t="s">
        <v>1671</v>
      </c>
      <c r="F1256" t="s">
        <v>104</v>
      </c>
      <c r="G1256" t="s">
        <v>105</v>
      </c>
      <c r="H1256">
        <v>0</v>
      </c>
    </row>
    <row r="1257" spans="1:8">
      <c r="A1257" t="s">
        <v>4307</v>
      </c>
      <c r="B1257" s="24">
        <v>46181</v>
      </c>
      <c r="C1257" s="27" t="s">
        <v>5797</v>
      </c>
      <c r="D1257" s="27" t="s">
        <v>3224</v>
      </c>
      <c r="E1257" t="s">
        <v>1672</v>
      </c>
      <c r="F1257" t="s">
        <v>104</v>
      </c>
      <c r="G1257" t="s">
        <v>105</v>
      </c>
      <c r="H1257">
        <v>0</v>
      </c>
    </row>
    <row r="1258" spans="1:8">
      <c r="A1258" t="s">
        <v>4308</v>
      </c>
      <c r="B1258" s="24">
        <v>46182</v>
      </c>
      <c r="C1258" s="27" t="s">
        <v>5797</v>
      </c>
      <c r="D1258" s="27" t="s">
        <v>3224</v>
      </c>
      <c r="E1258" t="s">
        <v>1673</v>
      </c>
      <c r="F1258" t="s">
        <v>104</v>
      </c>
      <c r="G1258" t="s">
        <v>105</v>
      </c>
      <c r="H1258">
        <v>0</v>
      </c>
    </row>
    <row r="1259" spans="1:8">
      <c r="A1259" t="s">
        <v>4309</v>
      </c>
      <c r="B1259" s="24">
        <v>46183</v>
      </c>
      <c r="C1259" s="27" t="s">
        <v>5797</v>
      </c>
      <c r="D1259" s="27" t="s">
        <v>3224</v>
      </c>
      <c r="E1259" t="s">
        <v>1674</v>
      </c>
      <c r="F1259" t="s">
        <v>104</v>
      </c>
      <c r="G1259" t="s">
        <v>105</v>
      </c>
      <c r="H1259">
        <v>0</v>
      </c>
    </row>
    <row r="1260" spans="1:8">
      <c r="A1260" t="s">
        <v>4310</v>
      </c>
      <c r="B1260" s="24">
        <v>46184</v>
      </c>
      <c r="C1260" s="27" t="s">
        <v>5797</v>
      </c>
      <c r="D1260" s="27" t="s">
        <v>3224</v>
      </c>
      <c r="E1260" t="s">
        <v>1675</v>
      </c>
      <c r="F1260" t="s">
        <v>104</v>
      </c>
      <c r="G1260" t="s">
        <v>105</v>
      </c>
      <c r="H1260">
        <v>0</v>
      </c>
    </row>
    <row r="1261" spans="1:8">
      <c r="A1261" t="s">
        <v>4311</v>
      </c>
      <c r="B1261" s="24">
        <v>46185</v>
      </c>
      <c r="C1261" s="27" t="s">
        <v>5797</v>
      </c>
      <c r="D1261" s="27" t="s">
        <v>3224</v>
      </c>
      <c r="E1261" t="s">
        <v>1676</v>
      </c>
      <c r="F1261" t="s">
        <v>104</v>
      </c>
      <c r="G1261" t="s">
        <v>105</v>
      </c>
      <c r="H1261">
        <v>0</v>
      </c>
    </row>
    <row r="1262" spans="1:8">
      <c r="A1262" t="s">
        <v>4312</v>
      </c>
      <c r="B1262" s="24">
        <v>46174</v>
      </c>
      <c r="C1262" s="27" t="s">
        <v>5797</v>
      </c>
      <c r="D1262" s="27" t="s">
        <v>3224</v>
      </c>
      <c r="E1262" t="s">
        <v>1677</v>
      </c>
      <c r="F1262" t="s">
        <v>104</v>
      </c>
      <c r="G1262" t="s">
        <v>105</v>
      </c>
      <c r="H1262">
        <v>0</v>
      </c>
    </row>
    <row r="1263" spans="1:8">
      <c r="A1263" t="s">
        <v>4313</v>
      </c>
      <c r="B1263" s="24">
        <v>46175</v>
      </c>
      <c r="C1263" s="27" t="s">
        <v>5797</v>
      </c>
      <c r="D1263" s="27" t="s">
        <v>3224</v>
      </c>
      <c r="E1263" t="s">
        <v>1678</v>
      </c>
      <c r="F1263" t="s">
        <v>104</v>
      </c>
      <c r="G1263" t="s">
        <v>105</v>
      </c>
      <c r="H1263">
        <v>0</v>
      </c>
    </row>
    <row r="1264" spans="1:8">
      <c r="A1264" t="s">
        <v>4314</v>
      </c>
      <c r="B1264" s="24">
        <v>46176</v>
      </c>
      <c r="C1264" s="27" t="s">
        <v>5797</v>
      </c>
      <c r="D1264" s="27" t="s">
        <v>3224</v>
      </c>
      <c r="E1264" t="s">
        <v>1679</v>
      </c>
      <c r="F1264" t="s">
        <v>104</v>
      </c>
      <c r="G1264" t="s">
        <v>105</v>
      </c>
      <c r="H1264">
        <v>0</v>
      </c>
    </row>
    <row r="1265" spans="1:8">
      <c r="A1265" t="s">
        <v>4315</v>
      </c>
      <c r="B1265" s="24">
        <v>46177</v>
      </c>
      <c r="C1265" s="27" t="s">
        <v>5797</v>
      </c>
      <c r="D1265" s="27" t="s">
        <v>3224</v>
      </c>
      <c r="E1265" t="s">
        <v>1680</v>
      </c>
      <c r="F1265" t="s">
        <v>104</v>
      </c>
      <c r="G1265" t="s">
        <v>105</v>
      </c>
      <c r="H1265">
        <v>0</v>
      </c>
    </row>
    <row r="1266" spans="1:8">
      <c r="A1266" t="s">
        <v>4316</v>
      </c>
      <c r="B1266" s="24">
        <v>46178</v>
      </c>
      <c r="C1266" s="27" t="s">
        <v>5797</v>
      </c>
      <c r="D1266" s="27" t="s">
        <v>3224</v>
      </c>
      <c r="E1266" t="s">
        <v>1681</v>
      </c>
      <c r="F1266" t="s">
        <v>104</v>
      </c>
      <c r="G1266" t="s">
        <v>105</v>
      </c>
      <c r="H1266">
        <v>0</v>
      </c>
    </row>
    <row r="1267" spans="1:8">
      <c r="A1267" t="s">
        <v>4317</v>
      </c>
      <c r="B1267" s="24">
        <v>46181</v>
      </c>
      <c r="C1267" s="27" t="s">
        <v>5797</v>
      </c>
      <c r="D1267" s="27" t="s">
        <v>3224</v>
      </c>
      <c r="E1267" t="s">
        <v>1682</v>
      </c>
      <c r="F1267" t="s">
        <v>104</v>
      </c>
      <c r="G1267" t="s">
        <v>105</v>
      </c>
      <c r="H1267">
        <v>0</v>
      </c>
    </row>
    <row r="1268" spans="1:8">
      <c r="A1268" t="s">
        <v>4318</v>
      </c>
      <c r="B1268" s="24">
        <v>46182</v>
      </c>
      <c r="C1268" s="27" t="s">
        <v>5797</v>
      </c>
      <c r="D1268" s="27" t="s">
        <v>3224</v>
      </c>
      <c r="E1268" t="s">
        <v>1683</v>
      </c>
      <c r="F1268" t="s">
        <v>104</v>
      </c>
      <c r="G1268" t="s">
        <v>105</v>
      </c>
      <c r="H1268">
        <v>0</v>
      </c>
    </row>
    <row r="1269" spans="1:8">
      <c r="A1269" t="s">
        <v>4319</v>
      </c>
      <c r="B1269" s="24">
        <v>46183</v>
      </c>
      <c r="C1269" s="27" t="s">
        <v>5797</v>
      </c>
      <c r="D1269" s="27" t="s">
        <v>3224</v>
      </c>
      <c r="E1269" t="s">
        <v>1684</v>
      </c>
      <c r="F1269" t="s">
        <v>104</v>
      </c>
      <c r="G1269" t="s">
        <v>105</v>
      </c>
      <c r="H1269">
        <v>0</v>
      </c>
    </row>
    <row r="1270" spans="1:8">
      <c r="A1270" t="s">
        <v>4320</v>
      </c>
      <c r="B1270" s="24">
        <v>46184</v>
      </c>
      <c r="C1270" s="27" t="s">
        <v>5797</v>
      </c>
      <c r="D1270" s="27" t="s">
        <v>3224</v>
      </c>
      <c r="E1270" t="s">
        <v>1685</v>
      </c>
      <c r="F1270" t="s">
        <v>104</v>
      </c>
      <c r="G1270" t="s">
        <v>105</v>
      </c>
      <c r="H1270">
        <v>0</v>
      </c>
    </row>
    <row r="1271" spans="1:8">
      <c r="A1271" t="s">
        <v>4321</v>
      </c>
      <c r="B1271" s="24">
        <v>46185</v>
      </c>
      <c r="C1271" s="27" t="s">
        <v>5797</v>
      </c>
      <c r="D1271" s="27" t="s">
        <v>3224</v>
      </c>
      <c r="E1271" t="s">
        <v>1686</v>
      </c>
      <c r="F1271" t="s">
        <v>104</v>
      </c>
      <c r="G1271" t="s">
        <v>105</v>
      </c>
      <c r="H1271">
        <v>0</v>
      </c>
    </row>
    <row r="1272" spans="1:8">
      <c r="A1272" t="s">
        <v>4322</v>
      </c>
      <c r="B1272" s="24">
        <v>46174</v>
      </c>
      <c r="C1272" s="27" t="s">
        <v>5797</v>
      </c>
      <c r="D1272" s="27" t="s">
        <v>3224</v>
      </c>
      <c r="E1272" t="s">
        <v>1687</v>
      </c>
      <c r="F1272" t="s">
        <v>104</v>
      </c>
      <c r="G1272" t="s">
        <v>105</v>
      </c>
      <c r="H1272">
        <v>0</v>
      </c>
    </row>
    <row r="1273" spans="1:8">
      <c r="A1273" t="s">
        <v>4323</v>
      </c>
      <c r="B1273" s="24">
        <v>46175</v>
      </c>
      <c r="C1273" s="27" t="s">
        <v>5797</v>
      </c>
      <c r="D1273" s="27" t="s">
        <v>3224</v>
      </c>
      <c r="E1273" t="s">
        <v>1688</v>
      </c>
      <c r="F1273" t="s">
        <v>104</v>
      </c>
      <c r="G1273" t="s">
        <v>105</v>
      </c>
      <c r="H1273">
        <v>0</v>
      </c>
    </row>
    <row r="1274" spans="1:8">
      <c r="A1274" t="s">
        <v>4324</v>
      </c>
      <c r="B1274" s="24">
        <v>46176</v>
      </c>
      <c r="C1274" s="27" t="s">
        <v>5797</v>
      </c>
      <c r="D1274" s="27" t="s">
        <v>3224</v>
      </c>
      <c r="E1274" t="s">
        <v>1689</v>
      </c>
      <c r="F1274" t="s">
        <v>104</v>
      </c>
      <c r="G1274" t="s">
        <v>105</v>
      </c>
      <c r="H1274">
        <v>0</v>
      </c>
    </row>
    <row r="1275" spans="1:8">
      <c r="A1275" t="s">
        <v>4325</v>
      </c>
      <c r="B1275" s="24">
        <v>46177</v>
      </c>
      <c r="C1275" s="27" t="s">
        <v>5797</v>
      </c>
      <c r="D1275" s="27" t="s">
        <v>3224</v>
      </c>
      <c r="E1275" t="s">
        <v>1690</v>
      </c>
      <c r="F1275" t="s">
        <v>104</v>
      </c>
      <c r="G1275" t="s">
        <v>105</v>
      </c>
      <c r="H1275">
        <v>0</v>
      </c>
    </row>
    <row r="1276" spans="1:8">
      <c r="A1276" t="s">
        <v>4326</v>
      </c>
      <c r="B1276" s="24">
        <v>46178</v>
      </c>
      <c r="C1276" s="27" t="s">
        <v>5797</v>
      </c>
      <c r="D1276" s="27" t="s">
        <v>3224</v>
      </c>
      <c r="E1276" t="s">
        <v>1691</v>
      </c>
      <c r="F1276" t="s">
        <v>104</v>
      </c>
      <c r="G1276" t="s">
        <v>105</v>
      </c>
      <c r="H1276">
        <v>0</v>
      </c>
    </row>
    <row r="1277" spans="1:8">
      <c r="A1277" t="s">
        <v>4327</v>
      </c>
      <c r="B1277" s="24">
        <v>46181</v>
      </c>
      <c r="C1277" s="27" t="s">
        <v>5797</v>
      </c>
      <c r="D1277" s="27" t="s">
        <v>3224</v>
      </c>
      <c r="E1277" t="s">
        <v>1692</v>
      </c>
      <c r="F1277" t="s">
        <v>104</v>
      </c>
      <c r="G1277" t="s">
        <v>105</v>
      </c>
      <c r="H1277">
        <v>0</v>
      </c>
    </row>
    <row r="1278" spans="1:8">
      <c r="A1278" t="s">
        <v>4328</v>
      </c>
      <c r="B1278" s="24">
        <v>46182</v>
      </c>
      <c r="C1278" s="27" t="s">
        <v>5797</v>
      </c>
      <c r="D1278" s="27" t="s">
        <v>3224</v>
      </c>
      <c r="E1278" t="s">
        <v>1693</v>
      </c>
      <c r="F1278" t="s">
        <v>104</v>
      </c>
      <c r="G1278" t="s">
        <v>105</v>
      </c>
      <c r="H1278">
        <v>0</v>
      </c>
    </row>
    <row r="1279" spans="1:8">
      <c r="A1279" t="s">
        <v>4329</v>
      </c>
      <c r="B1279" s="24">
        <v>46183</v>
      </c>
      <c r="C1279" s="27" t="s">
        <v>5797</v>
      </c>
      <c r="D1279" s="27" t="s">
        <v>3224</v>
      </c>
      <c r="E1279" t="s">
        <v>1694</v>
      </c>
      <c r="F1279" t="s">
        <v>104</v>
      </c>
      <c r="G1279" t="s">
        <v>105</v>
      </c>
      <c r="H1279">
        <v>0</v>
      </c>
    </row>
    <row r="1280" spans="1:8">
      <c r="A1280" t="s">
        <v>4330</v>
      </c>
      <c r="B1280" s="24">
        <v>46184</v>
      </c>
      <c r="C1280" s="27" t="s">
        <v>5797</v>
      </c>
      <c r="D1280" s="27" t="s">
        <v>3224</v>
      </c>
      <c r="E1280" t="s">
        <v>1695</v>
      </c>
      <c r="F1280" t="s">
        <v>104</v>
      </c>
      <c r="G1280" t="s">
        <v>105</v>
      </c>
      <c r="H1280">
        <v>0</v>
      </c>
    </row>
    <row r="1281" spans="1:8">
      <c r="A1281" t="s">
        <v>4331</v>
      </c>
      <c r="B1281" s="24">
        <v>46185</v>
      </c>
      <c r="C1281" s="27" t="s">
        <v>5797</v>
      </c>
      <c r="D1281" s="27" t="s">
        <v>3224</v>
      </c>
      <c r="E1281" t="s">
        <v>1696</v>
      </c>
      <c r="F1281" t="s">
        <v>104</v>
      </c>
      <c r="G1281" t="s">
        <v>105</v>
      </c>
      <c r="H1281">
        <v>0</v>
      </c>
    </row>
    <row r="1282" spans="1:8">
      <c r="A1282" t="s">
        <v>4332</v>
      </c>
      <c r="B1282" s="24">
        <v>46174</v>
      </c>
      <c r="C1282" s="27" t="s">
        <v>5797</v>
      </c>
      <c r="D1282" s="27" t="s">
        <v>3224</v>
      </c>
      <c r="E1282" t="s">
        <v>1697</v>
      </c>
      <c r="F1282" t="s">
        <v>104</v>
      </c>
      <c r="G1282" t="s">
        <v>105</v>
      </c>
      <c r="H1282">
        <v>0</v>
      </c>
    </row>
    <row r="1283" spans="1:8">
      <c r="A1283" t="s">
        <v>4333</v>
      </c>
      <c r="B1283" s="24">
        <v>46175</v>
      </c>
      <c r="C1283" s="27" t="s">
        <v>5797</v>
      </c>
      <c r="D1283" s="27" t="s">
        <v>3224</v>
      </c>
      <c r="E1283" t="s">
        <v>1698</v>
      </c>
      <c r="F1283" t="s">
        <v>104</v>
      </c>
      <c r="G1283" t="s">
        <v>105</v>
      </c>
      <c r="H1283">
        <v>0</v>
      </c>
    </row>
    <row r="1284" spans="1:8">
      <c r="A1284" t="s">
        <v>4334</v>
      </c>
      <c r="B1284" s="24">
        <v>46176</v>
      </c>
      <c r="C1284" s="27" t="s">
        <v>5797</v>
      </c>
      <c r="D1284" s="27" t="s">
        <v>3224</v>
      </c>
      <c r="E1284" t="s">
        <v>1699</v>
      </c>
      <c r="F1284" t="s">
        <v>104</v>
      </c>
      <c r="G1284" t="s">
        <v>105</v>
      </c>
      <c r="H1284">
        <v>0</v>
      </c>
    </row>
    <row r="1285" spans="1:8">
      <c r="A1285" t="s">
        <v>4335</v>
      </c>
      <c r="B1285" s="24">
        <v>46177</v>
      </c>
      <c r="C1285" s="27" t="s">
        <v>5797</v>
      </c>
      <c r="D1285" s="27" t="s">
        <v>3224</v>
      </c>
      <c r="E1285" t="s">
        <v>1700</v>
      </c>
      <c r="F1285" t="s">
        <v>104</v>
      </c>
      <c r="G1285" t="s">
        <v>105</v>
      </c>
      <c r="H1285">
        <v>0</v>
      </c>
    </row>
    <row r="1286" spans="1:8">
      <c r="A1286" t="s">
        <v>4336</v>
      </c>
      <c r="B1286" s="24">
        <v>46178</v>
      </c>
      <c r="C1286" s="27" t="s">
        <v>5797</v>
      </c>
      <c r="D1286" s="27" t="s">
        <v>3224</v>
      </c>
      <c r="E1286" t="s">
        <v>1701</v>
      </c>
      <c r="F1286" t="s">
        <v>104</v>
      </c>
      <c r="G1286" t="s">
        <v>105</v>
      </c>
      <c r="H1286">
        <v>0</v>
      </c>
    </row>
    <row r="1287" spans="1:8">
      <c r="A1287" t="s">
        <v>4337</v>
      </c>
      <c r="B1287" s="24">
        <v>46181</v>
      </c>
      <c r="C1287" s="27" t="s">
        <v>5797</v>
      </c>
      <c r="D1287" s="27" t="s">
        <v>3224</v>
      </c>
      <c r="E1287" t="s">
        <v>1702</v>
      </c>
      <c r="F1287" t="s">
        <v>104</v>
      </c>
      <c r="G1287" t="s">
        <v>105</v>
      </c>
      <c r="H1287">
        <v>0</v>
      </c>
    </row>
    <row r="1288" spans="1:8">
      <c r="A1288" t="s">
        <v>4338</v>
      </c>
      <c r="B1288" s="24">
        <v>46182</v>
      </c>
      <c r="C1288" s="27" t="s">
        <v>5797</v>
      </c>
      <c r="D1288" s="27" t="s">
        <v>3224</v>
      </c>
      <c r="E1288" t="s">
        <v>1703</v>
      </c>
      <c r="F1288" t="s">
        <v>104</v>
      </c>
      <c r="G1288" t="s">
        <v>105</v>
      </c>
      <c r="H1288">
        <v>0</v>
      </c>
    </row>
    <row r="1289" spans="1:8">
      <c r="A1289" t="s">
        <v>4339</v>
      </c>
      <c r="B1289" s="24">
        <v>46183</v>
      </c>
      <c r="C1289" s="27" t="s">
        <v>5797</v>
      </c>
      <c r="D1289" s="27" t="s">
        <v>3224</v>
      </c>
      <c r="E1289" t="s">
        <v>1704</v>
      </c>
      <c r="F1289" t="s">
        <v>104</v>
      </c>
      <c r="G1289" t="s">
        <v>105</v>
      </c>
      <c r="H1289">
        <v>0</v>
      </c>
    </row>
    <row r="1290" spans="1:8">
      <c r="A1290" t="s">
        <v>4340</v>
      </c>
      <c r="B1290" s="24">
        <v>46184</v>
      </c>
      <c r="C1290" s="27" t="s">
        <v>5797</v>
      </c>
      <c r="D1290" s="27" t="s">
        <v>3224</v>
      </c>
      <c r="E1290" t="s">
        <v>1705</v>
      </c>
      <c r="F1290" t="s">
        <v>104</v>
      </c>
      <c r="G1290" t="s">
        <v>105</v>
      </c>
      <c r="H1290">
        <v>0</v>
      </c>
    </row>
    <row r="1291" spans="1:8">
      <c r="A1291" t="s">
        <v>4341</v>
      </c>
      <c r="B1291" s="24">
        <v>46185</v>
      </c>
      <c r="C1291" s="27" t="s">
        <v>5797</v>
      </c>
      <c r="D1291" s="27" t="s">
        <v>3224</v>
      </c>
      <c r="E1291" t="s">
        <v>1706</v>
      </c>
      <c r="F1291" t="s">
        <v>104</v>
      </c>
      <c r="G1291" t="s">
        <v>105</v>
      </c>
      <c r="H1291">
        <v>0</v>
      </c>
    </row>
    <row r="1292" spans="1:8">
      <c r="A1292" t="s">
        <v>4342</v>
      </c>
      <c r="B1292" s="24">
        <v>46174</v>
      </c>
      <c r="C1292" s="27" t="s">
        <v>5797</v>
      </c>
      <c r="D1292" s="27" t="s">
        <v>3225</v>
      </c>
      <c r="E1292" t="s">
        <v>1707</v>
      </c>
      <c r="F1292" t="s">
        <v>104</v>
      </c>
      <c r="G1292" t="s">
        <v>105</v>
      </c>
      <c r="H1292">
        <v>0</v>
      </c>
    </row>
    <row r="1293" spans="1:8">
      <c r="A1293" t="s">
        <v>4343</v>
      </c>
      <c r="B1293" s="24">
        <v>46175</v>
      </c>
      <c r="C1293" s="27" t="s">
        <v>5797</v>
      </c>
      <c r="D1293" s="27" t="s">
        <v>3224</v>
      </c>
      <c r="E1293" t="s">
        <v>1708</v>
      </c>
      <c r="F1293" t="s">
        <v>104</v>
      </c>
      <c r="G1293" t="s">
        <v>105</v>
      </c>
      <c r="H1293">
        <v>0</v>
      </c>
    </row>
    <row r="1294" spans="1:8">
      <c r="A1294" t="s">
        <v>4344</v>
      </c>
      <c r="B1294" s="24">
        <v>46176</v>
      </c>
      <c r="C1294" s="27" t="s">
        <v>5797</v>
      </c>
      <c r="D1294" s="27" t="s">
        <v>3224</v>
      </c>
      <c r="E1294" t="s">
        <v>1709</v>
      </c>
      <c r="F1294" t="s">
        <v>104</v>
      </c>
      <c r="G1294" t="s">
        <v>105</v>
      </c>
      <c r="H1294">
        <v>0</v>
      </c>
    </row>
    <row r="1295" spans="1:8">
      <c r="A1295" t="s">
        <v>4345</v>
      </c>
      <c r="B1295" s="24">
        <v>46177</v>
      </c>
      <c r="C1295" s="27" t="s">
        <v>5797</v>
      </c>
      <c r="D1295" s="27" t="s">
        <v>3224</v>
      </c>
      <c r="E1295" t="s">
        <v>1710</v>
      </c>
      <c r="F1295" t="s">
        <v>104</v>
      </c>
      <c r="G1295" t="s">
        <v>105</v>
      </c>
      <c r="H1295">
        <v>0</v>
      </c>
    </row>
    <row r="1296" spans="1:8">
      <c r="A1296" t="s">
        <v>4346</v>
      </c>
      <c r="B1296" s="24">
        <v>46178</v>
      </c>
      <c r="C1296" s="27" t="s">
        <v>5797</v>
      </c>
      <c r="D1296" s="27" t="s">
        <v>3224</v>
      </c>
      <c r="E1296" t="s">
        <v>1711</v>
      </c>
      <c r="F1296" t="s">
        <v>104</v>
      </c>
      <c r="G1296" t="s">
        <v>105</v>
      </c>
      <c r="H1296">
        <v>0</v>
      </c>
    </row>
    <row r="1297" spans="1:8">
      <c r="A1297" t="s">
        <v>4347</v>
      </c>
      <c r="B1297" s="24">
        <v>46181</v>
      </c>
      <c r="C1297" s="27" t="s">
        <v>5797</v>
      </c>
      <c r="D1297" s="27" t="s">
        <v>3224</v>
      </c>
      <c r="E1297" t="s">
        <v>1712</v>
      </c>
      <c r="F1297" t="s">
        <v>104</v>
      </c>
      <c r="G1297" t="s">
        <v>105</v>
      </c>
      <c r="H1297">
        <v>0</v>
      </c>
    </row>
    <row r="1298" spans="1:8">
      <c r="A1298" t="s">
        <v>4348</v>
      </c>
      <c r="B1298" s="24">
        <v>46182</v>
      </c>
      <c r="C1298" s="27" t="s">
        <v>5797</v>
      </c>
      <c r="D1298" s="27" t="s">
        <v>3224</v>
      </c>
      <c r="E1298" t="s">
        <v>1713</v>
      </c>
      <c r="F1298" t="s">
        <v>104</v>
      </c>
      <c r="G1298" t="s">
        <v>105</v>
      </c>
      <c r="H1298">
        <v>0</v>
      </c>
    </row>
    <row r="1299" spans="1:8">
      <c r="A1299" t="s">
        <v>4349</v>
      </c>
      <c r="B1299" s="24">
        <v>46183</v>
      </c>
      <c r="C1299" s="27" t="s">
        <v>5797</v>
      </c>
      <c r="D1299" s="27" t="s">
        <v>3224</v>
      </c>
      <c r="E1299" t="s">
        <v>1714</v>
      </c>
      <c r="F1299" t="s">
        <v>104</v>
      </c>
      <c r="G1299" t="s">
        <v>105</v>
      </c>
      <c r="H1299">
        <v>0</v>
      </c>
    </row>
    <row r="1300" spans="1:8">
      <c r="A1300" t="s">
        <v>4350</v>
      </c>
      <c r="B1300" s="24">
        <v>46184</v>
      </c>
      <c r="C1300" s="27" t="s">
        <v>5797</v>
      </c>
      <c r="D1300" s="27" t="s">
        <v>3224</v>
      </c>
      <c r="E1300" t="s">
        <v>1715</v>
      </c>
      <c r="F1300" t="s">
        <v>104</v>
      </c>
      <c r="G1300" t="s">
        <v>105</v>
      </c>
      <c r="H1300">
        <v>0</v>
      </c>
    </row>
    <row r="1301" spans="1:8">
      <c r="A1301" t="s">
        <v>4351</v>
      </c>
      <c r="B1301" s="24">
        <v>46185</v>
      </c>
      <c r="C1301" s="27" t="s">
        <v>5797</v>
      </c>
      <c r="D1301" s="27" t="s">
        <v>3224</v>
      </c>
      <c r="E1301" t="s">
        <v>1716</v>
      </c>
      <c r="F1301" t="s">
        <v>104</v>
      </c>
      <c r="G1301" t="s">
        <v>105</v>
      </c>
      <c r="H1301">
        <v>0</v>
      </c>
    </row>
    <row r="1302" spans="1:8">
      <c r="A1302" t="s">
        <v>4352</v>
      </c>
      <c r="B1302" s="24">
        <v>46174</v>
      </c>
      <c r="C1302" s="27" t="s">
        <v>5797</v>
      </c>
      <c r="D1302" s="27" t="s">
        <v>3224</v>
      </c>
      <c r="E1302" t="s">
        <v>1717</v>
      </c>
      <c r="F1302" t="s">
        <v>104</v>
      </c>
      <c r="G1302" t="s">
        <v>105</v>
      </c>
      <c r="H1302">
        <v>0</v>
      </c>
    </row>
    <row r="1303" spans="1:8">
      <c r="A1303" t="s">
        <v>4353</v>
      </c>
      <c r="B1303" s="24">
        <v>46175</v>
      </c>
      <c r="C1303" s="27" t="s">
        <v>5797</v>
      </c>
      <c r="D1303" s="27" t="s">
        <v>3224</v>
      </c>
      <c r="E1303" t="s">
        <v>1718</v>
      </c>
      <c r="F1303" t="s">
        <v>104</v>
      </c>
      <c r="G1303" t="s">
        <v>105</v>
      </c>
      <c r="H1303">
        <v>0</v>
      </c>
    </row>
    <row r="1304" spans="1:8">
      <c r="A1304" t="s">
        <v>4354</v>
      </c>
      <c r="B1304" s="24">
        <v>46176</v>
      </c>
      <c r="C1304" s="27" t="s">
        <v>5797</v>
      </c>
      <c r="D1304" s="27" t="s">
        <v>3224</v>
      </c>
      <c r="E1304" t="s">
        <v>1719</v>
      </c>
      <c r="F1304" t="s">
        <v>104</v>
      </c>
      <c r="G1304" t="s">
        <v>105</v>
      </c>
      <c r="H1304">
        <v>0</v>
      </c>
    </row>
    <row r="1305" spans="1:8">
      <c r="A1305" t="s">
        <v>4355</v>
      </c>
      <c r="B1305" s="24">
        <v>46177</v>
      </c>
      <c r="C1305" s="27" t="s">
        <v>5797</v>
      </c>
      <c r="D1305" s="27" t="s">
        <v>3224</v>
      </c>
      <c r="E1305" t="s">
        <v>1720</v>
      </c>
      <c r="F1305" t="s">
        <v>104</v>
      </c>
      <c r="G1305" t="s">
        <v>105</v>
      </c>
      <c r="H1305">
        <v>0</v>
      </c>
    </row>
    <row r="1306" spans="1:8">
      <c r="A1306" t="s">
        <v>4356</v>
      </c>
      <c r="B1306" s="24">
        <v>46178</v>
      </c>
      <c r="C1306" s="27" t="s">
        <v>5797</v>
      </c>
      <c r="D1306" s="27" t="s">
        <v>3224</v>
      </c>
      <c r="E1306" t="s">
        <v>1721</v>
      </c>
      <c r="F1306" t="s">
        <v>104</v>
      </c>
      <c r="G1306" t="s">
        <v>105</v>
      </c>
      <c r="H1306">
        <v>0</v>
      </c>
    </row>
    <row r="1307" spans="1:8">
      <c r="A1307" t="s">
        <v>4357</v>
      </c>
      <c r="B1307" s="24">
        <v>46181</v>
      </c>
      <c r="C1307" s="27" t="s">
        <v>5797</v>
      </c>
      <c r="D1307" s="27" t="s">
        <v>3224</v>
      </c>
      <c r="E1307" t="s">
        <v>1722</v>
      </c>
      <c r="F1307" t="s">
        <v>104</v>
      </c>
      <c r="G1307" t="s">
        <v>105</v>
      </c>
      <c r="H1307">
        <v>0</v>
      </c>
    </row>
    <row r="1308" spans="1:8">
      <c r="A1308" t="s">
        <v>4358</v>
      </c>
      <c r="B1308" s="24">
        <v>46182</v>
      </c>
      <c r="C1308" s="27" t="s">
        <v>5797</v>
      </c>
      <c r="D1308" s="27" t="s">
        <v>3224</v>
      </c>
      <c r="E1308" t="s">
        <v>1723</v>
      </c>
      <c r="F1308" t="s">
        <v>104</v>
      </c>
      <c r="G1308" t="s">
        <v>105</v>
      </c>
      <c r="H1308">
        <v>0</v>
      </c>
    </row>
    <row r="1309" spans="1:8">
      <c r="A1309" t="s">
        <v>4359</v>
      </c>
      <c r="B1309" s="24">
        <v>46183</v>
      </c>
      <c r="C1309" s="27" t="s">
        <v>5797</v>
      </c>
      <c r="D1309" s="27" t="s">
        <v>3224</v>
      </c>
      <c r="E1309" t="s">
        <v>1724</v>
      </c>
      <c r="F1309" t="s">
        <v>104</v>
      </c>
      <c r="G1309" t="s">
        <v>105</v>
      </c>
      <c r="H1309">
        <v>0</v>
      </c>
    </row>
    <row r="1310" spans="1:8">
      <c r="A1310" t="s">
        <v>4360</v>
      </c>
      <c r="B1310" s="24">
        <v>46184</v>
      </c>
      <c r="C1310" s="27" t="s">
        <v>5797</v>
      </c>
      <c r="D1310" s="27" t="s">
        <v>3224</v>
      </c>
      <c r="E1310" t="s">
        <v>1725</v>
      </c>
      <c r="F1310" t="s">
        <v>104</v>
      </c>
      <c r="G1310" t="s">
        <v>105</v>
      </c>
      <c r="H1310">
        <v>0</v>
      </c>
    </row>
    <row r="1311" spans="1:8">
      <c r="A1311" t="s">
        <v>4361</v>
      </c>
      <c r="B1311" s="24">
        <v>46185</v>
      </c>
      <c r="C1311" s="27" t="s">
        <v>5797</v>
      </c>
      <c r="D1311" s="27" t="s">
        <v>3225</v>
      </c>
      <c r="E1311" t="s">
        <v>1726</v>
      </c>
      <c r="F1311" t="s">
        <v>104</v>
      </c>
      <c r="G1311" t="s">
        <v>105</v>
      </c>
      <c r="H1311">
        <v>0</v>
      </c>
    </row>
    <row r="1312" spans="1:8">
      <c r="A1312" t="s">
        <v>4362</v>
      </c>
      <c r="B1312" s="24">
        <v>46174</v>
      </c>
      <c r="C1312" s="27" t="s">
        <v>5797</v>
      </c>
      <c r="D1312" s="27" t="s">
        <v>3224</v>
      </c>
      <c r="E1312" t="s">
        <v>1727</v>
      </c>
      <c r="F1312" t="s">
        <v>104</v>
      </c>
      <c r="G1312" t="s">
        <v>105</v>
      </c>
      <c r="H1312">
        <v>0</v>
      </c>
    </row>
    <row r="1313" spans="1:8">
      <c r="A1313" t="s">
        <v>4363</v>
      </c>
      <c r="B1313" s="24">
        <v>46175</v>
      </c>
      <c r="C1313" s="27" t="s">
        <v>5797</v>
      </c>
      <c r="D1313" s="27" t="s">
        <v>3224</v>
      </c>
      <c r="E1313" t="s">
        <v>1728</v>
      </c>
      <c r="F1313" t="s">
        <v>104</v>
      </c>
      <c r="G1313" t="s">
        <v>105</v>
      </c>
      <c r="H1313">
        <v>0</v>
      </c>
    </row>
    <row r="1314" spans="1:8">
      <c r="A1314" t="s">
        <v>4364</v>
      </c>
      <c r="B1314" s="24">
        <v>46176</v>
      </c>
      <c r="C1314" s="27" t="s">
        <v>5797</v>
      </c>
      <c r="D1314" s="27" t="s">
        <v>3224</v>
      </c>
      <c r="E1314" t="s">
        <v>1729</v>
      </c>
      <c r="F1314" t="s">
        <v>104</v>
      </c>
      <c r="G1314" t="s">
        <v>105</v>
      </c>
      <c r="H1314">
        <v>0</v>
      </c>
    </row>
    <row r="1315" spans="1:8">
      <c r="A1315" t="s">
        <v>4365</v>
      </c>
      <c r="B1315" s="24">
        <v>46177</v>
      </c>
      <c r="C1315" s="27" t="s">
        <v>5797</v>
      </c>
      <c r="D1315" s="27" t="s">
        <v>3224</v>
      </c>
      <c r="E1315" t="s">
        <v>1730</v>
      </c>
      <c r="F1315" t="s">
        <v>104</v>
      </c>
      <c r="G1315" t="s">
        <v>105</v>
      </c>
      <c r="H1315">
        <v>0</v>
      </c>
    </row>
    <row r="1316" spans="1:8">
      <c r="A1316" t="s">
        <v>4366</v>
      </c>
      <c r="B1316" s="24">
        <v>46178</v>
      </c>
      <c r="C1316" s="27" t="s">
        <v>5797</v>
      </c>
      <c r="D1316" s="27" t="s">
        <v>3224</v>
      </c>
      <c r="E1316" t="s">
        <v>1731</v>
      </c>
      <c r="F1316" t="s">
        <v>104</v>
      </c>
      <c r="G1316" t="s">
        <v>105</v>
      </c>
      <c r="H1316">
        <v>0</v>
      </c>
    </row>
    <row r="1317" spans="1:8">
      <c r="A1317" t="s">
        <v>4367</v>
      </c>
      <c r="B1317" s="24">
        <v>46181</v>
      </c>
      <c r="C1317" s="27" t="s">
        <v>5797</v>
      </c>
      <c r="D1317" s="27" t="s">
        <v>3224</v>
      </c>
      <c r="E1317" t="s">
        <v>1732</v>
      </c>
      <c r="F1317" t="s">
        <v>104</v>
      </c>
      <c r="G1317" t="s">
        <v>105</v>
      </c>
      <c r="H1317">
        <v>0</v>
      </c>
    </row>
    <row r="1318" spans="1:8">
      <c r="A1318" t="s">
        <v>4368</v>
      </c>
      <c r="B1318" s="24">
        <v>46182</v>
      </c>
      <c r="C1318" s="27" t="s">
        <v>5797</v>
      </c>
      <c r="D1318" s="27" t="s">
        <v>3224</v>
      </c>
      <c r="E1318" t="s">
        <v>1733</v>
      </c>
      <c r="F1318" t="s">
        <v>104</v>
      </c>
      <c r="G1318" t="s">
        <v>105</v>
      </c>
      <c r="H1318">
        <v>0</v>
      </c>
    </row>
    <row r="1319" spans="1:8">
      <c r="A1319" t="s">
        <v>4369</v>
      </c>
      <c r="B1319" s="24">
        <v>46183</v>
      </c>
      <c r="C1319" s="27" t="s">
        <v>5797</v>
      </c>
      <c r="D1319" s="27" t="s">
        <v>3224</v>
      </c>
      <c r="E1319" t="s">
        <v>1734</v>
      </c>
      <c r="F1319" t="s">
        <v>104</v>
      </c>
      <c r="G1319" t="s">
        <v>105</v>
      </c>
      <c r="H1319">
        <v>0</v>
      </c>
    </row>
    <row r="1320" spans="1:8">
      <c r="A1320" t="s">
        <v>4370</v>
      </c>
      <c r="B1320" s="24">
        <v>46184</v>
      </c>
      <c r="C1320" s="27" t="s">
        <v>5797</v>
      </c>
      <c r="D1320" s="27" t="s">
        <v>3224</v>
      </c>
      <c r="E1320" t="s">
        <v>1735</v>
      </c>
      <c r="F1320" t="s">
        <v>104</v>
      </c>
      <c r="G1320" t="s">
        <v>105</v>
      </c>
      <c r="H1320">
        <v>0</v>
      </c>
    </row>
    <row r="1321" spans="1:8">
      <c r="A1321" t="s">
        <v>4371</v>
      </c>
      <c r="B1321" s="24">
        <v>46185</v>
      </c>
      <c r="C1321" s="27" t="s">
        <v>5797</v>
      </c>
      <c r="D1321" s="27" t="s">
        <v>3224</v>
      </c>
      <c r="E1321" t="s">
        <v>1736</v>
      </c>
      <c r="F1321" t="s">
        <v>104</v>
      </c>
      <c r="G1321" t="s">
        <v>105</v>
      </c>
      <c r="H1321">
        <v>0</v>
      </c>
    </row>
    <row r="1322" spans="1:8">
      <c r="A1322" t="s">
        <v>4372</v>
      </c>
      <c r="B1322" s="24">
        <v>46174</v>
      </c>
      <c r="C1322" s="27" t="s">
        <v>5797</v>
      </c>
      <c r="D1322" s="27" t="s">
        <v>3224</v>
      </c>
      <c r="E1322" t="s">
        <v>1737</v>
      </c>
      <c r="F1322" t="s">
        <v>104</v>
      </c>
      <c r="G1322" t="s">
        <v>105</v>
      </c>
      <c r="H1322">
        <v>0</v>
      </c>
    </row>
    <row r="1323" spans="1:8">
      <c r="A1323" t="s">
        <v>4373</v>
      </c>
      <c r="B1323" s="24">
        <v>46175</v>
      </c>
      <c r="C1323" s="27" t="s">
        <v>5797</v>
      </c>
      <c r="D1323" s="27" t="s">
        <v>3224</v>
      </c>
      <c r="E1323" t="s">
        <v>1738</v>
      </c>
      <c r="F1323" t="s">
        <v>104</v>
      </c>
      <c r="G1323" t="s">
        <v>105</v>
      </c>
      <c r="H1323">
        <v>0</v>
      </c>
    </row>
    <row r="1324" spans="1:8">
      <c r="A1324" t="s">
        <v>4374</v>
      </c>
      <c r="B1324" s="24">
        <v>46176</v>
      </c>
      <c r="C1324" s="27" t="s">
        <v>5797</v>
      </c>
      <c r="D1324" s="27" t="s">
        <v>3224</v>
      </c>
      <c r="E1324" t="s">
        <v>1739</v>
      </c>
      <c r="F1324" t="s">
        <v>104</v>
      </c>
      <c r="G1324" t="s">
        <v>105</v>
      </c>
      <c r="H1324">
        <v>0</v>
      </c>
    </row>
    <row r="1325" spans="1:8">
      <c r="A1325" t="s">
        <v>4375</v>
      </c>
      <c r="B1325" s="24">
        <v>46177</v>
      </c>
      <c r="C1325" s="27" t="s">
        <v>5797</v>
      </c>
      <c r="D1325" s="27" t="s">
        <v>3224</v>
      </c>
      <c r="E1325" t="s">
        <v>1740</v>
      </c>
      <c r="F1325" t="s">
        <v>104</v>
      </c>
      <c r="G1325" t="s">
        <v>105</v>
      </c>
      <c r="H1325">
        <v>0</v>
      </c>
    </row>
    <row r="1326" spans="1:8">
      <c r="A1326" t="s">
        <v>4376</v>
      </c>
      <c r="B1326" s="24">
        <v>46178</v>
      </c>
      <c r="C1326" s="27" t="s">
        <v>5797</v>
      </c>
      <c r="D1326" s="27" t="s">
        <v>3224</v>
      </c>
      <c r="E1326" t="s">
        <v>1741</v>
      </c>
      <c r="F1326" t="s">
        <v>104</v>
      </c>
      <c r="G1326" t="s">
        <v>105</v>
      </c>
      <c r="H1326">
        <v>0</v>
      </c>
    </row>
    <row r="1327" spans="1:8">
      <c r="A1327" t="s">
        <v>4377</v>
      </c>
      <c r="B1327" s="24">
        <v>46181</v>
      </c>
      <c r="C1327" s="27" t="s">
        <v>5797</v>
      </c>
      <c r="D1327" s="27" t="s">
        <v>3224</v>
      </c>
      <c r="E1327" t="s">
        <v>1742</v>
      </c>
      <c r="F1327" t="s">
        <v>104</v>
      </c>
      <c r="G1327" t="s">
        <v>105</v>
      </c>
      <c r="H1327">
        <v>0</v>
      </c>
    </row>
    <row r="1328" spans="1:8">
      <c r="A1328" t="s">
        <v>4378</v>
      </c>
      <c r="B1328" s="24">
        <v>46182</v>
      </c>
      <c r="C1328" s="27" t="s">
        <v>5797</v>
      </c>
      <c r="D1328" s="27" t="s">
        <v>3224</v>
      </c>
      <c r="E1328" t="s">
        <v>1743</v>
      </c>
      <c r="F1328" t="s">
        <v>104</v>
      </c>
      <c r="H1328" t="s">
        <v>5762</v>
      </c>
    </row>
    <row r="1329" spans="1:8">
      <c r="A1329" t="s">
        <v>4379</v>
      </c>
      <c r="B1329" s="24">
        <v>46183</v>
      </c>
      <c r="C1329" s="27" t="s">
        <v>5797</v>
      </c>
      <c r="D1329" s="27" t="s">
        <v>3224</v>
      </c>
      <c r="E1329" t="s">
        <v>1744</v>
      </c>
      <c r="F1329" t="s">
        <v>104</v>
      </c>
      <c r="H1329" t="s">
        <v>5762</v>
      </c>
    </row>
    <row r="1330" spans="1:8">
      <c r="A1330" t="s">
        <v>4380</v>
      </c>
      <c r="B1330" s="24">
        <v>46184</v>
      </c>
      <c r="C1330" s="27" t="s">
        <v>5797</v>
      </c>
      <c r="D1330" s="27" t="s">
        <v>3224</v>
      </c>
      <c r="E1330" t="s">
        <v>1745</v>
      </c>
      <c r="F1330" t="s">
        <v>104</v>
      </c>
      <c r="H1330" t="s">
        <v>5762</v>
      </c>
    </row>
    <row r="1331" spans="1:8">
      <c r="A1331" t="s">
        <v>4381</v>
      </c>
      <c r="B1331" s="24">
        <v>46185</v>
      </c>
      <c r="C1331" s="27" t="s">
        <v>5797</v>
      </c>
      <c r="D1331" s="27" t="s">
        <v>3224</v>
      </c>
      <c r="E1331" t="s">
        <v>1746</v>
      </c>
      <c r="F1331" t="s">
        <v>104</v>
      </c>
      <c r="H1331" t="s">
        <v>5762</v>
      </c>
    </row>
    <row r="1332" spans="1:8">
      <c r="A1332" t="s">
        <v>4382</v>
      </c>
      <c r="B1332" s="24">
        <v>46174</v>
      </c>
      <c r="C1332" s="27" t="s">
        <v>5797</v>
      </c>
      <c r="D1332" s="27" t="s">
        <v>3224</v>
      </c>
      <c r="E1332" t="s">
        <v>1747</v>
      </c>
      <c r="F1332" t="s">
        <v>104</v>
      </c>
      <c r="H1332" t="s">
        <v>5762</v>
      </c>
    </row>
    <row r="1333" spans="1:8">
      <c r="A1333" t="s">
        <v>4383</v>
      </c>
      <c r="B1333" s="24">
        <v>46175</v>
      </c>
      <c r="C1333" s="27" t="s">
        <v>5797</v>
      </c>
      <c r="D1333" s="27" t="s">
        <v>3225</v>
      </c>
      <c r="E1333" t="s">
        <v>1748</v>
      </c>
      <c r="F1333" t="s">
        <v>104</v>
      </c>
      <c r="H1333" t="s">
        <v>5762</v>
      </c>
    </row>
    <row r="1334" spans="1:8">
      <c r="A1334" t="s">
        <v>4384</v>
      </c>
      <c r="B1334" s="24">
        <v>46176</v>
      </c>
      <c r="C1334" s="27" t="s">
        <v>5797</v>
      </c>
      <c r="D1334" s="27" t="s">
        <v>3224</v>
      </c>
      <c r="E1334" t="s">
        <v>1749</v>
      </c>
      <c r="F1334" t="s">
        <v>104</v>
      </c>
      <c r="H1334" t="s">
        <v>5762</v>
      </c>
    </row>
    <row r="1335" spans="1:8">
      <c r="A1335" t="s">
        <v>4385</v>
      </c>
      <c r="B1335" s="24">
        <v>46177</v>
      </c>
      <c r="C1335" s="27" t="s">
        <v>5797</v>
      </c>
      <c r="D1335" s="27" t="s">
        <v>3224</v>
      </c>
      <c r="E1335" t="s">
        <v>1750</v>
      </c>
      <c r="F1335" t="s">
        <v>104</v>
      </c>
      <c r="H1335" t="s">
        <v>5762</v>
      </c>
    </row>
    <row r="1336" spans="1:8">
      <c r="A1336" t="s">
        <v>4386</v>
      </c>
      <c r="B1336" s="24">
        <v>46178</v>
      </c>
      <c r="C1336" s="27" t="s">
        <v>5797</v>
      </c>
      <c r="D1336" s="27" t="s">
        <v>3224</v>
      </c>
      <c r="E1336" t="s">
        <v>1751</v>
      </c>
      <c r="F1336" t="s">
        <v>104</v>
      </c>
      <c r="H1336" t="s">
        <v>5762</v>
      </c>
    </row>
    <row r="1337" spans="1:8">
      <c r="A1337" t="s">
        <v>4387</v>
      </c>
      <c r="B1337" s="24">
        <v>46181</v>
      </c>
      <c r="C1337" s="27" t="s">
        <v>5797</v>
      </c>
      <c r="D1337" s="27" t="s">
        <v>3224</v>
      </c>
      <c r="E1337" t="s">
        <v>1752</v>
      </c>
      <c r="F1337" t="s">
        <v>104</v>
      </c>
      <c r="H1337" t="s">
        <v>5762</v>
      </c>
    </row>
    <row r="1338" spans="1:8">
      <c r="A1338" t="s">
        <v>4388</v>
      </c>
      <c r="B1338" s="24">
        <v>46182</v>
      </c>
      <c r="C1338" s="27" t="s">
        <v>5797</v>
      </c>
      <c r="D1338" s="27" t="s">
        <v>3224</v>
      </c>
      <c r="E1338" t="s">
        <v>1753</v>
      </c>
      <c r="F1338" t="s">
        <v>104</v>
      </c>
      <c r="H1338" t="s">
        <v>5762</v>
      </c>
    </row>
    <row r="1339" spans="1:8">
      <c r="A1339" t="s">
        <v>4389</v>
      </c>
      <c r="B1339" s="24">
        <v>46183</v>
      </c>
      <c r="C1339" s="27" t="s">
        <v>5797</v>
      </c>
      <c r="D1339" s="27" t="s">
        <v>3224</v>
      </c>
      <c r="E1339" t="s">
        <v>1754</v>
      </c>
      <c r="F1339" t="s">
        <v>104</v>
      </c>
      <c r="H1339" t="s">
        <v>5762</v>
      </c>
    </row>
    <row r="1340" spans="1:8">
      <c r="A1340" t="s">
        <v>4390</v>
      </c>
      <c r="B1340" s="24">
        <v>46184</v>
      </c>
      <c r="C1340" s="27" t="s">
        <v>5797</v>
      </c>
      <c r="D1340" s="27" t="s">
        <v>3224</v>
      </c>
      <c r="E1340" t="s">
        <v>1755</v>
      </c>
      <c r="F1340" t="s">
        <v>104</v>
      </c>
      <c r="H1340" t="s">
        <v>5762</v>
      </c>
    </row>
    <row r="1341" spans="1:8">
      <c r="A1341" t="s">
        <v>4391</v>
      </c>
      <c r="B1341" s="24">
        <v>46185</v>
      </c>
      <c r="C1341" s="27" t="s">
        <v>5797</v>
      </c>
      <c r="D1341" s="27" t="s">
        <v>3224</v>
      </c>
      <c r="E1341" t="s">
        <v>1756</v>
      </c>
      <c r="F1341" t="s">
        <v>104</v>
      </c>
      <c r="H1341" t="s">
        <v>5762</v>
      </c>
    </row>
    <row r="1342" spans="1:8">
      <c r="A1342" t="s">
        <v>4392</v>
      </c>
      <c r="B1342" s="24">
        <v>46174</v>
      </c>
      <c r="C1342" s="27" t="s">
        <v>5797</v>
      </c>
      <c r="D1342" s="27" t="s">
        <v>3224</v>
      </c>
      <c r="E1342" t="s">
        <v>1757</v>
      </c>
      <c r="F1342" t="s">
        <v>104</v>
      </c>
      <c r="H1342" t="s">
        <v>5762</v>
      </c>
    </row>
    <row r="1343" spans="1:8">
      <c r="A1343" t="s">
        <v>4393</v>
      </c>
      <c r="B1343" s="24">
        <v>46175</v>
      </c>
      <c r="C1343" s="27" t="s">
        <v>5797</v>
      </c>
      <c r="D1343" s="27" t="s">
        <v>3224</v>
      </c>
      <c r="E1343" t="s">
        <v>1758</v>
      </c>
      <c r="F1343" t="s">
        <v>104</v>
      </c>
      <c r="H1343" t="s">
        <v>5762</v>
      </c>
    </row>
    <row r="1344" spans="1:8">
      <c r="A1344" t="s">
        <v>4394</v>
      </c>
      <c r="B1344" s="24">
        <v>46176</v>
      </c>
      <c r="C1344" s="27" t="s">
        <v>5797</v>
      </c>
      <c r="D1344" s="27" t="s">
        <v>3224</v>
      </c>
      <c r="E1344" t="s">
        <v>1759</v>
      </c>
      <c r="F1344" t="s">
        <v>104</v>
      </c>
      <c r="H1344" t="s">
        <v>5762</v>
      </c>
    </row>
    <row r="1345" spans="1:8">
      <c r="A1345" t="s">
        <v>4395</v>
      </c>
      <c r="B1345" s="24">
        <v>46177</v>
      </c>
      <c r="C1345" s="27" t="s">
        <v>5797</v>
      </c>
      <c r="D1345" s="27" t="s">
        <v>3224</v>
      </c>
      <c r="E1345" t="s">
        <v>1760</v>
      </c>
      <c r="F1345" t="s">
        <v>104</v>
      </c>
      <c r="H1345" t="s">
        <v>5762</v>
      </c>
    </row>
    <row r="1346" spans="1:8">
      <c r="A1346" t="s">
        <v>4396</v>
      </c>
      <c r="B1346" s="24">
        <v>46178</v>
      </c>
      <c r="C1346" s="27" t="s">
        <v>5797</v>
      </c>
      <c r="D1346" s="27" t="s">
        <v>3224</v>
      </c>
      <c r="E1346" t="s">
        <v>1761</v>
      </c>
      <c r="F1346" t="s">
        <v>104</v>
      </c>
      <c r="H1346" t="s">
        <v>5762</v>
      </c>
    </row>
    <row r="1347" spans="1:8">
      <c r="A1347" t="s">
        <v>4397</v>
      </c>
      <c r="B1347" s="24">
        <v>46181</v>
      </c>
      <c r="C1347" s="27" t="s">
        <v>5797</v>
      </c>
      <c r="D1347" s="27" t="s">
        <v>3224</v>
      </c>
      <c r="E1347" t="s">
        <v>1762</v>
      </c>
      <c r="F1347" t="s">
        <v>104</v>
      </c>
      <c r="H1347" t="s">
        <v>5762</v>
      </c>
    </row>
    <row r="1348" spans="1:8">
      <c r="A1348" t="s">
        <v>4398</v>
      </c>
      <c r="B1348" s="24">
        <v>46182</v>
      </c>
      <c r="C1348" s="27" t="s">
        <v>5797</v>
      </c>
      <c r="D1348" s="27" t="s">
        <v>3224</v>
      </c>
      <c r="E1348" t="s">
        <v>1763</v>
      </c>
      <c r="F1348" t="s">
        <v>104</v>
      </c>
      <c r="H1348" t="s">
        <v>5762</v>
      </c>
    </row>
    <row r="1349" spans="1:8">
      <c r="A1349" t="s">
        <v>4399</v>
      </c>
      <c r="B1349" s="24">
        <v>46183</v>
      </c>
      <c r="C1349" s="27" t="s">
        <v>5797</v>
      </c>
      <c r="D1349" s="27" t="s">
        <v>3224</v>
      </c>
      <c r="E1349" t="s">
        <v>1764</v>
      </c>
      <c r="F1349" t="s">
        <v>104</v>
      </c>
      <c r="H1349" t="s">
        <v>5762</v>
      </c>
    </row>
    <row r="1350" spans="1:8">
      <c r="A1350" t="s">
        <v>4400</v>
      </c>
      <c r="B1350" s="24">
        <v>46184</v>
      </c>
      <c r="C1350" s="27" t="s">
        <v>5797</v>
      </c>
      <c r="D1350" s="27" t="s">
        <v>3224</v>
      </c>
      <c r="E1350" t="s">
        <v>1765</v>
      </c>
      <c r="F1350" t="s">
        <v>104</v>
      </c>
      <c r="H1350" t="s">
        <v>5762</v>
      </c>
    </row>
    <row r="1351" spans="1:8">
      <c r="A1351" t="s">
        <v>4401</v>
      </c>
      <c r="B1351" s="24">
        <v>46185</v>
      </c>
      <c r="C1351" s="27" t="s">
        <v>5797</v>
      </c>
      <c r="D1351" s="27" t="s">
        <v>3224</v>
      </c>
      <c r="E1351" t="s">
        <v>1766</v>
      </c>
      <c r="F1351" t="s">
        <v>104</v>
      </c>
      <c r="H1351" t="s">
        <v>5762</v>
      </c>
    </row>
    <row r="1352" spans="1:8">
      <c r="A1352" t="s">
        <v>4402</v>
      </c>
      <c r="B1352" s="24">
        <v>46174</v>
      </c>
      <c r="C1352" s="27" t="s">
        <v>5797</v>
      </c>
      <c r="D1352" s="27" t="s">
        <v>3224</v>
      </c>
      <c r="E1352" t="s">
        <v>1767</v>
      </c>
      <c r="F1352" t="s">
        <v>104</v>
      </c>
      <c r="H1352" t="s">
        <v>5762</v>
      </c>
    </row>
    <row r="1353" spans="1:8">
      <c r="A1353" t="s">
        <v>4403</v>
      </c>
      <c r="B1353" s="24">
        <v>46175</v>
      </c>
      <c r="C1353" s="27" t="s">
        <v>5797</v>
      </c>
      <c r="D1353" s="27" t="s">
        <v>3224</v>
      </c>
      <c r="E1353" t="s">
        <v>1768</v>
      </c>
      <c r="F1353" t="s">
        <v>104</v>
      </c>
      <c r="H1353" t="s">
        <v>5762</v>
      </c>
    </row>
    <row r="1354" spans="1:8">
      <c r="A1354" t="s">
        <v>4404</v>
      </c>
      <c r="B1354" s="24">
        <v>46176</v>
      </c>
      <c r="C1354" s="27" t="s">
        <v>5797</v>
      </c>
      <c r="D1354" s="27" t="s">
        <v>3224</v>
      </c>
      <c r="E1354" t="s">
        <v>1769</v>
      </c>
      <c r="F1354" t="s">
        <v>104</v>
      </c>
      <c r="H1354" t="s">
        <v>5762</v>
      </c>
    </row>
    <row r="1355" spans="1:8">
      <c r="A1355" t="s">
        <v>4405</v>
      </c>
      <c r="B1355" s="24">
        <v>46177</v>
      </c>
      <c r="C1355" s="27" t="s">
        <v>5797</v>
      </c>
      <c r="D1355" s="27" t="s">
        <v>3224</v>
      </c>
      <c r="E1355" t="s">
        <v>1770</v>
      </c>
      <c r="F1355" t="s">
        <v>104</v>
      </c>
      <c r="H1355" t="s">
        <v>5762</v>
      </c>
    </row>
    <row r="1356" spans="1:8">
      <c r="A1356" t="s">
        <v>4406</v>
      </c>
      <c r="B1356" s="24">
        <v>46178</v>
      </c>
      <c r="C1356" s="27" t="s">
        <v>5797</v>
      </c>
      <c r="D1356" s="27" t="s">
        <v>3224</v>
      </c>
      <c r="E1356" t="s">
        <v>1771</v>
      </c>
      <c r="F1356" t="s">
        <v>104</v>
      </c>
      <c r="H1356" t="s">
        <v>5762</v>
      </c>
    </row>
    <row r="1357" spans="1:8">
      <c r="A1357" t="s">
        <v>4407</v>
      </c>
      <c r="B1357" s="24">
        <v>46181</v>
      </c>
      <c r="C1357" s="27" t="s">
        <v>5797</v>
      </c>
      <c r="D1357" s="27" t="s">
        <v>3224</v>
      </c>
      <c r="E1357" t="s">
        <v>1772</v>
      </c>
      <c r="F1357" t="s">
        <v>104</v>
      </c>
      <c r="H1357" t="s">
        <v>5762</v>
      </c>
    </row>
    <row r="1358" spans="1:8">
      <c r="A1358" t="s">
        <v>4408</v>
      </c>
      <c r="B1358" s="24">
        <v>46182</v>
      </c>
      <c r="C1358" s="27" t="s">
        <v>5797</v>
      </c>
      <c r="D1358" s="27" t="s">
        <v>3224</v>
      </c>
      <c r="E1358" t="s">
        <v>1773</v>
      </c>
      <c r="F1358" t="s">
        <v>104</v>
      </c>
      <c r="H1358" t="s">
        <v>5762</v>
      </c>
    </row>
    <row r="1359" spans="1:8">
      <c r="A1359" t="s">
        <v>4409</v>
      </c>
      <c r="B1359" s="24">
        <v>46183</v>
      </c>
      <c r="C1359" s="27" t="s">
        <v>5797</v>
      </c>
      <c r="D1359" s="27" t="s">
        <v>3224</v>
      </c>
      <c r="E1359" t="s">
        <v>1774</v>
      </c>
      <c r="F1359" t="s">
        <v>104</v>
      </c>
      <c r="H1359" t="s">
        <v>5762</v>
      </c>
    </row>
    <row r="1360" spans="1:8">
      <c r="A1360" t="s">
        <v>4410</v>
      </c>
      <c r="B1360" s="24">
        <v>46184</v>
      </c>
      <c r="C1360" s="27" t="s">
        <v>5797</v>
      </c>
      <c r="D1360" s="27" t="s">
        <v>3224</v>
      </c>
      <c r="E1360" t="s">
        <v>1775</v>
      </c>
      <c r="F1360" t="s">
        <v>104</v>
      </c>
      <c r="H1360" t="s">
        <v>5762</v>
      </c>
    </row>
    <row r="1361" spans="1:8">
      <c r="A1361" t="s">
        <v>4411</v>
      </c>
      <c r="B1361" s="24">
        <v>46185</v>
      </c>
      <c r="C1361" s="27" t="s">
        <v>5797</v>
      </c>
      <c r="D1361" s="27" t="s">
        <v>3224</v>
      </c>
      <c r="E1361" t="s">
        <v>1776</v>
      </c>
      <c r="F1361" t="s">
        <v>104</v>
      </c>
      <c r="H1361" t="s">
        <v>5762</v>
      </c>
    </row>
    <row r="1362" spans="1:8">
      <c r="A1362" t="s">
        <v>4412</v>
      </c>
      <c r="B1362" s="24">
        <v>46174</v>
      </c>
      <c r="C1362" s="27" t="s">
        <v>5797</v>
      </c>
      <c r="D1362" s="27" t="s">
        <v>3224</v>
      </c>
      <c r="E1362" t="s">
        <v>1777</v>
      </c>
      <c r="F1362" t="s">
        <v>104</v>
      </c>
      <c r="H1362" t="s">
        <v>5762</v>
      </c>
    </row>
    <row r="1363" spans="1:8">
      <c r="A1363" t="s">
        <v>4413</v>
      </c>
      <c r="B1363" s="24">
        <v>46175</v>
      </c>
      <c r="C1363" s="27" t="s">
        <v>5797</v>
      </c>
      <c r="D1363" s="27" t="s">
        <v>3224</v>
      </c>
      <c r="E1363" t="s">
        <v>1778</v>
      </c>
      <c r="F1363" t="s">
        <v>104</v>
      </c>
      <c r="H1363" t="s">
        <v>5762</v>
      </c>
    </row>
    <row r="1364" spans="1:8">
      <c r="A1364" t="s">
        <v>4414</v>
      </c>
      <c r="B1364" s="24">
        <v>46176</v>
      </c>
      <c r="C1364" s="27" t="s">
        <v>5797</v>
      </c>
      <c r="D1364" s="27" t="s">
        <v>3224</v>
      </c>
      <c r="E1364" t="s">
        <v>1779</v>
      </c>
      <c r="F1364" t="s">
        <v>104</v>
      </c>
      <c r="H1364" t="s">
        <v>5762</v>
      </c>
    </row>
    <row r="1365" spans="1:8">
      <c r="A1365" t="s">
        <v>4415</v>
      </c>
      <c r="B1365" s="24">
        <v>46177</v>
      </c>
      <c r="C1365" s="27" t="s">
        <v>5797</v>
      </c>
      <c r="D1365" s="27" t="s">
        <v>3224</v>
      </c>
      <c r="E1365" t="s">
        <v>1780</v>
      </c>
      <c r="F1365" t="s">
        <v>104</v>
      </c>
      <c r="H1365" t="s">
        <v>5762</v>
      </c>
    </row>
    <row r="1366" spans="1:8">
      <c r="A1366" t="s">
        <v>4416</v>
      </c>
      <c r="B1366" s="24">
        <v>46178</v>
      </c>
      <c r="C1366" s="27" t="s">
        <v>5797</v>
      </c>
      <c r="D1366" s="27" t="s">
        <v>3224</v>
      </c>
      <c r="E1366" t="s">
        <v>1781</v>
      </c>
      <c r="F1366" t="s">
        <v>104</v>
      </c>
      <c r="H1366" t="s">
        <v>5762</v>
      </c>
    </row>
    <row r="1367" spans="1:8">
      <c r="A1367" t="s">
        <v>4417</v>
      </c>
      <c r="B1367" s="24">
        <v>46181</v>
      </c>
      <c r="C1367" s="27" t="s">
        <v>5797</v>
      </c>
      <c r="D1367" s="27" t="s">
        <v>3224</v>
      </c>
      <c r="E1367" t="s">
        <v>1782</v>
      </c>
      <c r="F1367" t="s">
        <v>104</v>
      </c>
      <c r="H1367" t="s">
        <v>5762</v>
      </c>
    </row>
    <row r="1368" spans="1:8">
      <c r="A1368" t="s">
        <v>4418</v>
      </c>
      <c r="B1368" s="24">
        <v>46182</v>
      </c>
      <c r="C1368" s="27" t="s">
        <v>5797</v>
      </c>
      <c r="D1368" s="27" t="s">
        <v>3224</v>
      </c>
      <c r="E1368" t="s">
        <v>1783</v>
      </c>
      <c r="F1368" t="s">
        <v>104</v>
      </c>
      <c r="H1368" t="s">
        <v>5762</v>
      </c>
    </row>
    <row r="1369" spans="1:8">
      <c r="A1369" t="s">
        <v>4419</v>
      </c>
      <c r="B1369" s="24">
        <v>46183</v>
      </c>
      <c r="C1369" s="27" t="s">
        <v>5797</v>
      </c>
      <c r="D1369" s="27" t="s">
        <v>3224</v>
      </c>
      <c r="E1369" t="s">
        <v>1784</v>
      </c>
      <c r="F1369" t="s">
        <v>104</v>
      </c>
      <c r="H1369" t="s">
        <v>5762</v>
      </c>
    </row>
    <row r="1370" spans="1:8">
      <c r="A1370" t="s">
        <v>4420</v>
      </c>
      <c r="B1370" s="24">
        <v>46184</v>
      </c>
      <c r="C1370" s="27" t="s">
        <v>5797</v>
      </c>
      <c r="D1370" s="27" t="s">
        <v>3224</v>
      </c>
      <c r="E1370" t="s">
        <v>1785</v>
      </c>
      <c r="F1370" t="s">
        <v>104</v>
      </c>
      <c r="H1370" t="s">
        <v>5762</v>
      </c>
    </row>
    <row r="1371" spans="1:8">
      <c r="A1371" t="s">
        <v>4421</v>
      </c>
      <c r="B1371" s="24">
        <v>46185</v>
      </c>
      <c r="C1371" s="27" t="s">
        <v>5797</v>
      </c>
      <c r="D1371" s="27" t="s">
        <v>3224</v>
      </c>
      <c r="E1371" t="s">
        <v>1786</v>
      </c>
      <c r="F1371" t="s">
        <v>104</v>
      </c>
      <c r="H1371" t="s">
        <v>5762</v>
      </c>
    </row>
    <row r="1372" spans="1:8">
      <c r="A1372" t="s">
        <v>4422</v>
      </c>
      <c r="B1372" s="24">
        <v>46174</v>
      </c>
      <c r="C1372" s="27" t="s">
        <v>5797</v>
      </c>
      <c r="D1372" s="27" t="s">
        <v>3224</v>
      </c>
      <c r="E1372" t="s">
        <v>1787</v>
      </c>
      <c r="F1372" t="s">
        <v>104</v>
      </c>
      <c r="H1372" t="s">
        <v>5762</v>
      </c>
    </row>
    <row r="1373" spans="1:8">
      <c r="A1373" t="s">
        <v>4423</v>
      </c>
      <c r="B1373" s="24">
        <v>46175</v>
      </c>
      <c r="C1373" s="27" t="s">
        <v>5797</v>
      </c>
      <c r="D1373" s="27" t="s">
        <v>3224</v>
      </c>
      <c r="E1373" t="s">
        <v>1788</v>
      </c>
      <c r="F1373" t="s">
        <v>104</v>
      </c>
      <c r="H1373" t="s">
        <v>5762</v>
      </c>
    </row>
    <row r="1374" spans="1:8">
      <c r="A1374" t="s">
        <v>4424</v>
      </c>
      <c r="B1374" s="24">
        <v>46176</v>
      </c>
      <c r="C1374" s="27" t="s">
        <v>5797</v>
      </c>
      <c r="D1374" s="27" t="s">
        <v>3224</v>
      </c>
      <c r="E1374" t="s">
        <v>1789</v>
      </c>
      <c r="F1374" t="s">
        <v>104</v>
      </c>
      <c r="H1374" t="s">
        <v>5762</v>
      </c>
    </row>
    <row r="1375" spans="1:8">
      <c r="A1375" t="s">
        <v>4425</v>
      </c>
      <c r="B1375" s="24">
        <v>46177</v>
      </c>
      <c r="C1375" s="27" t="s">
        <v>5797</v>
      </c>
      <c r="D1375" s="27" t="s">
        <v>3224</v>
      </c>
      <c r="E1375" t="s">
        <v>1790</v>
      </c>
      <c r="F1375" t="s">
        <v>104</v>
      </c>
      <c r="H1375" t="s">
        <v>5762</v>
      </c>
    </row>
    <row r="1376" spans="1:8">
      <c r="A1376" t="s">
        <v>4426</v>
      </c>
      <c r="B1376" s="24">
        <v>46178</v>
      </c>
      <c r="C1376" s="27" t="s">
        <v>5797</v>
      </c>
      <c r="D1376" s="27" t="s">
        <v>3224</v>
      </c>
      <c r="E1376" t="s">
        <v>1791</v>
      </c>
      <c r="F1376" t="s">
        <v>104</v>
      </c>
      <c r="H1376" t="s">
        <v>5762</v>
      </c>
    </row>
    <row r="1377" spans="1:8">
      <c r="A1377" t="s">
        <v>4427</v>
      </c>
      <c r="B1377" s="24">
        <v>46181</v>
      </c>
      <c r="C1377" s="27" t="s">
        <v>5797</v>
      </c>
      <c r="D1377" s="27" t="s">
        <v>3224</v>
      </c>
      <c r="E1377" t="s">
        <v>1792</v>
      </c>
      <c r="F1377" t="s">
        <v>104</v>
      </c>
      <c r="H1377" t="s">
        <v>5762</v>
      </c>
    </row>
    <row r="1378" spans="1:8">
      <c r="A1378" t="s">
        <v>4428</v>
      </c>
      <c r="B1378" s="24">
        <v>46182</v>
      </c>
      <c r="C1378" s="27" t="s">
        <v>5797</v>
      </c>
      <c r="D1378" s="27" t="s">
        <v>3224</v>
      </c>
      <c r="E1378" t="s">
        <v>1793</v>
      </c>
      <c r="F1378" t="s">
        <v>104</v>
      </c>
      <c r="H1378" t="s">
        <v>5762</v>
      </c>
    </row>
    <row r="1379" spans="1:8">
      <c r="A1379" t="s">
        <v>4429</v>
      </c>
      <c r="B1379" s="24">
        <v>46183</v>
      </c>
      <c r="C1379" s="27" t="s">
        <v>5797</v>
      </c>
      <c r="D1379" s="27" t="s">
        <v>3224</v>
      </c>
      <c r="E1379" t="s">
        <v>1794</v>
      </c>
      <c r="F1379" t="s">
        <v>104</v>
      </c>
      <c r="H1379" t="s">
        <v>5762</v>
      </c>
    </row>
    <row r="1380" spans="1:8">
      <c r="A1380" t="s">
        <v>4430</v>
      </c>
      <c r="B1380" s="24">
        <v>46184</v>
      </c>
      <c r="C1380" s="27" t="s">
        <v>5797</v>
      </c>
      <c r="D1380" s="27" t="s">
        <v>3224</v>
      </c>
      <c r="E1380" t="s">
        <v>1795</v>
      </c>
      <c r="F1380" t="s">
        <v>104</v>
      </c>
      <c r="H1380" t="s">
        <v>5762</v>
      </c>
    </row>
    <row r="1381" spans="1:8">
      <c r="A1381" t="s">
        <v>4431</v>
      </c>
      <c r="B1381" s="24">
        <v>46185</v>
      </c>
      <c r="C1381" s="27" t="s">
        <v>5797</v>
      </c>
      <c r="D1381" s="27" t="s">
        <v>3226</v>
      </c>
      <c r="E1381" t="s">
        <v>1796</v>
      </c>
      <c r="F1381" t="s">
        <v>104</v>
      </c>
      <c r="H1381" t="s">
        <v>5762</v>
      </c>
    </row>
    <row r="1382" spans="1:8">
      <c r="A1382" t="s">
        <v>4432</v>
      </c>
      <c r="B1382" s="24">
        <v>46174</v>
      </c>
      <c r="C1382" s="27" t="s">
        <v>5797</v>
      </c>
      <c r="D1382" s="27" t="s">
        <v>3226</v>
      </c>
      <c r="E1382" t="s">
        <v>1797</v>
      </c>
      <c r="F1382" t="s">
        <v>104</v>
      </c>
      <c r="H1382" t="s">
        <v>5762</v>
      </c>
    </row>
    <row r="1383" spans="1:8">
      <c r="A1383" t="s">
        <v>4433</v>
      </c>
      <c r="B1383" s="24">
        <v>46175</v>
      </c>
      <c r="C1383" s="27" t="s">
        <v>5797</v>
      </c>
      <c r="D1383" s="27" t="s">
        <v>3224</v>
      </c>
      <c r="E1383" t="s">
        <v>1798</v>
      </c>
      <c r="F1383" t="s">
        <v>104</v>
      </c>
      <c r="H1383" t="s">
        <v>5762</v>
      </c>
    </row>
    <row r="1384" spans="1:8">
      <c r="A1384" t="s">
        <v>4434</v>
      </c>
      <c r="B1384" s="24">
        <v>46176</v>
      </c>
      <c r="C1384" s="27" t="s">
        <v>5797</v>
      </c>
      <c r="D1384" s="27" t="s">
        <v>3224</v>
      </c>
      <c r="E1384" t="s">
        <v>1799</v>
      </c>
      <c r="F1384" t="s">
        <v>104</v>
      </c>
      <c r="H1384" t="s">
        <v>5762</v>
      </c>
    </row>
    <row r="1385" spans="1:8">
      <c r="A1385" t="s">
        <v>4435</v>
      </c>
      <c r="B1385" s="24">
        <v>46177</v>
      </c>
      <c r="C1385" s="27" t="s">
        <v>5797</v>
      </c>
      <c r="D1385" s="27" t="s">
        <v>3224</v>
      </c>
      <c r="E1385" t="s">
        <v>1800</v>
      </c>
      <c r="F1385" t="s">
        <v>104</v>
      </c>
      <c r="H1385" t="s">
        <v>5762</v>
      </c>
    </row>
    <row r="1386" spans="1:8">
      <c r="A1386" t="s">
        <v>4436</v>
      </c>
      <c r="B1386" s="24">
        <v>46178</v>
      </c>
      <c r="C1386" s="27" t="s">
        <v>5797</v>
      </c>
      <c r="D1386" s="27" t="s">
        <v>3224</v>
      </c>
      <c r="E1386" t="s">
        <v>1801</v>
      </c>
      <c r="F1386" t="s">
        <v>104</v>
      </c>
      <c r="H1386" t="s">
        <v>5762</v>
      </c>
    </row>
    <row r="1387" spans="1:8">
      <c r="A1387" t="s">
        <v>4437</v>
      </c>
      <c r="B1387" s="24">
        <v>46181</v>
      </c>
      <c r="C1387" s="27" t="s">
        <v>5797</v>
      </c>
      <c r="D1387" s="27" t="s">
        <v>3224</v>
      </c>
      <c r="E1387" t="s">
        <v>1802</v>
      </c>
      <c r="F1387" t="s">
        <v>104</v>
      </c>
      <c r="H1387" t="s">
        <v>5762</v>
      </c>
    </row>
    <row r="1388" spans="1:8">
      <c r="A1388" t="s">
        <v>4438</v>
      </c>
      <c r="B1388" s="24">
        <v>46182</v>
      </c>
      <c r="C1388" s="27" t="s">
        <v>5797</v>
      </c>
      <c r="D1388" s="27" t="s">
        <v>3224</v>
      </c>
      <c r="E1388" t="s">
        <v>1803</v>
      </c>
      <c r="F1388" t="s">
        <v>104</v>
      </c>
      <c r="H1388" t="s">
        <v>5762</v>
      </c>
    </row>
    <row r="1389" spans="1:8">
      <c r="A1389" t="s">
        <v>4439</v>
      </c>
      <c r="B1389" s="24">
        <v>46183</v>
      </c>
      <c r="C1389" s="27" t="s">
        <v>5797</v>
      </c>
      <c r="D1389" s="27" t="s">
        <v>3224</v>
      </c>
      <c r="E1389" t="s">
        <v>1804</v>
      </c>
      <c r="F1389" t="s">
        <v>104</v>
      </c>
      <c r="H1389" t="s">
        <v>5762</v>
      </c>
    </row>
    <row r="1390" spans="1:8">
      <c r="A1390" t="s">
        <v>4440</v>
      </c>
      <c r="B1390" s="24">
        <v>46184</v>
      </c>
      <c r="C1390" s="27" t="s">
        <v>5797</v>
      </c>
      <c r="D1390" s="27" t="s">
        <v>3224</v>
      </c>
      <c r="E1390" t="s">
        <v>1805</v>
      </c>
      <c r="F1390" t="s">
        <v>104</v>
      </c>
      <c r="H1390" t="s">
        <v>5762</v>
      </c>
    </row>
    <row r="1391" spans="1:8">
      <c r="A1391" t="s">
        <v>4441</v>
      </c>
      <c r="B1391" s="24">
        <v>46185</v>
      </c>
      <c r="C1391" s="27" t="s">
        <v>5797</v>
      </c>
      <c r="D1391" s="27" t="s">
        <v>3224</v>
      </c>
      <c r="E1391" t="s">
        <v>1806</v>
      </c>
      <c r="F1391" t="s">
        <v>104</v>
      </c>
      <c r="H1391" t="s">
        <v>5762</v>
      </c>
    </row>
    <row r="1392" spans="1:8">
      <c r="A1392" t="s">
        <v>4442</v>
      </c>
      <c r="B1392" s="24">
        <v>46174</v>
      </c>
      <c r="C1392" s="27" t="s">
        <v>5797</v>
      </c>
      <c r="D1392" s="27" t="s">
        <v>3224</v>
      </c>
      <c r="E1392" t="s">
        <v>1807</v>
      </c>
      <c r="F1392" t="s">
        <v>104</v>
      </c>
      <c r="H1392" t="s">
        <v>5762</v>
      </c>
    </row>
    <row r="1393" spans="1:8">
      <c r="A1393" t="s">
        <v>4443</v>
      </c>
      <c r="B1393" s="24">
        <v>46175</v>
      </c>
      <c r="C1393" s="27" t="s">
        <v>5797</v>
      </c>
      <c r="D1393" s="27" t="s">
        <v>3224</v>
      </c>
      <c r="E1393" t="s">
        <v>1808</v>
      </c>
      <c r="F1393" t="s">
        <v>104</v>
      </c>
      <c r="H1393" t="s">
        <v>5762</v>
      </c>
    </row>
    <row r="1394" spans="1:8">
      <c r="A1394" t="s">
        <v>4444</v>
      </c>
      <c r="B1394" s="24">
        <v>46176</v>
      </c>
      <c r="C1394" s="27" t="s">
        <v>5797</v>
      </c>
      <c r="D1394" s="27" t="s">
        <v>3224</v>
      </c>
      <c r="E1394" t="s">
        <v>1809</v>
      </c>
      <c r="F1394" t="s">
        <v>104</v>
      </c>
      <c r="H1394" t="s">
        <v>5762</v>
      </c>
    </row>
    <row r="1395" spans="1:8">
      <c r="A1395" t="s">
        <v>4445</v>
      </c>
      <c r="B1395" s="24">
        <v>46177</v>
      </c>
      <c r="C1395" s="27" t="s">
        <v>5797</v>
      </c>
      <c r="D1395" s="27" t="s">
        <v>3224</v>
      </c>
      <c r="E1395" t="s">
        <v>1810</v>
      </c>
      <c r="F1395" t="s">
        <v>104</v>
      </c>
      <c r="H1395" t="s">
        <v>5762</v>
      </c>
    </row>
    <row r="1396" spans="1:8">
      <c r="A1396" t="s">
        <v>4446</v>
      </c>
      <c r="B1396" s="24">
        <v>46178</v>
      </c>
      <c r="C1396" s="27" t="s">
        <v>5797</v>
      </c>
      <c r="D1396" s="27" t="s">
        <v>3224</v>
      </c>
      <c r="E1396" t="s">
        <v>1811</v>
      </c>
      <c r="F1396" t="s">
        <v>104</v>
      </c>
      <c r="H1396" t="s">
        <v>5762</v>
      </c>
    </row>
    <row r="1397" spans="1:8">
      <c r="A1397" t="s">
        <v>4447</v>
      </c>
      <c r="B1397" s="24">
        <v>46181</v>
      </c>
      <c r="C1397" s="27" t="s">
        <v>5797</v>
      </c>
      <c r="D1397" s="27" t="s">
        <v>3224</v>
      </c>
      <c r="E1397" t="s">
        <v>1812</v>
      </c>
      <c r="F1397" t="s">
        <v>104</v>
      </c>
      <c r="H1397" t="s">
        <v>5762</v>
      </c>
    </row>
    <row r="1398" spans="1:8">
      <c r="A1398" t="s">
        <v>4448</v>
      </c>
      <c r="B1398" s="24">
        <v>46182</v>
      </c>
      <c r="C1398" s="27" t="s">
        <v>5797</v>
      </c>
      <c r="D1398" s="27" t="s">
        <v>3224</v>
      </c>
      <c r="E1398" t="s">
        <v>1813</v>
      </c>
      <c r="F1398" t="s">
        <v>104</v>
      </c>
      <c r="H1398" t="s">
        <v>5762</v>
      </c>
    </row>
    <row r="1399" spans="1:8">
      <c r="A1399" t="s">
        <v>4449</v>
      </c>
      <c r="B1399" s="24">
        <v>46183</v>
      </c>
      <c r="C1399" s="27" t="s">
        <v>5797</v>
      </c>
      <c r="D1399" s="27" t="s">
        <v>3224</v>
      </c>
      <c r="E1399" t="s">
        <v>1814</v>
      </c>
      <c r="F1399" t="s">
        <v>104</v>
      </c>
      <c r="H1399" t="s">
        <v>5762</v>
      </c>
    </row>
    <row r="1400" spans="1:8">
      <c r="A1400" t="s">
        <v>4450</v>
      </c>
      <c r="B1400" s="24">
        <v>46184</v>
      </c>
      <c r="C1400" s="27" t="s">
        <v>5797</v>
      </c>
      <c r="D1400" s="27" t="s">
        <v>3224</v>
      </c>
      <c r="E1400" t="s">
        <v>1815</v>
      </c>
      <c r="F1400" t="s">
        <v>104</v>
      </c>
      <c r="H1400" t="s">
        <v>5762</v>
      </c>
    </row>
    <row r="1401" spans="1:8">
      <c r="A1401" t="s">
        <v>4451</v>
      </c>
      <c r="B1401" s="24">
        <v>46185</v>
      </c>
      <c r="C1401" s="27" t="s">
        <v>5797</v>
      </c>
      <c r="D1401" s="27" t="s">
        <v>3224</v>
      </c>
      <c r="E1401" t="s">
        <v>1816</v>
      </c>
      <c r="F1401" t="s">
        <v>104</v>
      </c>
      <c r="H1401" t="s">
        <v>5762</v>
      </c>
    </row>
    <row r="1402" spans="1:8">
      <c r="A1402" t="s">
        <v>4452</v>
      </c>
      <c r="B1402" s="24">
        <v>46174</v>
      </c>
      <c r="C1402" s="27" t="s">
        <v>5797</v>
      </c>
      <c r="D1402" s="27" t="s">
        <v>3224</v>
      </c>
      <c r="E1402" t="s">
        <v>1817</v>
      </c>
      <c r="F1402" t="s">
        <v>104</v>
      </c>
      <c r="H1402" t="s">
        <v>5762</v>
      </c>
    </row>
    <row r="1403" spans="1:8">
      <c r="A1403" t="s">
        <v>4453</v>
      </c>
      <c r="B1403" s="24">
        <v>46175</v>
      </c>
      <c r="C1403" s="27" t="s">
        <v>5797</v>
      </c>
      <c r="D1403" s="27" t="s">
        <v>3224</v>
      </c>
      <c r="E1403" t="s">
        <v>1818</v>
      </c>
      <c r="F1403" t="s">
        <v>104</v>
      </c>
      <c r="H1403" t="s">
        <v>5762</v>
      </c>
    </row>
    <row r="1404" spans="1:8">
      <c r="A1404" t="s">
        <v>4454</v>
      </c>
      <c r="B1404" s="24">
        <v>46176</v>
      </c>
      <c r="C1404" s="27" t="s">
        <v>5797</v>
      </c>
      <c r="D1404" s="27" t="s">
        <v>3224</v>
      </c>
      <c r="E1404" t="s">
        <v>1819</v>
      </c>
      <c r="F1404" t="s">
        <v>104</v>
      </c>
      <c r="H1404" t="s">
        <v>5762</v>
      </c>
    </row>
    <row r="1405" spans="1:8">
      <c r="A1405" t="s">
        <v>4455</v>
      </c>
      <c r="B1405" s="24">
        <v>46177</v>
      </c>
      <c r="C1405" s="27" t="s">
        <v>5797</v>
      </c>
      <c r="D1405" s="27" t="s">
        <v>3224</v>
      </c>
      <c r="E1405" t="s">
        <v>1820</v>
      </c>
      <c r="F1405" t="s">
        <v>104</v>
      </c>
      <c r="H1405" t="s">
        <v>5762</v>
      </c>
    </row>
    <row r="1406" spans="1:8">
      <c r="A1406" t="s">
        <v>4456</v>
      </c>
      <c r="B1406" s="24">
        <v>46178</v>
      </c>
      <c r="C1406" s="27" t="s">
        <v>5797</v>
      </c>
      <c r="D1406" s="27" t="s">
        <v>3225</v>
      </c>
      <c r="E1406" t="s">
        <v>1821</v>
      </c>
      <c r="F1406" t="s">
        <v>104</v>
      </c>
      <c r="H1406" t="s">
        <v>5762</v>
      </c>
    </row>
    <row r="1407" spans="1:8">
      <c r="A1407" t="s">
        <v>4457</v>
      </c>
      <c r="B1407" s="24">
        <v>46181</v>
      </c>
      <c r="C1407" s="27" t="s">
        <v>5797</v>
      </c>
      <c r="D1407" s="27" t="s">
        <v>3224</v>
      </c>
      <c r="E1407" t="s">
        <v>1822</v>
      </c>
      <c r="F1407" t="s">
        <v>104</v>
      </c>
      <c r="H1407" t="s">
        <v>5762</v>
      </c>
    </row>
    <row r="1408" spans="1:8">
      <c r="A1408" t="s">
        <v>4458</v>
      </c>
      <c r="B1408" s="24">
        <v>46182</v>
      </c>
      <c r="C1408" s="27" t="s">
        <v>5797</v>
      </c>
      <c r="D1408" s="27" t="s">
        <v>3224</v>
      </c>
      <c r="E1408" t="s">
        <v>1823</v>
      </c>
      <c r="F1408" t="s">
        <v>104</v>
      </c>
      <c r="H1408" t="s">
        <v>5762</v>
      </c>
    </row>
    <row r="1409" spans="1:8">
      <c r="A1409" t="s">
        <v>4459</v>
      </c>
      <c r="B1409" s="24">
        <v>46183</v>
      </c>
      <c r="C1409" s="27" t="s">
        <v>5797</v>
      </c>
      <c r="D1409" s="27" t="s">
        <v>3224</v>
      </c>
      <c r="E1409" t="s">
        <v>1824</v>
      </c>
      <c r="F1409" t="s">
        <v>104</v>
      </c>
      <c r="H1409" t="s">
        <v>5762</v>
      </c>
    </row>
    <row r="1410" spans="1:8">
      <c r="A1410" t="s">
        <v>4460</v>
      </c>
      <c r="B1410" s="24">
        <v>46184</v>
      </c>
      <c r="C1410" s="27" t="s">
        <v>5797</v>
      </c>
      <c r="D1410" s="27" t="s">
        <v>3224</v>
      </c>
      <c r="E1410" t="s">
        <v>1825</v>
      </c>
      <c r="F1410" t="s">
        <v>104</v>
      </c>
      <c r="H1410" t="s">
        <v>5762</v>
      </c>
    </row>
    <row r="1411" spans="1:8">
      <c r="A1411" t="s">
        <v>4461</v>
      </c>
      <c r="B1411" s="24">
        <v>46185</v>
      </c>
      <c r="C1411" s="27" t="s">
        <v>5797</v>
      </c>
      <c r="D1411" s="27" t="s">
        <v>3224</v>
      </c>
      <c r="E1411" t="s">
        <v>1826</v>
      </c>
      <c r="F1411" t="s">
        <v>104</v>
      </c>
      <c r="H1411" t="s">
        <v>5762</v>
      </c>
    </row>
    <row r="1412" spans="1:8">
      <c r="A1412" t="s">
        <v>4462</v>
      </c>
      <c r="B1412" s="24">
        <v>46174</v>
      </c>
      <c r="C1412" s="27" t="s">
        <v>5797</v>
      </c>
      <c r="D1412" s="27" t="s">
        <v>3224</v>
      </c>
      <c r="E1412" t="s">
        <v>1827</v>
      </c>
      <c r="F1412" t="s">
        <v>104</v>
      </c>
      <c r="H1412" t="s">
        <v>5762</v>
      </c>
    </row>
    <row r="1413" spans="1:8">
      <c r="A1413" t="s">
        <v>4463</v>
      </c>
      <c r="B1413" s="24">
        <v>46175</v>
      </c>
      <c r="C1413" s="27" t="s">
        <v>5797</v>
      </c>
      <c r="D1413" s="27" t="s">
        <v>3224</v>
      </c>
      <c r="E1413" t="s">
        <v>1828</v>
      </c>
      <c r="F1413" t="s">
        <v>104</v>
      </c>
      <c r="H1413" t="s">
        <v>5762</v>
      </c>
    </row>
    <row r="1414" spans="1:8">
      <c r="A1414" t="s">
        <v>4464</v>
      </c>
      <c r="B1414" s="24">
        <v>46176</v>
      </c>
      <c r="C1414" s="27" t="s">
        <v>5797</v>
      </c>
      <c r="D1414" s="27" t="s">
        <v>3224</v>
      </c>
      <c r="E1414" t="s">
        <v>1829</v>
      </c>
      <c r="F1414" t="s">
        <v>104</v>
      </c>
      <c r="H1414" t="s">
        <v>5762</v>
      </c>
    </row>
    <row r="1415" spans="1:8">
      <c r="A1415" t="s">
        <v>4465</v>
      </c>
      <c r="B1415" s="24">
        <v>46177</v>
      </c>
      <c r="C1415" s="27" t="s">
        <v>5797</v>
      </c>
      <c r="D1415" s="27" t="s">
        <v>3224</v>
      </c>
      <c r="E1415" t="s">
        <v>1830</v>
      </c>
      <c r="F1415" t="s">
        <v>104</v>
      </c>
      <c r="H1415" t="s">
        <v>5762</v>
      </c>
    </row>
    <row r="1416" spans="1:8">
      <c r="A1416" t="s">
        <v>4466</v>
      </c>
      <c r="B1416" s="24">
        <v>46178</v>
      </c>
      <c r="C1416" s="27" t="s">
        <v>5797</v>
      </c>
      <c r="D1416" s="27" t="s">
        <v>3224</v>
      </c>
      <c r="E1416" t="s">
        <v>1831</v>
      </c>
      <c r="F1416" t="s">
        <v>104</v>
      </c>
      <c r="H1416" t="s">
        <v>5762</v>
      </c>
    </row>
    <row r="1417" spans="1:8">
      <c r="A1417" t="s">
        <v>4467</v>
      </c>
      <c r="B1417" s="24">
        <v>46181</v>
      </c>
      <c r="C1417" s="27" t="s">
        <v>5797</v>
      </c>
      <c r="D1417" s="27" t="s">
        <v>3226</v>
      </c>
      <c r="E1417" t="s">
        <v>1832</v>
      </c>
      <c r="F1417" t="s">
        <v>104</v>
      </c>
      <c r="H1417" t="s">
        <v>5762</v>
      </c>
    </row>
    <row r="1418" spans="1:8">
      <c r="A1418" t="s">
        <v>4468</v>
      </c>
      <c r="B1418" s="24">
        <v>46182</v>
      </c>
      <c r="C1418" s="27" t="s">
        <v>5797</v>
      </c>
      <c r="D1418" s="27" t="s">
        <v>3226</v>
      </c>
      <c r="E1418" t="s">
        <v>1833</v>
      </c>
      <c r="F1418" t="s">
        <v>104</v>
      </c>
      <c r="H1418" t="s">
        <v>5762</v>
      </c>
    </row>
    <row r="1419" spans="1:8">
      <c r="A1419" t="s">
        <v>4469</v>
      </c>
      <c r="B1419" s="24">
        <v>46183</v>
      </c>
      <c r="C1419" s="27" t="s">
        <v>5797</v>
      </c>
      <c r="D1419" s="27" t="s">
        <v>3226</v>
      </c>
      <c r="E1419" t="s">
        <v>1834</v>
      </c>
      <c r="F1419" t="s">
        <v>104</v>
      </c>
      <c r="H1419" t="s">
        <v>5762</v>
      </c>
    </row>
    <row r="1420" spans="1:8">
      <c r="A1420" t="s">
        <v>4470</v>
      </c>
      <c r="B1420" s="24">
        <v>46184</v>
      </c>
      <c r="C1420" s="27" t="s">
        <v>5797</v>
      </c>
      <c r="D1420" s="27" t="s">
        <v>3226</v>
      </c>
      <c r="E1420" t="s">
        <v>1835</v>
      </c>
      <c r="F1420" t="s">
        <v>104</v>
      </c>
      <c r="H1420" t="s">
        <v>5762</v>
      </c>
    </row>
    <row r="1421" spans="1:8">
      <c r="A1421" t="s">
        <v>4471</v>
      </c>
      <c r="B1421" s="24">
        <v>46185</v>
      </c>
      <c r="C1421" s="27" t="s">
        <v>5797</v>
      </c>
      <c r="D1421" s="27" t="s">
        <v>3226</v>
      </c>
      <c r="E1421" t="s">
        <v>1836</v>
      </c>
      <c r="F1421" t="s">
        <v>104</v>
      </c>
      <c r="H1421" t="s">
        <v>5762</v>
      </c>
    </row>
    <row r="1422" spans="1:8">
      <c r="A1422" t="s">
        <v>4472</v>
      </c>
      <c r="B1422" s="24">
        <v>46174</v>
      </c>
      <c r="C1422" s="27" t="s">
        <v>5797</v>
      </c>
      <c r="D1422" s="27" t="s">
        <v>3226</v>
      </c>
      <c r="E1422" t="s">
        <v>1837</v>
      </c>
      <c r="F1422" t="s">
        <v>104</v>
      </c>
      <c r="H1422" t="s">
        <v>5762</v>
      </c>
    </row>
    <row r="1423" spans="1:8">
      <c r="A1423" t="s">
        <v>4473</v>
      </c>
      <c r="B1423" s="24">
        <v>46175</v>
      </c>
      <c r="C1423" s="27" t="s">
        <v>5797</v>
      </c>
      <c r="D1423" s="27" t="s">
        <v>3226</v>
      </c>
      <c r="E1423" t="s">
        <v>1838</v>
      </c>
      <c r="F1423" t="s">
        <v>104</v>
      </c>
      <c r="H1423" t="s">
        <v>5762</v>
      </c>
    </row>
    <row r="1424" spans="1:8">
      <c r="A1424" t="s">
        <v>4474</v>
      </c>
      <c r="B1424" s="24">
        <v>46176</v>
      </c>
      <c r="C1424" s="27" t="s">
        <v>5797</v>
      </c>
      <c r="D1424" s="27" t="s">
        <v>3226</v>
      </c>
      <c r="E1424" t="s">
        <v>1839</v>
      </c>
      <c r="F1424" t="s">
        <v>104</v>
      </c>
      <c r="H1424" t="s">
        <v>5762</v>
      </c>
    </row>
    <row r="1425" spans="1:8">
      <c r="A1425" t="s">
        <v>4475</v>
      </c>
      <c r="B1425" s="24">
        <v>46177</v>
      </c>
      <c r="C1425" s="27" t="s">
        <v>5797</v>
      </c>
      <c r="D1425" s="27" t="s">
        <v>3226</v>
      </c>
      <c r="E1425" t="s">
        <v>1840</v>
      </c>
      <c r="F1425" t="s">
        <v>104</v>
      </c>
      <c r="H1425" t="s">
        <v>5762</v>
      </c>
    </row>
    <row r="1426" spans="1:8">
      <c r="A1426" t="s">
        <v>4476</v>
      </c>
      <c r="B1426" s="24">
        <v>46178</v>
      </c>
      <c r="C1426" s="27" t="s">
        <v>5797</v>
      </c>
      <c r="D1426" s="27" t="s">
        <v>3226</v>
      </c>
      <c r="E1426" t="s">
        <v>1841</v>
      </c>
      <c r="F1426" t="s">
        <v>104</v>
      </c>
      <c r="G1426" t="s">
        <v>105</v>
      </c>
      <c r="H1426">
        <v>0</v>
      </c>
    </row>
    <row r="1427" spans="1:8">
      <c r="A1427" t="s">
        <v>4477</v>
      </c>
      <c r="B1427" s="24">
        <v>46181</v>
      </c>
      <c r="C1427" s="27" t="s">
        <v>5797</v>
      </c>
      <c r="D1427" s="27" t="s">
        <v>3226</v>
      </c>
      <c r="E1427" t="s">
        <v>1842</v>
      </c>
      <c r="F1427" t="s">
        <v>104</v>
      </c>
      <c r="G1427" t="s">
        <v>105</v>
      </c>
      <c r="H1427">
        <v>0</v>
      </c>
    </row>
    <row r="1428" spans="1:8">
      <c r="A1428" t="s">
        <v>4478</v>
      </c>
      <c r="B1428" s="24">
        <v>46182</v>
      </c>
      <c r="C1428" s="27" t="s">
        <v>5797</v>
      </c>
      <c r="D1428" s="27" t="s">
        <v>3226</v>
      </c>
      <c r="E1428" t="s">
        <v>1843</v>
      </c>
      <c r="F1428" t="s">
        <v>104</v>
      </c>
      <c r="G1428" t="s">
        <v>105</v>
      </c>
      <c r="H1428">
        <v>0</v>
      </c>
    </row>
    <row r="1429" spans="1:8">
      <c r="A1429" t="s">
        <v>4479</v>
      </c>
      <c r="B1429" s="24">
        <v>46183</v>
      </c>
      <c r="C1429" s="27" t="s">
        <v>5797</v>
      </c>
      <c r="D1429" s="27" t="s">
        <v>3226</v>
      </c>
      <c r="E1429" t="s">
        <v>1844</v>
      </c>
      <c r="F1429" t="s">
        <v>104</v>
      </c>
      <c r="G1429" t="s">
        <v>105</v>
      </c>
      <c r="H1429">
        <v>0</v>
      </c>
    </row>
    <row r="1430" spans="1:8">
      <c r="A1430" t="s">
        <v>4480</v>
      </c>
      <c r="B1430" s="24">
        <v>46184</v>
      </c>
      <c r="C1430" s="27" t="s">
        <v>5797</v>
      </c>
      <c r="D1430" s="27" t="s">
        <v>3226</v>
      </c>
      <c r="E1430" t="s">
        <v>1845</v>
      </c>
      <c r="F1430" t="s">
        <v>104</v>
      </c>
      <c r="G1430" t="s">
        <v>105</v>
      </c>
      <c r="H1430">
        <v>0</v>
      </c>
    </row>
    <row r="1431" spans="1:8">
      <c r="A1431" t="s">
        <v>4481</v>
      </c>
      <c r="B1431" s="24">
        <v>46185</v>
      </c>
      <c r="C1431" s="27" t="s">
        <v>5797</v>
      </c>
      <c r="D1431" s="27" t="s">
        <v>3226</v>
      </c>
      <c r="E1431" t="s">
        <v>1846</v>
      </c>
      <c r="F1431" t="s">
        <v>104</v>
      </c>
      <c r="G1431" t="s">
        <v>105</v>
      </c>
      <c r="H1431">
        <v>0</v>
      </c>
    </row>
    <row r="1432" spans="1:8">
      <c r="A1432" t="s">
        <v>4482</v>
      </c>
      <c r="B1432" s="24">
        <v>46174</v>
      </c>
      <c r="C1432" s="27" t="s">
        <v>5797</v>
      </c>
      <c r="D1432" s="27" t="s">
        <v>3226</v>
      </c>
      <c r="E1432" t="s">
        <v>1847</v>
      </c>
      <c r="F1432" t="s">
        <v>104</v>
      </c>
      <c r="G1432" t="s">
        <v>105</v>
      </c>
      <c r="H1432">
        <v>0</v>
      </c>
    </row>
    <row r="1433" spans="1:8">
      <c r="A1433" t="s">
        <v>4483</v>
      </c>
      <c r="B1433" s="24">
        <v>46175</v>
      </c>
      <c r="C1433" s="27" t="s">
        <v>5797</v>
      </c>
      <c r="D1433" s="27" t="s">
        <v>3226</v>
      </c>
      <c r="E1433" t="s">
        <v>1848</v>
      </c>
      <c r="F1433" t="s">
        <v>104</v>
      </c>
      <c r="G1433" t="s">
        <v>105</v>
      </c>
      <c r="H1433">
        <v>0</v>
      </c>
    </row>
    <row r="1434" spans="1:8">
      <c r="A1434" t="s">
        <v>4484</v>
      </c>
      <c r="B1434" s="24">
        <v>46176</v>
      </c>
      <c r="C1434" s="27" t="s">
        <v>5797</v>
      </c>
      <c r="D1434" s="27" t="s">
        <v>3226</v>
      </c>
      <c r="E1434" t="s">
        <v>1849</v>
      </c>
      <c r="F1434" t="s">
        <v>104</v>
      </c>
      <c r="G1434" t="s">
        <v>105</v>
      </c>
      <c r="H1434">
        <v>0</v>
      </c>
    </row>
    <row r="1435" spans="1:8">
      <c r="A1435" t="s">
        <v>4485</v>
      </c>
      <c r="B1435" s="24">
        <v>46177</v>
      </c>
      <c r="C1435" s="27" t="s">
        <v>5797</v>
      </c>
      <c r="D1435" s="27" t="s">
        <v>3226</v>
      </c>
      <c r="E1435" t="s">
        <v>1850</v>
      </c>
      <c r="F1435" t="s">
        <v>104</v>
      </c>
      <c r="G1435" t="s">
        <v>105</v>
      </c>
      <c r="H1435">
        <v>0</v>
      </c>
    </row>
    <row r="1436" spans="1:8">
      <c r="A1436" t="s">
        <v>4486</v>
      </c>
      <c r="B1436" s="24">
        <v>46178</v>
      </c>
      <c r="C1436" s="27" t="s">
        <v>5797</v>
      </c>
      <c r="D1436" s="27" t="s">
        <v>3226</v>
      </c>
      <c r="E1436" t="s">
        <v>1851</v>
      </c>
      <c r="F1436" t="s">
        <v>104</v>
      </c>
      <c r="G1436" t="s">
        <v>105</v>
      </c>
      <c r="H1436">
        <v>0</v>
      </c>
    </row>
    <row r="1437" spans="1:8">
      <c r="A1437" t="s">
        <v>4487</v>
      </c>
      <c r="B1437" s="24">
        <v>46181</v>
      </c>
      <c r="C1437" s="27" t="s">
        <v>5797</v>
      </c>
      <c r="D1437" s="27" t="s">
        <v>3226</v>
      </c>
      <c r="E1437" t="s">
        <v>1852</v>
      </c>
      <c r="F1437" t="s">
        <v>104</v>
      </c>
      <c r="G1437" t="s">
        <v>105</v>
      </c>
      <c r="H1437">
        <v>0</v>
      </c>
    </row>
    <row r="1438" spans="1:8">
      <c r="A1438" t="s">
        <v>4488</v>
      </c>
      <c r="B1438" s="24">
        <v>46182</v>
      </c>
      <c r="C1438" s="27" t="s">
        <v>5797</v>
      </c>
      <c r="D1438" s="27" t="s">
        <v>3226</v>
      </c>
      <c r="E1438" t="s">
        <v>1853</v>
      </c>
      <c r="F1438" t="s">
        <v>104</v>
      </c>
      <c r="G1438" t="s">
        <v>105</v>
      </c>
      <c r="H1438">
        <v>0</v>
      </c>
    </row>
    <row r="1439" spans="1:8">
      <c r="A1439" t="s">
        <v>4489</v>
      </c>
      <c r="B1439" s="24">
        <v>46183</v>
      </c>
      <c r="C1439" s="27" t="s">
        <v>5797</v>
      </c>
      <c r="D1439" s="27" t="s">
        <v>3226</v>
      </c>
      <c r="E1439" t="s">
        <v>1854</v>
      </c>
      <c r="F1439" t="s">
        <v>104</v>
      </c>
      <c r="G1439" t="s">
        <v>105</v>
      </c>
      <c r="H1439">
        <v>0</v>
      </c>
    </row>
    <row r="1440" spans="1:8">
      <c r="A1440" t="s">
        <v>4490</v>
      </c>
      <c r="B1440" s="24">
        <v>46184</v>
      </c>
      <c r="C1440" s="27" t="s">
        <v>5797</v>
      </c>
      <c r="D1440" s="27" t="s">
        <v>3226</v>
      </c>
      <c r="E1440" t="s">
        <v>1855</v>
      </c>
      <c r="F1440" t="s">
        <v>104</v>
      </c>
      <c r="G1440" t="s">
        <v>105</v>
      </c>
      <c r="H1440">
        <v>0</v>
      </c>
    </row>
    <row r="1441" spans="1:8">
      <c r="A1441" t="s">
        <v>4491</v>
      </c>
      <c r="B1441" s="24">
        <v>46185</v>
      </c>
      <c r="C1441" s="27" t="s">
        <v>5797</v>
      </c>
      <c r="D1441" s="27" t="s">
        <v>3226</v>
      </c>
      <c r="E1441" t="s">
        <v>1856</v>
      </c>
      <c r="F1441" t="s">
        <v>104</v>
      </c>
      <c r="G1441" t="s">
        <v>105</v>
      </c>
      <c r="H1441">
        <v>0</v>
      </c>
    </row>
    <row r="1442" spans="1:8">
      <c r="A1442" t="s">
        <v>4492</v>
      </c>
      <c r="B1442" s="24">
        <v>46174</v>
      </c>
      <c r="C1442" s="27" t="s">
        <v>5797</v>
      </c>
      <c r="D1442" s="27" t="s">
        <v>3226</v>
      </c>
      <c r="E1442" t="s">
        <v>1857</v>
      </c>
      <c r="F1442" t="s">
        <v>104</v>
      </c>
      <c r="G1442" t="s">
        <v>105</v>
      </c>
      <c r="H1442">
        <v>0</v>
      </c>
    </row>
    <row r="1443" spans="1:8">
      <c r="A1443" t="s">
        <v>4493</v>
      </c>
      <c r="B1443" s="24">
        <v>46175</v>
      </c>
      <c r="C1443" s="27" t="s">
        <v>5797</v>
      </c>
      <c r="D1443" s="27" t="s">
        <v>3226</v>
      </c>
      <c r="E1443" t="s">
        <v>1858</v>
      </c>
      <c r="F1443" t="s">
        <v>104</v>
      </c>
      <c r="G1443" t="s">
        <v>105</v>
      </c>
      <c r="H1443">
        <v>0</v>
      </c>
    </row>
    <row r="1444" spans="1:8">
      <c r="A1444" t="s">
        <v>4494</v>
      </c>
      <c r="B1444" s="24">
        <v>46176</v>
      </c>
      <c r="C1444" s="27" t="s">
        <v>5797</v>
      </c>
      <c r="D1444" s="27" t="s">
        <v>3226</v>
      </c>
      <c r="E1444" t="s">
        <v>1859</v>
      </c>
      <c r="F1444" t="s">
        <v>104</v>
      </c>
      <c r="G1444" t="s">
        <v>105</v>
      </c>
      <c r="H1444">
        <v>0</v>
      </c>
    </row>
    <row r="1445" spans="1:8">
      <c r="A1445" t="s">
        <v>4495</v>
      </c>
      <c r="B1445" s="24">
        <v>46177</v>
      </c>
      <c r="C1445" s="27" t="s">
        <v>5797</v>
      </c>
      <c r="D1445" s="27" t="s">
        <v>3226</v>
      </c>
      <c r="E1445" t="s">
        <v>1860</v>
      </c>
      <c r="F1445" t="s">
        <v>104</v>
      </c>
      <c r="G1445" t="s">
        <v>105</v>
      </c>
      <c r="H1445">
        <v>0</v>
      </c>
    </row>
    <row r="1446" spans="1:8">
      <c r="A1446" t="s">
        <v>4496</v>
      </c>
      <c r="B1446" s="24">
        <v>46178</v>
      </c>
      <c r="C1446" s="27" t="s">
        <v>5797</v>
      </c>
      <c r="D1446" s="27" t="s">
        <v>3226</v>
      </c>
      <c r="E1446" t="s">
        <v>1861</v>
      </c>
      <c r="F1446" t="s">
        <v>104</v>
      </c>
      <c r="G1446" t="s">
        <v>105</v>
      </c>
      <c r="H1446">
        <v>0</v>
      </c>
    </row>
    <row r="1447" spans="1:8">
      <c r="A1447" t="s">
        <v>4497</v>
      </c>
      <c r="B1447" s="24">
        <v>46181</v>
      </c>
      <c r="C1447" s="27" t="s">
        <v>5797</v>
      </c>
      <c r="D1447" s="27" t="s">
        <v>3226</v>
      </c>
      <c r="E1447" t="s">
        <v>1862</v>
      </c>
      <c r="F1447" t="s">
        <v>104</v>
      </c>
      <c r="G1447" t="s">
        <v>105</v>
      </c>
      <c r="H1447">
        <v>0</v>
      </c>
    </row>
    <row r="1448" spans="1:8">
      <c r="A1448" t="s">
        <v>4498</v>
      </c>
      <c r="B1448" s="24">
        <v>46182</v>
      </c>
      <c r="C1448" s="27" t="s">
        <v>5797</v>
      </c>
      <c r="D1448" s="27" t="s">
        <v>3226</v>
      </c>
      <c r="E1448" t="s">
        <v>1863</v>
      </c>
      <c r="F1448" t="s">
        <v>104</v>
      </c>
      <c r="G1448" t="s">
        <v>105</v>
      </c>
      <c r="H1448">
        <v>0</v>
      </c>
    </row>
    <row r="1449" spans="1:8">
      <c r="A1449" t="s">
        <v>4499</v>
      </c>
      <c r="B1449" s="24">
        <v>46183</v>
      </c>
      <c r="C1449" s="27" t="s">
        <v>5797</v>
      </c>
      <c r="D1449" s="27" t="s">
        <v>3226</v>
      </c>
      <c r="E1449" t="s">
        <v>1864</v>
      </c>
      <c r="F1449" t="s">
        <v>104</v>
      </c>
      <c r="G1449" t="s">
        <v>105</v>
      </c>
      <c r="H1449">
        <v>0</v>
      </c>
    </row>
    <row r="1450" spans="1:8">
      <c r="A1450" t="s">
        <v>4500</v>
      </c>
      <c r="B1450" s="24">
        <v>46184</v>
      </c>
      <c r="C1450" s="27" t="s">
        <v>5797</v>
      </c>
      <c r="D1450" s="27" t="s">
        <v>3226</v>
      </c>
      <c r="E1450" t="s">
        <v>1865</v>
      </c>
      <c r="F1450" t="s">
        <v>104</v>
      </c>
      <c r="G1450" t="s">
        <v>105</v>
      </c>
      <c r="H1450">
        <v>0</v>
      </c>
    </row>
    <row r="1451" spans="1:8">
      <c r="A1451" t="s">
        <v>4501</v>
      </c>
      <c r="B1451" s="24">
        <v>46185</v>
      </c>
      <c r="C1451" s="27" t="s">
        <v>5797</v>
      </c>
      <c r="D1451" s="27" t="s">
        <v>3226</v>
      </c>
      <c r="E1451" t="s">
        <v>1866</v>
      </c>
      <c r="F1451" t="s">
        <v>104</v>
      </c>
      <c r="G1451" t="s">
        <v>105</v>
      </c>
      <c r="H1451">
        <v>0</v>
      </c>
    </row>
    <row r="1452" spans="1:8">
      <c r="A1452" t="s">
        <v>4502</v>
      </c>
      <c r="B1452" s="24">
        <v>46174</v>
      </c>
      <c r="C1452" s="27" t="s">
        <v>5797</v>
      </c>
      <c r="D1452" s="27" t="s">
        <v>3226</v>
      </c>
      <c r="E1452" t="s">
        <v>1867</v>
      </c>
      <c r="F1452" t="s">
        <v>104</v>
      </c>
      <c r="G1452" t="s">
        <v>105</v>
      </c>
      <c r="H1452">
        <v>0</v>
      </c>
    </row>
    <row r="1453" spans="1:8">
      <c r="A1453" t="s">
        <v>4503</v>
      </c>
      <c r="B1453" s="24">
        <v>46175</v>
      </c>
      <c r="C1453" s="27" t="s">
        <v>5797</v>
      </c>
      <c r="D1453" s="27" t="s">
        <v>3226</v>
      </c>
      <c r="E1453" t="s">
        <v>1868</v>
      </c>
      <c r="F1453" t="s">
        <v>104</v>
      </c>
      <c r="G1453" t="s">
        <v>105</v>
      </c>
      <c r="H1453">
        <v>0</v>
      </c>
    </row>
    <row r="1454" spans="1:8">
      <c r="A1454" t="s">
        <v>4504</v>
      </c>
      <c r="B1454" s="24">
        <v>46176</v>
      </c>
      <c r="C1454" s="27" t="s">
        <v>5797</v>
      </c>
      <c r="D1454" s="27" t="s">
        <v>3226</v>
      </c>
      <c r="E1454" t="s">
        <v>1869</v>
      </c>
      <c r="F1454" t="s">
        <v>104</v>
      </c>
      <c r="G1454" t="s">
        <v>105</v>
      </c>
      <c r="H1454">
        <v>0</v>
      </c>
    </row>
    <row r="1455" spans="1:8">
      <c r="A1455" t="s">
        <v>4505</v>
      </c>
      <c r="B1455" s="24">
        <v>46177</v>
      </c>
      <c r="C1455" s="27" t="s">
        <v>5797</v>
      </c>
      <c r="D1455" s="27" t="s">
        <v>3226</v>
      </c>
      <c r="E1455" t="s">
        <v>1870</v>
      </c>
      <c r="F1455" t="s">
        <v>104</v>
      </c>
      <c r="G1455" t="s">
        <v>105</v>
      </c>
      <c r="H1455">
        <v>0</v>
      </c>
    </row>
    <row r="1456" spans="1:8">
      <c r="A1456" t="s">
        <v>4506</v>
      </c>
      <c r="B1456" s="24">
        <v>46178</v>
      </c>
      <c r="C1456" s="27" t="s">
        <v>5797</v>
      </c>
      <c r="D1456" s="27" t="s">
        <v>3226</v>
      </c>
      <c r="E1456" t="s">
        <v>1871</v>
      </c>
      <c r="F1456" t="s">
        <v>104</v>
      </c>
      <c r="G1456" t="s">
        <v>105</v>
      </c>
      <c r="H1456">
        <v>0</v>
      </c>
    </row>
    <row r="1457" spans="1:8">
      <c r="A1457" t="s">
        <v>4507</v>
      </c>
      <c r="B1457" s="24">
        <v>46181</v>
      </c>
      <c r="C1457" s="27" t="s">
        <v>5797</v>
      </c>
      <c r="D1457" s="27" t="s">
        <v>3226</v>
      </c>
      <c r="E1457" t="s">
        <v>1872</v>
      </c>
      <c r="F1457" t="s">
        <v>104</v>
      </c>
      <c r="G1457" t="s">
        <v>105</v>
      </c>
      <c r="H1457">
        <v>0</v>
      </c>
    </row>
    <row r="1458" spans="1:8">
      <c r="A1458" t="s">
        <v>4508</v>
      </c>
      <c r="B1458" s="24">
        <v>46182</v>
      </c>
      <c r="C1458" s="27" t="s">
        <v>5797</v>
      </c>
      <c r="D1458" s="27" t="s">
        <v>3226</v>
      </c>
      <c r="E1458" t="s">
        <v>1873</v>
      </c>
      <c r="F1458" t="s">
        <v>104</v>
      </c>
      <c r="G1458" t="s">
        <v>105</v>
      </c>
      <c r="H1458">
        <v>0</v>
      </c>
    </row>
    <row r="1459" spans="1:8">
      <c r="A1459" t="s">
        <v>4509</v>
      </c>
      <c r="B1459" s="24">
        <v>46183</v>
      </c>
      <c r="C1459" s="27" t="s">
        <v>5797</v>
      </c>
      <c r="D1459" s="27" t="s">
        <v>3226</v>
      </c>
      <c r="E1459" t="s">
        <v>1874</v>
      </c>
      <c r="F1459" t="s">
        <v>104</v>
      </c>
      <c r="G1459" t="s">
        <v>105</v>
      </c>
      <c r="H1459">
        <v>0</v>
      </c>
    </row>
    <row r="1460" spans="1:8">
      <c r="A1460" t="s">
        <v>4510</v>
      </c>
      <c r="B1460" s="24">
        <v>46184</v>
      </c>
      <c r="C1460" s="27" t="s">
        <v>5797</v>
      </c>
      <c r="D1460" s="27" t="s">
        <v>3226</v>
      </c>
      <c r="E1460" t="s">
        <v>1875</v>
      </c>
      <c r="F1460" t="s">
        <v>104</v>
      </c>
      <c r="G1460" t="s">
        <v>105</v>
      </c>
      <c r="H1460">
        <v>0</v>
      </c>
    </row>
    <row r="1461" spans="1:8">
      <c r="A1461" t="s">
        <v>4511</v>
      </c>
      <c r="B1461" s="24">
        <v>46185</v>
      </c>
      <c r="C1461" s="27" t="s">
        <v>5797</v>
      </c>
      <c r="D1461" s="27" t="s">
        <v>3226</v>
      </c>
      <c r="E1461" t="s">
        <v>1876</v>
      </c>
      <c r="F1461" t="s">
        <v>104</v>
      </c>
      <c r="G1461" t="s">
        <v>105</v>
      </c>
      <c r="H1461">
        <v>0</v>
      </c>
    </row>
    <row r="1462" spans="1:8">
      <c r="A1462" t="s">
        <v>4512</v>
      </c>
      <c r="B1462" s="24">
        <v>46174</v>
      </c>
      <c r="C1462" s="27" t="s">
        <v>5797</v>
      </c>
      <c r="D1462" s="27" t="s">
        <v>3226</v>
      </c>
      <c r="E1462" t="s">
        <v>1877</v>
      </c>
      <c r="F1462" t="s">
        <v>104</v>
      </c>
      <c r="G1462" t="s">
        <v>105</v>
      </c>
      <c r="H1462">
        <v>0</v>
      </c>
    </row>
    <row r="1463" spans="1:8">
      <c r="A1463" t="s">
        <v>4513</v>
      </c>
      <c r="B1463" s="24">
        <v>46175</v>
      </c>
      <c r="C1463" s="27" t="s">
        <v>5797</v>
      </c>
      <c r="D1463" s="27" t="s">
        <v>3226</v>
      </c>
      <c r="E1463" t="s">
        <v>1878</v>
      </c>
      <c r="F1463" t="s">
        <v>104</v>
      </c>
      <c r="G1463" t="s">
        <v>105</v>
      </c>
      <c r="H1463">
        <v>0</v>
      </c>
    </row>
    <row r="1464" spans="1:8">
      <c r="A1464" t="s">
        <v>4514</v>
      </c>
      <c r="B1464" s="24">
        <v>46176</v>
      </c>
      <c r="C1464" s="27" t="s">
        <v>5797</v>
      </c>
      <c r="D1464" s="27" t="s">
        <v>3226</v>
      </c>
      <c r="E1464" t="s">
        <v>1879</v>
      </c>
      <c r="F1464" t="s">
        <v>104</v>
      </c>
      <c r="G1464" t="s">
        <v>105</v>
      </c>
      <c r="H1464">
        <v>0</v>
      </c>
    </row>
    <row r="1465" spans="1:8">
      <c r="A1465" t="s">
        <v>4515</v>
      </c>
      <c r="B1465" s="24">
        <v>46177</v>
      </c>
      <c r="C1465" s="27" t="s">
        <v>5797</v>
      </c>
      <c r="D1465" s="27" t="s">
        <v>3226</v>
      </c>
      <c r="E1465" t="s">
        <v>1880</v>
      </c>
      <c r="F1465" t="s">
        <v>104</v>
      </c>
      <c r="G1465" t="s">
        <v>105</v>
      </c>
      <c r="H1465">
        <v>0</v>
      </c>
    </row>
    <row r="1466" spans="1:8">
      <c r="A1466" t="s">
        <v>4516</v>
      </c>
      <c r="B1466" s="24">
        <v>46178</v>
      </c>
      <c r="C1466" s="27" t="s">
        <v>5797</v>
      </c>
      <c r="D1466" s="27" t="s">
        <v>3226</v>
      </c>
      <c r="E1466" t="s">
        <v>1881</v>
      </c>
      <c r="F1466" t="s">
        <v>104</v>
      </c>
      <c r="G1466" t="s">
        <v>105</v>
      </c>
      <c r="H1466">
        <v>0</v>
      </c>
    </row>
    <row r="1467" spans="1:8">
      <c r="A1467" t="s">
        <v>4517</v>
      </c>
      <c r="B1467" s="24">
        <v>46181</v>
      </c>
      <c r="C1467" s="27" t="s">
        <v>5797</v>
      </c>
      <c r="D1467" s="27" t="s">
        <v>3226</v>
      </c>
      <c r="E1467" t="s">
        <v>1882</v>
      </c>
      <c r="F1467" t="s">
        <v>104</v>
      </c>
      <c r="G1467" t="s">
        <v>105</v>
      </c>
      <c r="H1467">
        <v>0</v>
      </c>
    </row>
    <row r="1468" spans="1:8">
      <c r="A1468" t="s">
        <v>4518</v>
      </c>
      <c r="B1468" s="24">
        <v>46182</v>
      </c>
      <c r="C1468" s="27" t="s">
        <v>5797</v>
      </c>
      <c r="D1468" s="27" t="s">
        <v>3226</v>
      </c>
      <c r="E1468" t="s">
        <v>1883</v>
      </c>
      <c r="F1468" t="s">
        <v>104</v>
      </c>
      <c r="G1468" t="s">
        <v>105</v>
      </c>
      <c r="H1468">
        <v>0</v>
      </c>
    </row>
    <row r="1469" spans="1:8">
      <c r="A1469" t="s">
        <v>4519</v>
      </c>
      <c r="B1469" s="24">
        <v>46183</v>
      </c>
      <c r="C1469" s="27" t="s">
        <v>5797</v>
      </c>
      <c r="D1469" s="27" t="s">
        <v>3226</v>
      </c>
      <c r="E1469" t="s">
        <v>1884</v>
      </c>
      <c r="F1469" t="s">
        <v>104</v>
      </c>
      <c r="G1469" t="s">
        <v>105</v>
      </c>
      <c r="H1469">
        <v>0</v>
      </c>
    </row>
    <row r="1470" spans="1:8">
      <c r="A1470" t="s">
        <v>4520</v>
      </c>
      <c r="B1470" s="24">
        <v>46184</v>
      </c>
      <c r="C1470" s="27" t="s">
        <v>5797</v>
      </c>
      <c r="D1470" s="27" t="s">
        <v>3226</v>
      </c>
      <c r="E1470" t="s">
        <v>1885</v>
      </c>
      <c r="F1470" t="s">
        <v>104</v>
      </c>
      <c r="G1470" t="s">
        <v>105</v>
      </c>
      <c r="H1470">
        <v>0</v>
      </c>
    </row>
    <row r="1471" spans="1:8">
      <c r="A1471" t="s">
        <v>4521</v>
      </c>
      <c r="B1471" s="24">
        <v>46185</v>
      </c>
      <c r="C1471" s="27" t="s">
        <v>5797</v>
      </c>
      <c r="D1471" s="27" t="s">
        <v>3226</v>
      </c>
      <c r="E1471" t="s">
        <v>1886</v>
      </c>
      <c r="F1471" t="s">
        <v>104</v>
      </c>
      <c r="G1471" t="s">
        <v>105</v>
      </c>
      <c r="H1471">
        <v>0</v>
      </c>
    </row>
    <row r="1472" spans="1:8">
      <c r="A1472" t="s">
        <v>4522</v>
      </c>
      <c r="B1472" s="24">
        <v>46174</v>
      </c>
      <c r="C1472" s="27" t="s">
        <v>5797</v>
      </c>
      <c r="D1472" s="27" t="s">
        <v>3226</v>
      </c>
      <c r="E1472" t="s">
        <v>1887</v>
      </c>
      <c r="F1472" t="s">
        <v>104</v>
      </c>
      <c r="G1472" t="s">
        <v>105</v>
      </c>
      <c r="H1472">
        <v>0</v>
      </c>
    </row>
    <row r="1473" spans="1:8">
      <c r="A1473" t="s">
        <v>4523</v>
      </c>
      <c r="B1473" s="24">
        <v>46175</v>
      </c>
      <c r="C1473" s="27" t="s">
        <v>5797</v>
      </c>
      <c r="D1473" s="27" t="s">
        <v>3226</v>
      </c>
      <c r="E1473" t="s">
        <v>1888</v>
      </c>
      <c r="F1473" t="s">
        <v>104</v>
      </c>
      <c r="G1473" t="s">
        <v>105</v>
      </c>
      <c r="H1473">
        <v>0</v>
      </c>
    </row>
    <row r="1474" spans="1:8">
      <c r="A1474" t="s">
        <v>4524</v>
      </c>
      <c r="B1474" s="24">
        <v>46176</v>
      </c>
      <c r="C1474" s="27" t="s">
        <v>5797</v>
      </c>
      <c r="D1474" s="27" t="s">
        <v>3226</v>
      </c>
      <c r="E1474" t="s">
        <v>1889</v>
      </c>
      <c r="F1474" t="s">
        <v>104</v>
      </c>
      <c r="G1474" t="s">
        <v>105</v>
      </c>
      <c r="H1474">
        <v>0</v>
      </c>
    </row>
    <row r="1475" spans="1:8">
      <c r="A1475" t="s">
        <v>4525</v>
      </c>
      <c r="B1475" s="24">
        <v>46177</v>
      </c>
      <c r="C1475" s="27" t="s">
        <v>5797</v>
      </c>
      <c r="D1475" s="27" t="s">
        <v>3226</v>
      </c>
      <c r="E1475" t="s">
        <v>1890</v>
      </c>
      <c r="F1475" t="s">
        <v>104</v>
      </c>
      <c r="G1475" t="s">
        <v>105</v>
      </c>
      <c r="H1475">
        <v>0</v>
      </c>
    </row>
    <row r="1476" spans="1:8">
      <c r="A1476" t="s">
        <v>4526</v>
      </c>
      <c r="B1476" s="24">
        <v>46178</v>
      </c>
      <c r="C1476" s="27" t="s">
        <v>5797</v>
      </c>
      <c r="D1476" s="27" t="s">
        <v>3226</v>
      </c>
      <c r="E1476" t="s">
        <v>1891</v>
      </c>
      <c r="F1476" t="s">
        <v>104</v>
      </c>
      <c r="G1476" t="s">
        <v>105</v>
      </c>
      <c r="H1476">
        <v>0</v>
      </c>
    </row>
    <row r="1477" spans="1:8">
      <c r="A1477" t="s">
        <v>4527</v>
      </c>
      <c r="B1477" s="24">
        <v>46181</v>
      </c>
      <c r="C1477" s="27" t="s">
        <v>5797</v>
      </c>
      <c r="D1477" s="27" t="s">
        <v>3226</v>
      </c>
      <c r="E1477" t="s">
        <v>1892</v>
      </c>
      <c r="F1477" t="s">
        <v>104</v>
      </c>
      <c r="G1477" t="s">
        <v>105</v>
      </c>
      <c r="H1477">
        <v>0</v>
      </c>
    </row>
    <row r="1478" spans="1:8">
      <c r="A1478" t="s">
        <v>4528</v>
      </c>
      <c r="B1478" s="24">
        <v>46182</v>
      </c>
      <c r="C1478" s="27" t="s">
        <v>5797</v>
      </c>
      <c r="D1478" s="27" t="s">
        <v>3226</v>
      </c>
      <c r="E1478" t="s">
        <v>1893</v>
      </c>
      <c r="F1478" t="s">
        <v>104</v>
      </c>
      <c r="G1478" t="s">
        <v>105</v>
      </c>
      <c r="H1478">
        <v>0</v>
      </c>
    </row>
    <row r="1479" spans="1:8">
      <c r="A1479" t="s">
        <v>4529</v>
      </c>
      <c r="B1479" s="24">
        <v>46183</v>
      </c>
      <c r="C1479" s="27" t="s">
        <v>5797</v>
      </c>
      <c r="D1479" s="27" t="s">
        <v>3226</v>
      </c>
      <c r="E1479" t="s">
        <v>1894</v>
      </c>
      <c r="F1479" t="s">
        <v>104</v>
      </c>
      <c r="G1479" t="s">
        <v>105</v>
      </c>
      <c r="H1479">
        <v>0</v>
      </c>
    </row>
    <row r="1480" spans="1:8">
      <c r="A1480" t="s">
        <v>4530</v>
      </c>
      <c r="B1480" s="24">
        <v>46184</v>
      </c>
      <c r="C1480" s="27" t="s">
        <v>5797</v>
      </c>
      <c r="D1480" s="27" t="s">
        <v>3226</v>
      </c>
      <c r="E1480" t="s">
        <v>1895</v>
      </c>
      <c r="F1480" t="s">
        <v>104</v>
      </c>
      <c r="G1480" t="s">
        <v>105</v>
      </c>
      <c r="H1480">
        <v>0</v>
      </c>
    </row>
    <row r="1481" spans="1:8">
      <c r="A1481" t="s">
        <v>4531</v>
      </c>
      <c r="B1481" s="24">
        <v>46185</v>
      </c>
      <c r="C1481" s="27" t="s">
        <v>5797</v>
      </c>
      <c r="D1481" s="27" t="s">
        <v>3226</v>
      </c>
      <c r="E1481" t="s">
        <v>1896</v>
      </c>
      <c r="F1481" t="s">
        <v>104</v>
      </c>
      <c r="G1481" t="s">
        <v>105</v>
      </c>
      <c r="H1481">
        <v>0</v>
      </c>
    </row>
    <row r="1482" spans="1:8">
      <c r="A1482" t="s">
        <v>4532</v>
      </c>
      <c r="B1482" s="24">
        <v>46174</v>
      </c>
      <c r="C1482" s="27" t="s">
        <v>5797</v>
      </c>
      <c r="D1482" s="27" t="s">
        <v>3226</v>
      </c>
      <c r="E1482" t="s">
        <v>1897</v>
      </c>
      <c r="F1482" t="s">
        <v>104</v>
      </c>
      <c r="G1482" t="s">
        <v>105</v>
      </c>
      <c r="H1482">
        <v>0</v>
      </c>
    </row>
    <row r="1483" spans="1:8">
      <c r="A1483" t="s">
        <v>4533</v>
      </c>
      <c r="B1483" s="24">
        <v>46175</v>
      </c>
      <c r="C1483" s="27" t="s">
        <v>5797</v>
      </c>
      <c r="D1483" s="27" t="s">
        <v>3226</v>
      </c>
      <c r="E1483" t="s">
        <v>1898</v>
      </c>
      <c r="F1483" t="s">
        <v>104</v>
      </c>
      <c r="G1483" t="s">
        <v>105</v>
      </c>
      <c r="H1483">
        <v>0</v>
      </c>
    </row>
    <row r="1484" spans="1:8">
      <c r="A1484" t="s">
        <v>4534</v>
      </c>
      <c r="B1484" s="24">
        <v>46176</v>
      </c>
      <c r="C1484" s="27" t="s">
        <v>5797</v>
      </c>
      <c r="D1484" s="27" t="s">
        <v>3226</v>
      </c>
      <c r="E1484" t="s">
        <v>1899</v>
      </c>
      <c r="F1484" t="s">
        <v>104</v>
      </c>
      <c r="G1484" t="s">
        <v>105</v>
      </c>
      <c r="H1484">
        <v>0</v>
      </c>
    </row>
    <row r="1485" spans="1:8">
      <c r="A1485" t="s">
        <v>4535</v>
      </c>
      <c r="B1485" s="24">
        <v>46177</v>
      </c>
      <c r="C1485" s="27" t="s">
        <v>5797</v>
      </c>
      <c r="D1485" s="27" t="s">
        <v>3226</v>
      </c>
      <c r="E1485" t="s">
        <v>1900</v>
      </c>
      <c r="F1485" t="s">
        <v>104</v>
      </c>
      <c r="G1485" t="s">
        <v>105</v>
      </c>
      <c r="H1485">
        <v>0</v>
      </c>
    </row>
    <row r="1486" spans="1:8">
      <c r="A1486" t="s">
        <v>4536</v>
      </c>
      <c r="B1486" s="24">
        <v>46178</v>
      </c>
      <c r="C1486" s="27" t="s">
        <v>5797</v>
      </c>
      <c r="D1486" s="27" t="s">
        <v>3226</v>
      </c>
      <c r="E1486" t="s">
        <v>1901</v>
      </c>
      <c r="F1486" t="s">
        <v>104</v>
      </c>
      <c r="G1486" t="s">
        <v>105</v>
      </c>
      <c r="H1486">
        <v>0</v>
      </c>
    </row>
    <row r="1487" spans="1:8">
      <c r="A1487" t="s">
        <v>4537</v>
      </c>
      <c r="B1487" s="24">
        <v>46181</v>
      </c>
      <c r="C1487" s="27" t="s">
        <v>5797</v>
      </c>
      <c r="D1487" s="27" t="s">
        <v>3226</v>
      </c>
      <c r="E1487" t="s">
        <v>1902</v>
      </c>
      <c r="F1487" t="s">
        <v>104</v>
      </c>
      <c r="G1487" t="s">
        <v>105</v>
      </c>
      <c r="H1487">
        <v>0</v>
      </c>
    </row>
    <row r="1488" spans="1:8">
      <c r="A1488" t="s">
        <v>4538</v>
      </c>
      <c r="B1488" s="24">
        <v>46182</v>
      </c>
      <c r="C1488" s="27" t="s">
        <v>5797</v>
      </c>
      <c r="D1488" s="27" t="s">
        <v>3226</v>
      </c>
      <c r="E1488" t="s">
        <v>1903</v>
      </c>
      <c r="F1488" t="s">
        <v>104</v>
      </c>
      <c r="G1488" t="s">
        <v>105</v>
      </c>
      <c r="H1488">
        <v>0</v>
      </c>
    </row>
    <row r="1489" spans="1:8">
      <c r="A1489" t="s">
        <v>4539</v>
      </c>
      <c r="B1489" s="24">
        <v>46183</v>
      </c>
      <c r="C1489" s="27" t="s">
        <v>5797</v>
      </c>
      <c r="D1489" s="27" t="s">
        <v>3226</v>
      </c>
      <c r="E1489" t="s">
        <v>1904</v>
      </c>
      <c r="F1489" t="s">
        <v>104</v>
      </c>
      <c r="G1489" t="s">
        <v>105</v>
      </c>
      <c r="H1489">
        <v>0</v>
      </c>
    </row>
    <row r="1490" spans="1:8">
      <c r="A1490" t="s">
        <v>4540</v>
      </c>
      <c r="B1490" s="24">
        <v>46184</v>
      </c>
      <c r="C1490" s="27" t="s">
        <v>5797</v>
      </c>
      <c r="D1490" s="27" t="s">
        <v>3226</v>
      </c>
      <c r="E1490" t="s">
        <v>1905</v>
      </c>
      <c r="F1490" t="s">
        <v>104</v>
      </c>
      <c r="G1490" t="s">
        <v>105</v>
      </c>
      <c r="H1490">
        <v>0</v>
      </c>
    </row>
    <row r="1491" spans="1:8">
      <c r="A1491" t="s">
        <v>4541</v>
      </c>
      <c r="B1491" s="24">
        <v>46185</v>
      </c>
      <c r="C1491" s="27" t="s">
        <v>5797</v>
      </c>
      <c r="D1491" s="27" t="s">
        <v>3226</v>
      </c>
      <c r="E1491" t="s">
        <v>1906</v>
      </c>
      <c r="F1491" t="s">
        <v>104</v>
      </c>
      <c r="G1491" t="s">
        <v>105</v>
      </c>
      <c r="H1491">
        <v>0</v>
      </c>
    </row>
    <row r="1492" spans="1:8">
      <c r="A1492" t="s">
        <v>4542</v>
      </c>
      <c r="B1492" s="24">
        <v>46174</v>
      </c>
      <c r="C1492" s="27" t="s">
        <v>5797</v>
      </c>
      <c r="D1492" s="27" t="s">
        <v>3226</v>
      </c>
      <c r="E1492" t="s">
        <v>1907</v>
      </c>
      <c r="F1492" t="s">
        <v>104</v>
      </c>
      <c r="G1492" t="s">
        <v>105</v>
      </c>
      <c r="H1492">
        <v>0</v>
      </c>
    </row>
    <row r="1493" spans="1:8">
      <c r="A1493" t="s">
        <v>4543</v>
      </c>
      <c r="B1493" s="24">
        <v>46175</v>
      </c>
      <c r="C1493" s="27" t="s">
        <v>5797</v>
      </c>
      <c r="D1493" s="27" t="s">
        <v>3226</v>
      </c>
      <c r="E1493" t="s">
        <v>1908</v>
      </c>
      <c r="F1493" t="s">
        <v>104</v>
      </c>
      <c r="G1493" t="s">
        <v>105</v>
      </c>
      <c r="H1493">
        <v>0</v>
      </c>
    </row>
    <row r="1494" spans="1:8">
      <c r="A1494" t="s">
        <v>4544</v>
      </c>
      <c r="B1494" s="24">
        <v>46176</v>
      </c>
      <c r="C1494" s="27" t="s">
        <v>5797</v>
      </c>
      <c r="D1494" s="27" t="s">
        <v>3226</v>
      </c>
      <c r="E1494" t="s">
        <v>1909</v>
      </c>
      <c r="F1494" t="s">
        <v>104</v>
      </c>
      <c r="G1494" t="s">
        <v>105</v>
      </c>
      <c r="H1494">
        <v>0</v>
      </c>
    </row>
    <row r="1495" spans="1:8">
      <c r="A1495" t="s">
        <v>4545</v>
      </c>
      <c r="B1495" s="24">
        <v>46177</v>
      </c>
      <c r="C1495" s="27" t="s">
        <v>5797</v>
      </c>
      <c r="D1495" s="27" t="s">
        <v>3226</v>
      </c>
      <c r="E1495" t="s">
        <v>1910</v>
      </c>
      <c r="F1495" t="s">
        <v>104</v>
      </c>
      <c r="G1495" t="s">
        <v>105</v>
      </c>
      <c r="H1495">
        <v>0</v>
      </c>
    </row>
    <row r="1496" spans="1:8">
      <c r="A1496" t="s">
        <v>4546</v>
      </c>
      <c r="B1496" s="24">
        <v>46178</v>
      </c>
      <c r="C1496" s="27" t="s">
        <v>5797</v>
      </c>
      <c r="D1496" s="27" t="s">
        <v>3226</v>
      </c>
      <c r="E1496" t="s">
        <v>1911</v>
      </c>
      <c r="F1496" t="s">
        <v>104</v>
      </c>
      <c r="G1496" t="s">
        <v>105</v>
      </c>
      <c r="H1496">
        <v>0</v>
      </c>
    </row>
    <row r="1497" spans="1:8">
      <c r="A1497" t="s">
        <v>4547</v>
      </c>
      <c r="B1497" s="24">
        <v>46181</v>
      </c>
      <c r="C1497" s="27" t="s">
        <v>5797</v>
      </c>
      <c r="D1497" s="27" t="s">
        <v>3226</v>
      </c>
      <c r="E1497" t="s">
        <v>1912</v>
      </c>
      <c r="F1497" t="s">
        <v>104</v>
      </c>
      <c r="G1497" t="s">
        <v>105</v>
      </c>
      <c r="H1497">
        <v>0</v>
      </c>
    </row>
    <row r="1498" spans="1:8">
      <c r="A1498" t="s">
        <v>4548</v>
      </c>
      <c r="B1498" s="24">
        <v>46182</v>
      </c>
      <c r="C1498" s="27" t="s">
        <v>5797</v>
      </c>
      <c r="D1498" s="27" t="s">
        <v>3226</v>
      </c>
      <c r="E1498" t="s">
        <v>1913</v>
      </c>
      <c r="F1498" t="s">
        <v>104</v>
      </c>
      <c r="G1498" t="s">
        <v>105</v>
      </c>
      <c r="H1498">
        <v>0</v>
      </c>
    </row>
    <row r="1499" spans="1:8">
      <c r="A1499" t="s">
        <v>4549</v>
      </c>
      <c r="B1499" s="24">
        <v>46183</v>
      </c>
      <c r="C1499" s="27" t="s">
        <v>5797</v>
      </c>
      <c r="D1499" s="27" t="s">
        <v>3226</v>
      </c>
      <c r="E1499" t="s">
        <v>1914</v>
      </c>
      <c r="F1499" t="s">
        <v>104</v>
      </c>
      <c r="G1499" t="s">
        <v>105</v>
      </c>
      <c r="H1499">
        <v>0</v>
      </c>
    </row>
    <row r="1500" spans="1:8">
      <c r="A1500" t="s">
        <v>4550</v>
      </c>
      <c r="B1500" s="24">
        <v>46184</v>
      </c>
      <c r="C1500" s="27" t="s">
        <v>5797</v>
      </c>
      <c r="D1500" s="27" t="s">
        <v>3226</v>
      </c>
      <c r="E1500" t="s">
        <v>1915</v>
      </c>
      <c r="F1500" t="s">
        <v>104</v>
      </c>
      <c r="G1500" t="s">
        <v>105</v>
      </c>
      <c r="H1500">
        <v>0</v>
      </c>
    </row>
    <row r="1501" spans="1:8">
      <c r="A1501" t="s">
        <v>4551</v>
      </c>
      <c r="B1501" s="24">
        <v>46185</v>
      </c>
      <c r="C1501" s="27" t="s">
        <v>5797</v>
      </c>
      <c r="D1501" s="27" t="s">
        <v>3226</v>
      </c>
      <c r="E1501" t="s">
        <v>1916</v>
      </c>
      <c r="F1501" t="s">
        <v>104</v>
      </c>
      <c r="G1501" t="s">
        <v>105</v>
      </c>
      <c r="H1501">
        <v>0</v>
      </c>
    </row>
    <row r="1502" spans="1:8">
      <c r="A1502" t="s">
        <v>4552</v>
      </c>
      <c r="B1502" s="24">
        <v>46174</v>
      </c>
      <c r="C1502" s="27" t="s">
        <v>5797</v>
      </c>
      <c r="D1502" s="27" t="s">
        <v>3226</v>
      </c>
      <c r="E1502" t="s">
        <v>1917</v>
      </c>
      <c r="F1502" t="s">
        <v>104</v>
      </c>
      <c r="G1502" t="s">
        <v>105</v>
      </c>
      <c r="H1502">
        <v>0</v>
      </c>
    </row>
    <row r="1503" spans="1:8">
      <c r="A1503" t="s">
        <v>4553</v>
      </c>
      <c r="B1503" s="24">
        <v>46175</v>
      </c>
      <c r="C1503" s="27" t="s">
        <v>5797</v>
      </c>
      <c r="D1503" s="27" t="s">
        <v>3226</v>
      </c>
      <c r="E1503" t="s">
        <v>1918</v>
      </c>
      <c r="F1503" t="s">
        <v>104</v>
      </c>
      <c r="G1503" t="s">
        <v>105</v>
      </c>
      <c r="H1503">
        <v>0</v>
      </c>
    </row>
    <row r="1504" spans="1:8">
      <c r="A1504" t="s">
        <v>4554</v>
      </c>
      <c r="B1504" s="24">
        <v>46176</v>
      </c>
      <c r="C1504" s="27" t="s">
        <v>5797</v>
      </c>
      <c r="D1504" s="27" t="s">
        <v>3226</v>
      </c>
      <c r="E1504" t="s">
        <v>1919</v>
      </c>
      <c r="F1504" t="s">
        <v>104</v>
      </c>
      <c r="G1504" t="s">
        <v>105</v>
      </c>
      <c r="H1504">
        <v>0</v>
      </c>
    </row>
    <row r="1505" spans="1:8">
      <c r="A1505" t="s">
        <v>4555</v>
      </c>
      <c r="B1505" s="24">
        <v>46177</v>
      </c>
      <c r="C1505" s="27" t="s">
        <v>5797</v>
      </c>
      <c r="D1505" s="27" t="s">
        <v>3226</v>
      </c>
      <c r="E1505" t="s">
        <v>1920</v>
      </c>
      <c r="F1505" t="s">
        <v>104</v>
      </c>
      <c r="G1505" t="s">
        <v>105</v>
      </c>
      <c r="H1505">
        <v>0</v>
      </c>
    </row>
    <row r="1506" spans="1:8">
      <c r="A1506" t="s">
        <v>4556</v>
      </c>
      <c r="B1506" s="24">
        <v>46178</v>
      </c>
      <c r="C1506" s="27" t="s">
        <v>5797</v>
      </c>
      <c r="D1506" s="27" t="s">
        <v>3226</v>
      </c>
      <c r="E1506" t="s">
        <v>1921</v>
      </c>
      <c r="F1506" t="s">
        <v>104</v>
      </c>
      <c r="G1506" t="s">
        <v>105</v>
      </c>
      <c r="H1506">
        <v>0</v>
      </c>
    </row>
    <row r="1507" spans="1:8">
      <c r="A1507" t="s">
        <v>4557</v>
      </c>
      <c r="B1507" s="24">
        <v>46181</v>
      </c>
      <c r="C1507" s="27" t="s">
        <v>5797</v>
      </c>
      <c r="D1507" s="27" t="s">
        <v>3226</v>
      </c>
      <c r="E1507" t="s">
        <v>1922</v>
      </c>
      <c r="F1507" t="s">
        <v>104</v>
      </c>
      <c r="G1507" t="s">
        <v>105</v>
      </c>
      <c r="H1507">
        <v>0</v>
      </c>
    </row>
    <row r="1508" spans="1:8">
      <c r="A1508" t="s">
        <v>4558</v>
      </c>
      <c r="B1508" s="24">
        <v>46182</v>
      </c>
      <c r="C1508" s="27" t="s">
        <v>5797</v>
      </c>
      <c r="D1508" s="27" t="s">
        <v>3226</v>
      </c>
      <c r="E1508" t="s">
        <v>1923</v>
      </c>
      <c r="F1508" t="s">
        <v>104</v>
      </c>
      <c r="G1508" t="s">
        <v>105</v>
      </c>
      <c r="H1508">
        <v>0</v>
      </c>
    </row>
    <row r="1509" spans="1:8">
      <c r="A1509" t="s">
        <v>4559</v>
      </c>
      <c r="B1509" s="24">
        <v>46183</v>
      </c>
      <c r="C1509" s="27" t="s">
        <v>5797</v>
      </c>
      <c r="D1509" s="27" t="s">
        <v>3226</v>
      </c>
      <c r="E1509" t="s">
        <v>1924</v>
      </c>
      <c r="F1509" t="s">
        <v>104</v>
      </c>
      <c r="G1509" t="s">
        <v>105</v>
      </c>
      <c r="H1509">
        <v>0</v>
      </c>
    </row>
    <row r="1510" spans="1:8">
      <c r="A1510" t="s">
        <v>4560</v>
      </c>
      <c r="B1510" s="24">
        <v>46184</v>
      </c>
      <c r="C1510" s="27" t="s">
        <v>5797</v>
      </c>
      <c r="D1510" s="27" t="s">
        <v>3226</v>
      </c>
      <c r="E1510" t="s">
        <v>1925</v>
      </c>
      <c r="F1510" t="s">
        <v>104</v>
      </c>
      <c r="G1510" t="s">
        <v>105</v>
      </c>
      <c r="H1510">
        <v>0</v>
      </c>
    </row>
    <row r="1511" spans="1:8">
      <c r="A1511" t="s">
        <v>4561</v>
      </c>
      <c r="B1511" s="24">
        <v>46185</v>
      </c>
      <c r="C1511" s="27" t="s">
        <v>5797</v>
      </c>
      <c r="D1511" s="27" t="s">
        <v>3226</v>
      </c>
      <c r="E1511" t="s">
        <v>1926</v>
      </c>
      <c r="F1511" t="s">
        <v>104</v>
      </c>
      <c r="G1511" t="s">
        <v>105</v>
      </c>
      <c r="H1511">
        <v>0</v>
      </c>
    </row>
    <row r="1512" spans="1:8">
      <c r="A1512" t="s">
        <v>4562</v>
      </c>
      <c r="B1512" s="24">
        <v>46174</v>
      </c>
      <c r="C1512" s="27" t="s">
        <v>5797</v>
      </c>
      <c r="D1512" s="27" t="s">
        <v>3226</v>
      </c>
      <c r="E1512" t="s">
        <v>1927</v>
      </c>
      <c r="F1512" t="s">
        <v>104</v>
      </c>
      <c r="G1512" t="s">
        <v>105</v>
      </c>
      <c r="H1512">
        <v>0</v>
      </c>
    </row>
    <row r="1513" spans="1:8">
      <c r="A1513" t="s">
        <v>4563</v>
      </c>
      <c r="B1513" s="24">
        <v>46175</v>
      </c>
      <c r="C1513" s="27" t="s">
        <v>5797</v>
      </c>
      <c r="D1513" s="27" t="s">
        <v>3226</v>
      </c>
      <c r="E1513" t="s">
        <v>1928</v>
      </c>
      <c r="F1513" t="s">
        <v>104</v>
      </c>
      <c r="G1513" t="s">
        <v>105</v>
      </c>
      <c r="H1513">
        <v>0</v>
      </c>
    </row>
    <row r="1514" spans="1:8">
      <c r="A1514" t="s">
        <v>4564</v>
      </c>
      <c r="B1514" s="24">
        <v>46176</v>
      </c>
      <c r="C1514" s="27" t="s">
        <v>5797</v>
      </c>
      <c r="D1514" s="27" t="s">
        <v>3226</v>
      </c>
      <c r="E1514" t="s">
        <v>1929</v>
      </c>
      <c r="F1514" t="s">
        <v>104</v>
      </c>
      <c r="G1514" t="s">
        <v>105</v>
      </c>
      <c r="H1514">
        <v>0</v>
      </c>
    </row>
    <row r="1515" spans="1:8">
      <c r="A1515" t="s">
        <v>4565</v>
      </c>
      <c r="B1515" s="24">
        <v>46177</v>
      </c>
      <c r="C1515" s="27" t="s">
        <v>5797</v>
      </c>
      <c r="D1515" s="27" t="s">
        <v>3226</v>
      </c>
      <c r="E1515" t="s">
        <v>1930</v>
      </c>
      <c r="F1515" t="s">
        <v>104</v>
      </c>
      <c r="G1515" t="s">
        <v>105</v>
      </c>
      <c r="H1515">
        <v>0</v>
      </c>
    </row>
    <row r="1516" spans="1:8">
      <c r="A1516" t="s">
        <v>4566</v>
      </c>
      <c r="B1516" s="24">
        <v>46178</v>
      </c>
      <c r="C1516" s="27" t="s">
        <v>5797</v>
      </c>
      <c r="D1516" s="27" t="s">
        <v>3226</v>
      </c>
      <c r="E1516" t="s">
        <v>1931</v>
      </c>
      <c r="F1516" t="s">
        <v>104</v>
      </c>
      <c r="G1516" t="s">
        <v>105</v>
      </c>
      <c r="H1516">
        <v>0</v>
      </c>
    </row>
    <row r="1517" spans="1:8">
      <c r="A1517" t="s">
        <v>4567</v>
      </c>
      <c r="B1517" s="24">
        <v>46181</v>
      </c>
      <c r="C1517" s="27" t="s">
        <v>5797</v>
      </c>
      <c r="D1517" s="27" t="s">
        <v>3226</v>
      </c>
      <c r="E1517" t="s">
        <v>1932</v>
      </c>
      <c r="F1517" t="s">
        <v>104</v>
      </c>
      <c r="G1517" t="s">
        <v>105</v>
      </c>
      <c r="H1517">
        <v>0</v>
      </c>
    </row>
    <row r="1518" spans="1:8">
      <c r="A1518" t="s">
        <v>4568</v>
      </c>
      <c r="B1518" s="24">
        <v>46182</v>
      </c>
      <c r="C1518" s="27" t="s">
        <v>5797</v>
      </c>
      <c r="D1518" s="27" t="s">
        <v>3226</v>
      </c>
      <c r="E1518" t="s">
        <v>1933</v>
      </c>
      <c r="F1518" t="s">
        <v>104</v>
      </c>
      <c r="G1518" t="s">
        <v>105</v>
      </c>
      <c r="H1518">
        <v>0</v>
      </c>
    </row>
    <row r="1519" spans="1:8">
      <c r="A1519" t="s">
        <v>4569</v>
      </c>
      <c r="B1519" s="24">
        <v>46183</v>
      </c>
      <c r="C1519" s="27" t="s">
        <v>5797</v>
      </c>
      <c r="D1519" s="27" t="s">
        <v>3226</v>
      </c>
      <c r="E1519" t="s">
        <v>1934</v>
      </c>
      <c r="F1519" t="s">
        <v>104</v>
      </c>
      <c r="G1519" t="s">
        <v>105</v>
      </c>
      <c r="H1519">
        <v>0</v>
      </c>
    </row>
    <row r="1520" spans="1:8">
      <c r="A1520" t="s">
        <v>4570</v>
      </c>
      <c r="B1520" s="24">
        <v>46184</v>
      </c>
      <c r="C1520" s="27" t="s">
        <v>5797</v>
      </c>
      <c r="D1520" s="27" t="s">
        <v>3226</v>
      </c>
      <c r="E1520" t="s">
        <v>1935</v>
      </c>
      <c r="F1520" t="s">
        <v>104</v>
      </c>
      <c r="G1520" t="s">
        <v>105</v>
      </c>
      <c r="H1520">
        <v>0</v>
      </c>
    </row>
    <row r="1521" spans="1:8">
      <c r="A1521" t="s">
        <v>4571</v>
      </c>
      <c r="B1521" s="24">
        <v>46185</v>
      </c>
      <c r="C1521" s="27" t="s">
        <v>5797</v>
      </c>
      <c r="D1521" s="27" t="s">
        <v>3226</v>
      </c>
      <c r="E1521" t="s">
        <v>1936</v>
      </c>
      <c r="F1521" t="s">
        <v>104</v>
      </c>
      <c r="G1521" t="s">
        <v>105</v>
      </c>
      <c r="H1521">
        <v>0</v>
      </c>
    </row>
    <row r="1522" spans="1:8">
      <c r="A1522" t="s">
        <v>4572</v>
      </c>
      <c r="B1522" s="24">
        <v>46174</v>
      </c>
      <c r="C1522" s="27" t="s">
        <v>5797</v>
      </c>
      <c r="D1522" s="27" t="s">
        <v>3226</v>
      </c>
      <c r="E1522" t="s">
        <v>1937</v>
      </c>
      <c r="F1522" t="s">
        <v>104</v>
      </c>
      <c r="G1522" t="s">
        <v>105</v>
      </c>
      <c r="H1522">
        <v>0</v>
      </c>
    </row>
    <row r="1523" spans="1:8">
      <c r="A1523" t="s">
        <v>4573</v>
      </c>
      <c r="B1523" s="24">
        <v>46175</v>
      </c>
      <c r="C1523" s="27" t="s">
        <v>5797</v>
      </c>
      <c r="D1523" s="27" t="s">
        <v>3226</v>
      </c>
      <c r="E1523" t="s">
        <v>1938</v>
      </c>
      <c r="F1523" t="s">
        <v>104</v>
      </c>
      <c r="G1523" t="s">
        <v>105</v>
      </c>
      <c r="H1523">
        <v>0</v>
      </c>
    </row>
    <row r="1524" spans="1:8">
      <c r="A1524" t="s">
        <v>4574</v>
      </c>
      <c r="B1524" s="24">
        <v>46176</v>
      </c>
      <c r="C1524" s="27" t="s">
        <v>5797</v>
      </c>
      <c r="D1524" s="27" t="s">
        <v>3226</v>
      </c>
      <c r="E1524" t="s">
        <v>1939</v>
      </c>
      <c r="F1524" t="s">
        <v>104</v>
      </c>
      <c r="G1524" t="s">
        <v>105</v>
      </c>
      <c r="H1524">
        <v>0</v>
      </c>
    </row>
    <row r="1525" spans="1:8">
      <c r="A1525" t="s">
        <v>4575</v>
      </c>
      <c r="B1525" s="24">
        <v>46177</v>
      </c>
      <c r="C1525" s="27" t="s">
        <v>5797</v>
      </c>
      <c r="D1525" s="27" t="s">
        <v>3226</v>
      </c>
      <c r="E1525" t="s">
        <v>1940</v>
      </c>
      <c r="F1525" t="s">
        <v>104</v>
      </c>
      <c r="G1525" t="s">
        <v>105</v>
      </c>
      <c r="H1525">
        <v>0</v>
      </c>
    </row>
    <row r="1526" spans="1:8">
      <c r="A1526" t="s">
        <v>4576</v>
      </c>
      <c r="B1526" s="24">
        <v>46178</v>
      </c>
      <c r="C1526" s="27" t="s">
        <v>5797</v>
      </c>
      <c r="D1526" s="27" t="s">
        <v>3226</v>
      </c>
      <c r="E1526" t="s">
        <v>1941</v>
      </c>
      <c r="F1526" t="s">
        <v>104</v>
      </c>
      <c r="G1526" t="s">
        <v>105</v>
      </c>
      <c r="H1526">
        <v>0</v>
      </c>
    </row>
    <row r="1527" spans="1:8">
      <c r="A1527" t="s">
        <v>4577</v>
      </c>
      <c r="B1527" s="24">
        <v>46181</v>
      </c>
      <c r="C1527" s="27" t="s">
        <v>5797</v>
      </c>
      <c r="D1527" s="27" t="s">
        <v>3226</v>
      </c>
      <c r="E1527" t="s">
        <v>1942</v>
      </c>
      <c r="F1527" t="s">
        <v>104</v>
      </c>
      <c r="G1527" t="s">
        <v>105</v>
      </c>
      <c r="H1527">
        <v>0</v>
      </c>
    </row>
    <row r="1528" spans="1:8">
      <c r="A1528" t="s">
        <v>4578</v>
      </c>
      <c r="B1528" s="24">
        <v>46182</v>
      </c>
      <c r="C1528" s="27" t="s">
        <v>5797</v>
      </c>
      <c r="D1528" s="27" t="s">
        <v>3226</v>
      </c>
      <c r="E1528" t="s">
        <v>1943</v>
      </c>
      <c r="F1528" t="s">
        <v>104</v>
      </c>
      <c r="G1528" t="s">
        <v>105</v>
      </c>
      <c r="H1528">
        <v>0</v>
      </c>
    </row>
    <row r="1529" spans="1:8">
      <c r="A1529" t="s">
        <v>4579</v>
      </c>
      <c r="B1529" s="24">
        <v>46183</v>
      </c>
      <c r="C1529" s="27" t="s">
        <v>5797</v>
      </c>
      <c r="D1529" s="27" t="s">
        <v>3226</v>
      </c>
      <c r="E1529" t="s">
        <v>1944</v>
      </c>
      <c r="F1529" t="s">
        <v>104</v>
      </c>
      <c r="G1529" t="s">
        <v>105</v>
      </c>
      <c r="H1529">
        <v>0</v>
      </c>
    </row>
    <row r="1530" spans="1:8">
      <c r="A1530" t="s">
        <v>4580</v>
      </c>
      <c r="B1530" s="24">
        <v>46184</v>
      </c>
      <c r="C1530" s="27" t="s">
        <v>5797</v>
      </c>
      <c r="D1530" s="27" t="s">
        <v>3226</v>
      </c>
      <c r="E1530" t="s">
        <v>1945</v>
      </c>
      <c r="F1530" t="s">
        <v>104</v>
      </c>
      <c r="G1530" t="s">
        <v>105</v>
      </c>
      <c r="H1530">
        <v>0</v>
      </c>
    </row>
    <row r="1531" spans="1:8">
      <c r="A1531" t="s">
        <v>4581</v>
      </c>
      <c r="B1531" s="24">
        <v>46185</v>
      </c>
      <c r="C1531" s="27" t="s">
        <v>5797</v>
      </c>
      <c r="D1531" s="27" t="s">
        <v>3226</v>
      </c>
      <c r="E1531" t="s">
        <v>1946</v>
      </c>
      <c r="F1531" t="s">
        <v>104</v>
      </c>
      <c r="G1531" t="s">
        <v>105</v>
      </c>
      <c r="H1531">
        <v>0</v>
      </c>
    </row>
    <row r="1532" spans="1:8">
      <c r="A1532" t="s">
        <v>4582</v>
      </c>
      <c r="B1532" s="24">
        <v>46174</v>
      </c>
      <c r="C1532" s="27" t="s">
        <v>5797</v>
      </c>
      <c r="D1532" s="27" t="s">
        <v>3226</v>
      </c>
      <c r="E1532" t="s">
        <v>1947</v>
      </c>
      <c r="F1532" t="s">
        <v>104</v>
      </c>
      <c r="G1532" t="s">
        <v>105</v>
      </c>
      <c r="H1532">
        <v>0</v>
      </c>
    </row>
    <row r="1533" spans="1:8">
      <c r="A1533" t="s">
        <v>4583</v>
      </c>
      <c r="B1533" s="24">
        <v>46175</v>
      </c>
      <c r="C1533" s="27" t="s">
        <v>5797</v>
      </c>
      <c r="D1533" s="27" t="s">
        <v>3226</v>
      </c>
      <c r="E1533" t="s">
        <v>1948</v>
      </c>
      <c r="F1533" t="s">
        <v>104</v>
      </c>
      <c r="G1533" t="s">
        <v>105</v>
      </c>
      <c r="H1533">
        <v>0</v>
      </c>
    </row>
    <row r="1534" spans="1:8">
      <c r="A1534" t="s">
        <v>4584</v>
      </c>
      <c r="B1534" s="24">
        <v>46176</v>
      </c>
      <c r="C1534" s="27" t="s">
        <v>5797</v>
      </c>
      <c r="D1534" s="27" t="s">
        <v>3226</v>
      </c>
      <c r="E1534" t="s">
        <v>1949</v>
      </c>
      <c r="F1534" t="s">
        <v>104</v>
      </c>
      <c r="G1534" t="s">
        <v>105</v>
      </c>
      <c r="H1534">
        <v>0</v>
      </c>
    </row>
    <row r="1535" spans="1:8">
      <c r="A1535" t="s">
        <v>4585</v>
      </c>
      <c r="B1535" s="24">
        <v>46177</v>
      </c>
      <c r="C1535" s="27" t="s">
        <v>5797</v>
      </c>
      <c r="D1535" s="27" t="s">
        <v>3226</v>
      </c>
      <c r="E1535" t="s">
        <v>1950</v>
      </c>
      <c r="F1535" t="s">
        <v>104</v>
      </c>
      <c r="G1535" t="s">
        <v>105</v>
      </c>
      <c r="H1535">
        <v>0</v>
      </c>
    </row>
    <row r="1536" spans="1:8">
      <c r="A1536" t="s">
        <v>4586</v>
      </c>
      <c r="B1536" s="24">
        <v>46178</v>
      </c>
      <c r="C1536" s="27" t="s">
        <v>5797</v>
      </c>
      <c r="D1536" s="27" t="s">
        <v>3226</v>
      </c>
      <c r="E1536" t="s">
        <v>1951</v>
      </c>
      <c r="F1536" t="s">
        <v>104</v>
      </c>
      <c r="G1536" t="s">
        <v>105</v>
      </c>
      <c r="H1536">
        <v>0</v>
      </c>
    </row>
    <row r="1537" spans="1:8">
      <c r="A1537" t="s">
        <v>4587</v>
      </c>
      <c r="B1537" s="24">
        <v>46181</v>
      </c>
      <c r="C1537" s="27" t="s">
        <v>5797</v>
      </c>
      <c r="D1537" s="27" t="s">
        <v>3226</v>
      </c>
      <c r="E1537" t="s">
        <v>1952</v>
      </c>
      <c r="F1537" t="s">
        <v>104</v>
      </c>
      <c r="G1537" t="s">
        <v>105</v>
      </c>
      <c r="H1537">
        <v>0</v>
      </c>
    </row>
    <row r="1538" spans="1:8">
      <c r="A1538" t="s">
        <v>4588</v>
      </c>
      <c r="B1538" s="24">
        <v>46182</v>
      </c>
      <c r="C1538" s="27" t="s">
        <v>5797</v>
      </c>
      <c r="D1538" s="27" t="s">
        <v>3226</v>
      </c>
      <c r="E1538" t="s">
        <v>1953</v>
      </c>
      <c r="F1538" t="s">
        <v>104</v>
      </c>
      <c r="G1538" t="s">
        <v>105</v>
      </c>
      <c r="H1538">
        <v>0</v>
      </c>
    </row>
    <row r="1539" spans="1:8">
      <c r="A1539" t="s">
        <v>4589</v>
      </c>
      <c r="B1539" s="24">
        <v>46183</v>
      </c>
      <c r="C1539" s="27" t="s">
        <v>5797</v>
      </c>
      <c r="D1539" s="27" t="s">
        <v>3226</v>
      </c>
      <c r="E1539" t="s">
        <v>1954</v>
      </c>
      <c r="F1539" t="s">
        <v>104</v>
      </c>
      <c r="G1539" t="s">
        <v>105</v>
      </c>
      <c r="H1539">
        <v>0</v>
      </c>
    </row>
    <row r="1540" spans="1:8">
      <c r="A1540" t="s">
        <v>4590</v>
      </c>
      <c r="B1540" s="24">
        <v>46184</v>
      </c>
      <c r="C1540" s="27" t="s">
        <v>5797</v>
      </c>
      <c r="D1540" s="27" t="s">
        <v>3226</v>
      </c>
      <c r="E1540" t="s">
        <v>1955</v>
      </c>
      <c r="F1540" t="s">
        <v>104</v>
      </c>
      <c r="H1540" t="s">
        <v>5762</v>
      </c>
    </row>
    <row r="1541" spans="1:8">
      <c r="A1541" t="s">
        <v>4591</v>
      </c>
      <c r="B1541" s="24">
        <v>46185</v>
      </c>
      <c r="C1541" s="27" t="s">
        <v>5797</v>
      </c>
      <c r="D1541" s="27" t="s">
        <v>3226</v>
      </c>
      <c r="E1541" t="s">
        <v>1956</v>
      </c>
      <c r="F1541" t="s">
        <v>104</v>
      </c>
      <c r="H1541" t="s">
        <v>5762</v>
      </c>
    </row>
    <row r="1542" spans="1:8">
      <c r="A1542" t="s">
        <v>4592</v>
      </c>
      <c r="B1542" s="24">
        <v>46174</v>
      </c>
      <c r="C1542" s="27" t="s">
        <v>5797</v>
      </c>
      <c r="D1542" s="27" t="s">
        <v>3226</v>
      </c>
      <c r="E1542" t="s">
        <v>1957</v>
      </c>
      <c r="F1542" t="s">
        <v>104</v>
      </c>
      <c r="H1542" t="s">
        <v>5762</v>
      </c>
    </row>
    <row r="1543" spans="1:8">
      <c r="A1543" t="s">
        <v>4593</v>
      </c>
      <c r="B1543" s="24">
        <v>46175</v>
      </c>
      <c r="C1543" s="27" t="s">
        <v>5797</v>
      </c>
      <c r="D1543" s="27" t="s">
        <v>3226</v>
      </c>
      <c r="E1543" t="s">
        <v>1958</v>
      </c>
      <c r="F1543" t="s">
        <v>104</v>
      </c>
      <c r="H1543" t="s">
        <v>5762</v>
      </c>
    </row>
    <row r="1544" spans="1:8">
      <c r="A1544" t="s">
        <v>4594</v>
      </c>
      <c r="B1544" s="24">
        <v>46176</v>
      </c>
      <c r="C1544" s="27" t="s">
        <v>5797</v>
      </c>
      <c r="D1544" s="27" t="s">
        <v>3226</v>
      </c>
      <c r="E1544" t="s">
        <v>1959</v>
      </c>
      <c r="F1544" t="s">
        <v>104</v>
      </c>
      <c r="H1544" t="s">
        <v>5762</v>
      </c>
    </row>
    <row r="1545" spans="1:8">
      <c r="A1545" t="s">
        <v>4595</v>
      </c>
      <c r="B1545" s="24">
        <v>46177</v>
      </c>
      <c r="C1545" s="27" t="s">
        <v>5797</v>
      </c>
      <c r="D1545" s="27" t="s">
        <v>3226</v>
      </c>
      <c r="E1545" t="s">
        <v>1960</v>
      </c>
      <c r="F1545" t="s">
        <v>104</v>
      </c>
      <c r="H1545" t="s">
        <v>5762</v>
      </c>
    </row>
    <row r="1546" spans="1:8">
      <c r="A1546" t="s">
        <v>4596</v>
      </c>
      <c r="B1546" s="24">
        <v>46178</v>
      </c>
      <c r="C1546" s="27" t="s">
        <v>5797</v>
      </c>
      <c r="D1546" s="27" t="s">
        <v>3226</v>
      </c>
      <c r="E1546" t="s">
        <v>1961</v>
      </c>
      <c r="F1546" t="s">
        <v>104</v>
      </c>
      <c r="H1546" t="s">
        <v>5762</v>
      </c>
    </row>
    <row r="1547" spans="1:8">
      <c r="A1547" t="s">
        <v>4597</v>
      </c>
      <c r="B1547" s="24">
        <v>46181</v>
      </c>
      <c r="C1547" s="27" t="s">
        <v>5797</v>
      </c>
      <c r="D1547" s="27" t="s">
        <v>3226</v>
      </c>
      <c r="E1547" t="s">
        <v>1962</v>
      </c>
      <c r="F1547" t="s">
        <v>104</v>
      </c>
      <c r="H1547" t="s">
        <v>5762</v>
      </c>
    </row>
    <row r="1548" spans="1:8">
      <c r="A1548" t="s">
        <v>4598</v>
      </c>
      <c r="B1548" s="24">
        <v>46182</v>
      </c>
      <c r="C1548" s="27" t="s">
        <v>5797</v>
      </c>
      <c r="D1548" s="27" t="s">
        <v>3226</v>
      </c>
      <c r="E1548" t="s">
        <v>1963</v>
      </c>
      <c r="F1548" t="s">
        <v>104</v>
      </c>
      <c r="H1548" t="s">
        <v>5762</v>
      </c>
    </row>
    <row r="1549" spans="1:8">
      <c r="A1549" t="s">
        <v>4599</v>
      </c>
      <c r="B1549" s="24">
        <v>46183</v>
      </c>
      <c r="C1549" s="27" t="s">
        <v>5797</v>
      </c>
      <c r="D1549" s="27" t="s">
        <v>3226</v>
      </c>
      <c r="E1549" t="s">
        <v>1964</v>
      </c>
      <c r="F1549" t="s">
        <v>104</v>
      </c>
      <c r="H1549" t="s">
        <v>5762</v>
      </c>
    </row>
    <row r="1550" spans="1:8">
      <c r="A1550" t="s">
        <v>4600</v>
      </c>
      <c r="B1550" s="24">
        <v>46184</v>
      </c>
      <c r="C1550" s="27" t="s">
        <v>5797</v>
      </c>
      <c r="D1550" s="27" t="s">
        <v>3226</v>
      </c>
      <c r="E1550" t="s">
        <v>1965</v>
      </c>
      <c r="F1550" t="s">
        <v>104</v>
      </c>
      <c r="H1550" t="s">
        <v>5762</v>
      </c>
    </row>
    <row r="1551" spans="1:8">
      <c r="A1551" t="s">
        <v>4601</v>
      </c>
      <c r="B1551" s="24">
        <v>46185</v>
      </c>
      <c r="C1551" s="27" t="s">
        <v>5797</v>
      </c>
      <c r="D1551" s="27" t="s">
        <v>3226</v>
      </c>
      <c r="E1551" t="s">
        <v>1966</v>
      </c>
      <c r="F1551" t="s">
        <v>104</v>
      </c>
      <c r="H1551" t="s">
        <v>5762</v>
      </c>
    </row>
    <row r="1552" spans="1:8">
      <c r="A1552" t="s">
        <v>4602</v>
      </c>
      <c r="B1552" s="24">
        <v>46174</v>
      </c>
      <c r="C1552" s="27" t="s">
        <v>5797</v>
      </c>
      <c r="D1552" s="27" t="s">
        <v>3226</v>
      </c>
      <c r="E1552" t="s">
        <v>1967</v>
      </c>
      <c r="F1552" t="s">
        <v>104</v>
      </c>
      <c r="H1552" t="s">
        <v>5762</v>
      </c>
    </row>
    <row r="1553" spans="1:8">
      <c r="A1553" t="s">
        <v>4603</v>
      </c>
      <c r="B1553" s="24">
        <v>46175</v>
      </c>
      <c r="C1553" s="27" t="s">
        <v>5797</v>
      </c>
      <c r="D1553" s="27" t="s">
        <v>3226</v>
      </c>
      <c r="E1553" t="s">
        <v>1968</v>
      </c>
      <c r="F1553" t="s">
        <v>104</v>
      </c>
      <c r="H1553" t="s">
        <v>5762</v>
      </c>
    </row>
    <row r="1554" spans="1:8">
      <c r="A1554" t="s">
        <v>4604</v>
      </c>
      <c r="B1554" s="24">
        <v>46176</v>
      </c>
      <c r="C1554" s="27" t="s">
        <v>5797</v>
      </c>
      <c r="D1554" s="27" t="s">
        <v>3226</v>
      </c>
      <c r="E1554" t="s">
        <v>1969</v>
      </c>
      <c r="F1554" t="s">
        <v>104</v>
      </c>
      <c r="H1554" t="s">
        <v>5762</v>
      </c>
    </row>
    <row r="1555" spans="1:8">
      <c r="A1555" t="s">
        <v>4605</v>
      </c>
      <c r="B1555" s="24">
        <v>46177</v>
      </c>
      <c r="C1555" s="27" t="s">
        <v>5797</v>
      </c>
      <c r="D1555" s="27" t="s">
        <v>3226</v>
      </c>
      <c r="E1555" t="s">
        <v>1970</v>
      </c>
      <c r="F1555" t="s">
        <v>104</v>
      </c>
      <c r="H1555" t="s">
        <v>5762</v>
      </c>
    </row>
    <row r="1556" spans="1:8">
      <c r="A1556" t="s">
        <v>4606</v>
      </c>
      <c r="B1556" s="24">
        <v>46178</v>
      </c>
      <c r="C1556" s="27" t="s">
        <v>5797</v>
      </c>
      <c r="D1556" s="27" t="s">
        <v>3226</v>
      </c>
      <c r="E1556" t="s">
        <v>1971</v>
      </c>
      <c r="F1556" t="s">
        <v>104</v>
      </c>
      <c r="H1556" t="s">
        <v>5762</v>
      </c>
    </row>
    <row r="1557" spans="1:8">
      <c r="A1557" t="s">
        <v>4607</v>
      </c>
      <c r="B1557" s="24">
        <v>46181</v>
      </c>
      <c r="C1557" s="27" t="s">
        <v>5797</v>
      </c>
      <c r="D1557" s="27" t="s">
        <v>3226</v>
      </c>
      <c r="E1557" t="s">
        <v>1972</v>
      </c>
      <c r="F1557" t="s">
        <v>104</v>
      </c>
      <c r="H1557" t="s">
        <v>5762</v>
      </c>
    </row>
    <row r="1558" spans="1:8">
      <c r="A1558" t="s">
        <v>4608</v>
      </c>
      <c r="B1558" s="24">
        <v>46182</v>
      </c>
      <c r="C1558" s="27" t="s">
        <v>5797</v>
      </c>
      <c r="D1558" s="27" t="s">
        <v>3226</v>
      </c>
      <c r="E1558" t="s">
        <v>1973</v>
      </c>
      <c r="F1558" t="s">
        <v>104</v>
      </c>
      <c r="H1558" t="s">
        <v>5762</v>
      </c>
    </row>
    <row r="1559" spans="1:8">
      <c r="A1559" t="s">
        <v>4609</v>
      </c>
      <c r="B1559" s="24">
        <v>46183</v>
      </c>
      <c r="C1559" s="27" t="s">
        <v>5797</v>
      </c>
      <c r="D1559" s="27" t="s">
        <v>3226</v>
      </c>
      <c r="E1559" t="s">
        <v>1974</v>
      </c>
      <c r="F1559" t="s">
        <v>104</v>
      </c>
      <c r="H1559" t="s">
        <v>5762</v>
      </c>
    </row>
    <row r="1560" spans="1:8">
      <c r="A1560" t="s">
        <v>4610</v>
      </c>
      <c r="B1560" s="24">
        <v>46184</v>
      </c>
      <c r="C1560" s="27" t="s">
        <v>5797</v>
      </c>
      <c r="D1560" s="27" t="s">
        <v>3226</v>
      </c>
      <c r="E1560" t="s">
        <v>1975</v>
      </c>
      <c r="F1560" t="s">
        <v>104</v>
      </c>
      <c r="H1560" t="s">
        <v>5762</v>
      </c>
    </row>
    <row r="1561" spans="1:8">
      <c r="A1561" t="s">
        <v>4611</v>
      </c>
      <c r="B1561" s="24">
        <v>46185</v>
      </c>
      <c r="C1561" s="27" t="s">
        <v>5797</v>
      </c>
      <c r="D1561" s="27" t="s">
        <v>3226</v>
      </c>
      <c r="E1561" t="s">
        <v>1976</v>
      </c>
      <c r="F1561" t="s">
        <v>104</v>
      </c>
      <c r="H1561" t="s">
        <v>5762</v>
      </c>
    </row>
    <row r="1562" spans="1:8">
      <c r="A1562" t="s">
        <v>4612</v>
      </c>
      <c r="B1562" s="24">
        <v>46174</v>
      </c>
      <c r="C1562" s="27" t="s">
        <v>5797</v>
      </c>
      <c r="D1562" s="27" t="s">
        <v>3226</v>
      </c>
      <c r="E1562" t="s">
        <v>1977</v>
      </c>
      <c r="F1562" t="s">
        <v>104</v>
      </c>
      <c r="H1562" t="s">
        <v>5762</v>
      </c>
    </row>
    <row r="1563" spans="1:8">
      <c r="A1563" t="s">
        <v>4613</v>
      </c>
      <c r="B1563" s="24">
        <v>46175</v>
      </c>
      <c r="C1563" s="27" t="s">
        <v>5797</v>
      </c>
      <c r="D1563" s="27" t="s">
        <v>3226</v>
      </c>
      <c r="E1563" t="s">
        <v>1978</v>
      </c>
      <c r="F1563" t="s">
        <v>104</v>
      </c>
      <c r="H1563" t="s">
        <v>5762</v>
      </c>
    </row>
    <row r="1564" spans="1:8">
      <c r="A1564" t="s">
        <v>4614</v>
      </c>
      <c r="B1564" s="24">
        <v>46176</v>
      </c>
      <c r="C1564" s="27" t="s">
        <v>5797</v>
      </c>
      <c r="D1564" s="27" t="s">
        <v>3226</v>
      </c>
      <c r="E1564" t="s">
        <v>1979</v>
      </c>
      <c r="F1564" t="s">
        <v>104</v>
      </c>
      <c r="H1564" t="s">
        <v>5762</v>
      </c>
    </row>
    <row r="1565" spans="1:8">
      <c r="A1565" t="s">
        <v>4615</v>
      </c>
      <c r="B1565" s="24">
        <v>46177</v>
      </c>
      <c r="C1565" s="27" t="s">
        <v>5797</v>
      </c>
      <c r="D1565" s="27" t="s">
        <v>3226</v>
      </c>
      <c r="E1565" t="s">
        <v>1980</v>
      </c>
      <c r="F1565" t="s">
        <v>104</v>
      </c>
      <c r="H1565" t="s">
        <v>5762</v>
      </c>
    </row>
    <row r="1566" spans="1:8">
      <c r="A1566" t="s">
        <v>4616</v>
      </c>
      <c r="B1566" s="24">
        <v>46178</v>
      </c>
      <c r="C1566" s="27" t="s">
        <v>5797</v>
      </c>
      <c r="D1566" s="27" t="s">
        <v>3226</v>
      </c>
      <c r="E1566" t="s">
        <v>1981</v>
      </c>
      <c r="F1566" t="s">
        <v>104</v>
      </c>
      <c r="H1566" t="s">
        <v>5762</v>
      </c>
    </row>
    <row r="1567" spans="1:8">
      <c r="A1567" t="s">
        <v>4617</v>
      </c>
      <c r="B1567" s="24">
        <v>46181</v>
      </c>
      <c r="C1567" s="27" t="s">
        <v>5797</v>
      </c>
      <c r="D1567" s="27" t="s">
        <v>3226</v>
      </c>
      <c r="E1567" t="s">
        <v>1982</v>
      </c>
      <c r="F1567" t="s">
        <v>104</v>
      </c>
      <c r="H1567" t="s">
        <v>5762</v>
      </c>
    </row>
    <row r="1568" spans="1:8">
      <c r="A1568" t="s">
        <v>4618</v>
      </c>
      <c r="B1568" s="24">
        <v>46182</v>
      </c>
      <c r="C1568" s="27" t="s">
        <v>5797</v>
      </c>
      <c r="D1568" s="27" t="s">
        <v>3226</v>
      </c>
      <c r="E1568" t="s">
        <v>1983</v>
      </c>
      <c r="F1568" t="s">
        <v>104</v>
      </c>
      <c r="H1568" t="s">
        <v>5762</v>
      </c>
    </row>
    <row r="1569" spans="1:8">
      <c r="A1569" t="s">
        <v>4619</v>
      </c>
      <c r="B1569" s="24">
        <v>46183</v>
      </c>
      <c r="C1569" s="27" t="s">
        <v>5797</v>
      </c>
      <c r="D1569" s="27" t="s">
        <v>3226</v>
      </c>
      <c r="E1569" t="s">
        <v>1984</v>
      </c>
      <c r="F1569" t="s">
        <v>104</v>
      </c>
      <c r="H1569" t="s">
        <v>5762</v>
      </c>
    </row>
    <row r="1570" spans="1:8">
      <c r="A1570" t="s">
        <v>4620</v>
      </c>
      <c r="B1570" s="24">
        <v>46184</v>
      </c>
      <c r="C1570" s="27" t="s">
        <v>5797</v>
      </c>
      <c r="D1570" s="27" t="s">
        <v>3226</v>
      </c>
      <c r="E1570" t="s">
        <v>1985</v>
      </c>
      <c r="F1570" t="s">
        <v>104</v>
      </c>
      <c r="H1570" t="s">
        <v>5762</v>
      </c>
    </row>
    <row r="1571" spans="1:8">
      <c r="A1571" t="s">
        <v>4621</v>
      </c>
      <c r="B1571" s="24">
        <v>46185</v>
      </c>
      <c r="C1571" s="27" t="s">
        <v>5797</v>
      </c>
      <c r="D1571" s="27" t="s">
        <v>3226</v>
      </c>
      <c r="E1571" t="s">
        <v>1986</v>
      </c>
      <c r="F1571" t="s">
        <v>104</v>
      </c>
      <c r="H1571" t="s">
        <v>5762</v>
      </c>
    </row>
    <row r="1572" spans="1:8">
      <c r="A1572" t="s">
        <v>4622</v>
      </c>
      <c r="B1572" s="24">
        <v>46174</v>
      </c>
      <c r="C1572" s="27" t="s">
        <v>5797</v>
      </c>
      <c r="D1572" s="27" t="s">
        <v>3226</v>
      </c>
      <c r="E1572" t="s">
        <v>1987</v>
      </c>
      <c r="F1572" t="s">
        <v>104</v>
      </c>
      <c r="H1572" t="s">
        <v>5762</v>
      </c>
    </row>
    <row r="1573" spans="1:8">
      <c r="A1573" t="s">
        <v>4623</v>
      </c>
      <c r="B1573" s="24">
        <v>46175</v>
      </c>
      <c r="C1573" s="27" t="s">
        <v>5797</v>
      </c>
      <c r="D1573" s="27" t="s">
        <v>3226</v>
      </c>
      <c r="E1573" t="s">
        <v>1988</v>
      </c>
      <c r="F1573" t="s">
        <v>104</v>
      </c>
      <c r="H1573" t="s">
        <v>5762</v>
      </c>
    </row>
    <row r="1574" spans="1:8">
      <c r="A1574" t="s">
        <v>4624</v>
      </c>
      <c r="B1574" s="24">
        <v>46176</v>
      </c>
      <c r="C1574" s="27" t="s">
        <v>5797</v>
      </c>
      <c r="D1574" s="27" t="s">
        <v>3226</v>
      </c>
      <c r="E1574" t="s">
        <v>1989</v>
      </c>
      <c r="F1574" t="s">
        <v>104</v>
      </c>
      <c r="H1574" t="s">
        <v>5762</v>
      </c>
    </row>
    <row r="1575" spans="1:8">
      <c r="A1575" t="s">
        <v>4625</v>
      </c>
      <c r="B1575" s="24">
        <v>46177</v>
      </c>
      <c r="C1575" s="27" t="s">
        <v>5797</v>
      </c>
      <c r="D1575" s="27" t="s">
        <v>3226</v>
      </c>
      <c r="E1575" t="s">
        <v>1990</v>
      </c>
      <c r="F1575" t="s">
        <v>104</v>
      </c>
      <c r="H1575" t="s">
        <v>5762</v>
      </c>
    </row>
    <row r="1576" spans="1:8">
      <c r="A1576" t="s">
        <v>4626</v>
      </c>
      <c r="B1576" s="24">
        <v>46178</v>
      </c>
      <c r="C1576" s="27" t="s">
        <v>5797</v>
      </c>
      <c r="D1576" s="27" t="s">
        <v>3226</v>
      </c>
      <c r="E1576" t="s">
        <v>1991</v>
      </c>
      <c r="F1576" t="s">
        <v>104</v>
      </c>
      <c r="H1576" t="s">
        <v>5762</v>
      </c>
    </row>
    <row r="1577" spans="1:8">
      <c r="A1577" t="s">
        <v>4627</v>
      </c>
      <c r="B1577" s="24">
        <v>46181</v>
      </c>
      <c r="C1577" s="27" t="s">
        <v>5797</v>
      </c>
      <c r="D1577" s="27" t="s">
        <v>3226</v>
      </c>
      <c r="E1577" t="s">
        <v>1992</v>
      </c>
      <c r="F1577" t="s">
        <v>104</v>
      </c>
      <c r="H1577" t="s">
        <v>5762</v>
      </c>
    </row>
    <row r="1578" spans="1:8">
      <c r="A1578" t="s">
        <v>4628</v>
      </c>
      <c r="B1578" s="24">
        <v>46182</v>
      </c>
      <c r="C1578" s="27" t="s">
        <v>5797</v>
      </c>
      <c r="D1578" s="27" t="s">
        <v>3226</v>
      </c>
      <c r="E1578" t="s">
        <v>1993</v>
      </c>
      <c r="F1578" t="s">
        <v>104</v>
      </c>
      <c r="H1578" t="s">
        <v>5762</v>
      </c>
    </row>
    <row r="1579" spans="1:8">
      <c r="A1579" t="s">
        <v>4629</v>
      </c>
      <c r="B1579" s="24">
        <v>46183</v>
      </c>
      <c r="C1579" s="27" t="s">
        <v>5797</v>
      </c>
      <c r="D1579" s="27" t="s">
        <v>3226</v>
      </c>
      <c r="E1579" t="s">
        <v>1994</v>
      </c>
      <c r="F1579" t="s">
        <v>104</v>
      </c>
      <c r="H1579" t="s">
        <v>5762</v>
      </c>
    </row>
    <row r="1580" spans="1:8">
      <c r="A1580" t="s">
        <v>4630</v>
      </c>
      <c r="B1580" s="24">
        <v>46184</v>
      </c>
      <c r="C1580" s="27" t="s">
        <v>5797</v>
      </c>
      <c r="D1580" s="27" t="s">
        <v>3226</v>
      </c>
      <c r="E1580" t="s">
        <v>1995</v>
      </c>
      <c r="F1580" t="s">
        <v>104</v>
      </c>
      <c r="H1580" t="s">
        <v>5762</v>
      </c>
    </row>
    <row r="1581" spans="1:8">
      <c r="A1581" t="s">
        <v>4631</v>
      </c>
      <c r="B1581" s="24">
        <v>46185</v>
      </c>
      <c r="C1581" s="27" t="s">
        <v>5797</v>
      </c>
      <c r="D1581" s="27" t="s">
        <v>3226</v>
      </c>
      <c r="E1581" t="s">
        <v>1996</v>
      </c>
      <c r="F1581" t="s">
        <v>104</v>
      </c>
      <c r="H1581" t="s">
        <v>5762</v>
      </c>
    </row>
    <row r="1582" spans="1:8">
      <c r="A1582" t="s">
        <v>4632</v>
      </c>
      <c r="B1582" s="24">
        <v>46174</v>
      </c>
      <c r="C1582" s="27" t="s">
        <v>5797</v>
      </c>
      <c r="D1582" s="27" t="s">
        <v>3226</v>
      </c>
      <c r="E1582" t="s">
        <v>1997</v>
      </c>
      <c r="F1582" t="s">
        <v>104</v>
      </c>
      <c r="H1582" t="s">
        <v>5762</v>
      </c>
    </row>
    <row r="1583" spans="1:8">
      <c r="A1583" t="s">
        <v>4633</v>
      </c>
      <c r="B1583" s="24">
        <v>46175</v>
      </c>
      <c r="C1583" s="27" t="s">
        <v>5797</v>
      </c>
      <c r="D1583" s="27" t="s">
        <v>3226</v>
      </c>
      <c r="E1583" t="s">
        <v>1998</v>
      </c>
      <c r="F1583" t="s">
        <v>104</v>
      </c>
      <c r="H1583" t="s">
        <v>5762</v>
      </c>
    </row>
    <row r="1584" spans="1:8">
      <c r="A1584" t="s">
        <v>4634</v>
      </c>
      <c r="B1584" s="24">
        <v>46176</v>
      </c>
      <c r="C1584" s="27" t="s">
        <v>5797</v>
      </c>
      <c r="D1584" s="27" t="s">
        <v>3226</v>
      </c>
      <c r="E1584" t="s">
        <v>1999</v>
      </c>
      <c r="F1584" t="s">
        <v>104</v>
      </c>
      <c r="H1584" t="s">
        <v>5762</v>
      </c>
    </row>
    <row r="1585" spans="1:8">
      <c r="A1585" t="s">
        <v>4635</v>
      </c>
      <c r="B1585" s="24">
        <v>46177</v>
      </c>
      <c r="C1585" s="27" t="s">
        <v>5797</v>
      </c>
      <c r="D1585" s="27" t="s">
        <v>3226</v>
      </c>
      <c r="E1585" t="s">
        <v>2000</v>
      </c>
      <c r="F1585" t="s">
        <v>104</v>
      </c>
      <c r="H1585" t="s">
        <v>5762</v>
      </c>
    </row>
    <row r="1586" spans="1:8">
      <c r="A1586" t="s">
        <v>4636</v>
      </c>
      <c r="B1586" s="24">
        <v>46178</v>
      </c>
      <c r="C1586" s="27" t="s">
        <v>5797</v>
      </c>
      <c r="D1586" s="27" t="s">
        <v>3226</v>
      </c>
      <c r="E1586" t="s">
        <v>2001</v>
      </c>
      <c r="F1586" t="s">
        <v>104</v>
      </c>
      <c r="H1586" t="s">
        <v>5762</v>
      </c>
    </row>
    <row r="1587" spans="1:8">
      <c r="A1587" t="s">
        <v>4637</v>
      </c>
      <c r="B1587" s="24">
        <v>46181</v>
      </c>
      <c r="C1587" s="27" t="s">
        <v>5797</v>
      </c>
      <c r="D1587" s="27" t="s">
        <v>3226</v>
      </c>
      <c r="E1587" t="s">
        <v>2002</v>
      </c>
      <c r="F1587" t="s">
        <v>104</v>
      </c>
      <c r="H1587" t="s">
        <v>5762</v>
      </c>
    </row>
    <row r="1588" spans="1:8">
      <c r="A1588" t="s">
        <v>4638</v>
      </c>
      <c r="B1588" s="24">
        <v>46182</v>
      </c>
      <c r="C1588" s="27" t="s">
        <v>5797</v>
      </c>
      <c r="D1588" s="27" t="s">
        <v>3226</v>
      </c>
      <c r="E1588" t="s">
        <v>2003</v>
      </c>
      <c r="F1588" t="s">
        <v>104</v>
      </c>
      <c r="H1588" t="s">
        <v>5762</v>
      </c>
    </row>
    <row r="1589" spans="1:8">
      <c r="A1589" t="s">
        <v>4639</v>
      </c>
      <c r="B1589" s="24">
        <v>46183</v>
      </c>
      <c r="C1589" s="27" t="s">
        <v>5797</v>
      </c>
      <c r="D1589" s="27" t="s">
        <v>3226</v>
      </c>
      <c r="E1589" t="s">
        <v>2004</v>
      </c>
      <c r="F1589" t="s">
        <v>104</v>
      </c>
      <c r="H1589" t="s">
        <v>5762</v>
      </c>
    </row>
    <row r="1590" spans="1:8">
      <c r="A1590" t="s">
        <v>4640</v>
      </c>
      <c r="B1590" s="24">
        <v>46184</v>
      </c>
      <c r="C1590" s="27" t="s">
        <v>5797</v>
      </c>
      <c r="D1590" s="27" t="s">
        <v>3226</v>
      </c>
      <c r="E1590" t="s">
        <v>2005</v>
      </c>
      <c r="F1590" t="s">
        <v>104</v>
      </c>
      <c r="H1590" t="s">
        <v>5762</v>
      </c>
    </row>
    <row r="1591" spans="1:8">
      <c r="A1591" t="s">
        <v>4641</v>
      </c>
      <c r="B1591" s="24">
        <v>46185</v>
      </c>
      <c r="C1591" s="27" t="s">
        <v>5797</v>
      </c>
      <c r="D1591" s="27" t="s">
        <v>3226</v>
      </c>
      <c r="E1591" t="s">
        <v>2006</v>
      </c>
      <c r="F1591" t="s">
        <v>104</v>
      </c>
      <c r="H1591" t="s">
        <v>5762</v>
      </c>
    </row>
    <row r="1592" spans="1:8">
      <c r="A1592" t="s">
        <v>4642</v>
      </c>
      <c r="B1592" s="24">
        <v>46174</v>
      </c>
      <c r="C1592" s="27" t="s">
        <v>5797</v>
      </c>
      <c r="D1592" s="27" t="s">
        <v>3226</v>
      </c>
      <c r="E1592" t="s">
        <v>2007</v>
      </c>
      <c r="F1592" t="s">
        <v>104</v>
      </c>
      <c r="H1592" t="s">
        <v>5762</v>
      </c>
    </row>
    <row r="1593" spans="1:8">
      <c r="A1593" t="s">
        <v>4643</v>
      </c>
      <c r="B1593" s="24">
        <v>46175</v>
      </c>
      <c r="C1593" s="27" t="s">
        <v>5797</v>
      </c>
      <c r="D1593" s="27" t="s">
        <v>3226</v>
      </c>
      <c r="E1593" t="s">
        <v>2008</v>
      </c>
      <c r="F1593" t="s">
        <v>104</v>
      </c>
      <c r="H1593" t="s">
        <v>5762</v>
      </c>
    </row>
    <row r="1594" spans="1:8">
      <c r="A1594" t="s">
        <v>4644</v>
      </c>
      <c r="B1594" s="24">
        <v>46176</v>
      </c>
      <c r="C1594" s="27" t="s">
        <v>5797</v>
      </c>
      <c r="D1594" s="27" t="s">
        <v>3226</v>
      </c>
      <c r="E1594" t="s">
        <v>2009</v>
      </c>
      <c r="F1594" t="s">
        <v>104</v>
      </c>
      <c r="H1594" t="s">
        <v>5762</v>
      </c>
    </row>
    <row r="1595" spans="1:8">
      <c r="A1595" t="s">
        <v>4645</v>
      </c>
      <c r="B1595" s="24">
        <v>46177</v>
      </c>
      <c r="C1595" s="27" t="s">
        <v>5797</v>
      </c>
      <c r="D1595" s="27" t="s">
        <v>3226</v>
      </c>
      <c r="E1595" t="s">
        <v>2010</v>
      </c>
      <c r="F1595" t="s">
        <v>104</v>
      </c>
      <c r="H1595" t="s">
        <v>5762</v>
      </c>
    </row>
    <row r="1596" spans="1:8">
      <c r="A1596" t="s">
        <v>4646</v>
      </c>
      <c r="B1596" s="24">
        <v>46178</v>
      </c>
      <c r="C1596" s="27" t="s">
        <v>5797</v>
      </c>
      <c r="D1596" s="27" t="s">
        <v>3226</v>
      </c>
      <c r="E1596" t="s">
        <v>2011</v>
      </c>
      <c r="F1596" t="s">
        <v>104</v>
      </c>
      <c r="H1596" t="s">
        <v>5762</v>
      </c>
    </row>
    <row r="1597" spans="1:8">
      <c r="A1597" t="s">
        <v>4647</v>
      </c>
      <c r="B1597" s="24">
        <v>46181</v>
      </c>
      <c r="C1597" s="27" t="s">
        <v>5797</v>
      </c>
      <c r="D1597" s="27" t="s">
        <v>3226</v>
      </c>
      <c r="E1597" t="s">
        <v>2012</v>
      </c>
      <c r="F1597" t="s">
        <v>104</v>
      </c>
      <c r="H1597" t="s">
        <v>5762</v>
      </c>
    </row>
    <row r="1598" spans="1:8">
      <c r="A1598" t="s">
        <v>4648</v>
      </c>
      <c r="B1598" s="24">
        <v>46182</v>
      </c>
      <c r="C1598" s="27" t="s">
        <v>5797</v>
      </c>
      <c r="D1598" s="27" t="s">
        <v>3226</v>
      </c>
      <c r="E1598" t="s">
        <v>2013</v>
      </c>
      <c r="F1598" t="s">
        <v>104</v>
      </c>
      <c r="H1598" t="s">
        <v>5762</v>
      </c>
    </row>
    <row r="1599" spans="1:8">
      <c r="A1599" t="s">
        <v>4649</v>
      </c>
      <c r="B1599" s="24">
        <v>46183</v>
      </c>
      <c r="C1599" s="27" t="s">
        <v>5797</v>
      </c>
      <c r="D1599" s="27" t="s">
        <v>3226</v>
      </c>
      <c r="E1599" t="s">
        <v>2014</v>
      </c>
      <c r="F1599" t="s">
        <v>104</v>
      </c>
      <c r="H1599" t="s">
        <v>5762</v>
      </c>
    </row>
    <row r="1600" spans="1:8">
      <c r="A1600" t="s">
        <v>4650</v>
      </c>
      <c r="B1600" s="24">
        <v>46184</v>
      </c>
      <c r="C1600" s="27" t="s">
        <v>5797</v>
      </c>
      <c r="D1600" s="27" t="s">
        <v>3226</v>
      </c>
      <c r="E1600" t="s">
        <v>2015</v>
      </c>
      <c r="F1600" t="s">
        <v>104</v>
      </c>
      <c r="H1600" t="s">
        <v>5762</v>
      </c>
    </row>
    <row r="1601" spans="1:8">
      <c r="A1601" t="s">
        <v>4651</v>
      </c>
      <c r="B1601" s="24">
        <v>46185</v>
      </c>
      <c r="C1601" s="27" t="s">
        <v>5797</v>
      </c>
      <c r="D1601" s="27" t="s">
        <v>3226</v>
      </c>
      <c r="E1601" t="s">
        <v>2016</v>
      </c>
      <c r="F1601" t="s">
        <v>104</v>
      </c>
      <c r="H1601" t="s">
        <v>5762</v>
      </c>
    </row>
    <row r="1602" spans="1:8">
      <c r="A1602" t="s">
        <v>4652</v>
      </c>
      <c r="B1602" s="24">
        <v>46174</v>
      </c>
      <c r="C1602" s="27" t="s">
        <v>5797</v>
      </c>
      <c r="D1602" s="27" t="s">
        <v>3226</v>
      </c>
      <c r="E1602" t="s">
        <v>2017</v>
      </c>
      <c r="F1602" t="s">
        <v>104</v>
      </c>
      <c r="H1602" t="s">
        <v>5762</v>
      </c>
    </row>
    <row r="1603" spans="1:8">
      <c r="A1603" t="s">
        <v>4653</v>
      </c>
      <c r="B1603" s="24">
        <v>46175</v>
      </c>
      <c r="C1603" s="27" t="s">
        <v>5797</v>
      </c>
      <c r="D1603" s="27" t="s">
        <v>3226</v>
      </c>
      <c r="E1603" t="s">
        <v>2018</v>
      </c>
      <c r="F1603" t="s">
        <v>104</v>
      </c>
      <c r="H1603" t="s">
        <v>5762</v>
      </c>
    </row>
    <row r="1604" spans="1:8">
      <c r="A1604" t="s">
        <v>4654</v>
      </c>
      <c r="B1604" s="24">
        <v>46176</v>
      </c>
      <c r="C1604" s="27" t="s">
        <v>5797</v>
      </c>
      <c r="D1604" s="27" t="s">
        <v>3226</v>
      </c>
      <c r="E1604" t="s">
        <v>2019</v>
      </c>
      <c r="F1604" t="s">
        <v>104</v>
      </c>
      <c r="H1604" t="s">
        <v>5762</v>
      </c>
    </row>
    <row r="1605" spans="1:8">
      <c r="A1605" t="s">
        <v>4655</v>
      </c>
      <c r="B1605" s="24">
        <v>46177</v>
      </c>
      <c r="C1605" s="27" t="s">
        <v>5797</v>
      </c>
      <c r="D1605" s="27" t="s">
        <v>3226</v>
      </c>
      <c r="E1605" t="s">
        <v>2020</v>
      </c>
      <c r="F1605" t="s">
        <v>104</v>
      </c>
      <c r="H1605" t="s">
        <v>5762</v>
      </c>
    </row>
    <row r="1606" spans="1:8">
      <c r="A1606" t="s">
        <v>4656</v>
      </c>
      <c r="B1606" s="24">
        <v>46178</v>
      </c>
      <c r="C1606" s="27" t="s">
        <v>5797</v>
      </c>
      <c r="D1606" s="27" t="s">
        <v>3226</v>
      </c>
      <c r="E1606" t="s">
        <v>2021</v>
      </c>
      <c r="F1606" t="s">
        <v>104</v>
      </c>
      <c r="H1606" t="s">
        <v>5762</v>
      </c>
    </row>
    <row r="1607" spans="1:8">
      <c r="A1607" t="s">
        <v>4657</v>
      </c>
      <c r="B1607" s="24">
        <v>46181</v>
      </c>
      <c r="C1607" s="27" t="s">
        <v>5797</v>
      </c>
      <c r="D1607" s="27" t="s">
        <v>3226</v>
      </c>
      <c r="E1607" t="s">
        <v>2022</v>
      </c>
      <c r="F1607" t="s">
        <v>104</v>
      </c>
      <c r="H1607" t="s">
        <v>5762</v>
      </c>
    </row>
    <row r="1608" spans="1:8">
      <c r="A1608" t="s">
        <v>4658</v>
      </c>
      <c r="B1608" s="24">
        <v>46182</v>
      </c>
      <c r="C1608" s="27" t="s">
        <v>5797</v>
      </c>
      <c r="D1608" s="27" t="s">
        <v>3226</v>
      </c>
      <c r="E1608" t="s">
        <v>2023</v>
      </c>
      <c r="F1608" t="s">
        <v>104</v>
      </c>
      <c r="H1608" t="s">
        <v>5762</v>
      </c>
    </row>
    <row r="1609" spans="1:8">
      <c r="A1609" t="s">
        <v>4659</v>
      </c>
      <c r="B1609" s="24">
        <v>46183</v>
      </c>
      <c r="C1609" s="27" t="s">
        <v>5797</v>
      </c>
      <c r="D1609" s="27" t="s">
        <v>3226</v>
      </c>
      <c r="E1609" t="s">
        <v>2024</v>
      </c>
      <c r="F1609" t="s">
        <v>104</v>
      </c>
      <c r="H1609" t="s">
        <v>5762</v>
      </c>
    </row>
    <row r="1610" spans="1:8">
      <c r="A1610" t="s">
        <v>4660</v>
      </c>
      <c r="B1610" s="24">
        <v>46184</v>
      </c>
      <c r="C1610" s="27" t="s">
        <v>5797</v>
      </c>
      <c r="D1610" s="27" t="s">
        <v>3226</v>
      </c>
      <c r="E1610" t="s">
        <v>2025</v>
      </c>
      <c r="F1610" t="s">
        <v>104</v>
      </c>
      <c r="H1610" t="s">
        <v>5762</v>
      </c>
    </row>
    <row r="1611" spans="1:8">
      <c r="A1611" t="s">
        <v>4661</v>
      </c>
      <c r="B1611" s="24">
        <v>46185</v>
      </c>
      <c r="C1611" s="27" t="s">
        <v>5797</v>
      </c>
      <c r="D1611" s="27" t="s">
        <v>3226</v>
      </c>
      <c r="E1611" t="s">
        <v>2026</v>
      </c>
      <c r="F1611" t="s">
        <v>104</v>
      </c>
      <c r="H1611" t="s">
        <v>5762</v>
      </c>
    </row>
    <row r="1612" spans="1:8">
      <c r="A1612" t="s">
        <v>4662</v>
      </c>
      <c r="B1612" s="24">
        <v>46174</v>
      </c>
      <c r="C1612" s="27" t="s">
        <v>5797</v>
      </c>
      <c r="D1612" s="27" t="s">
        <v>3226</v>
      </c>
      <c r="E1612" t="s">
        <v>2027</v>
      </c>
      <c r="F1612" t="s">
        <v>104</v>
      </c>
      <c r="H1612" t="s">
        <v>5762</v>
      </c>
    </row>
    <row r="1613" spans="1:8">
      <c r="A1613" t="s">
        <v>4663</v>
      </c>
      <c r="B1613" s="24">
        <v>46175</v>
      </c>
      <c r="C1613" s="27" t="s">
        <v>5797</v>
      </c>
      <c r="D1613" s="27" t="s">
        <v>3225</v>
      </c>
      <c r="E1613" t="s">
        <v>2028</v>
      </c>
      <c r="F1613" t="s">
        <v>104</v>
      </c>
      <c r="G1613" t="s">
        <v>105</v>
      </c>
      <c r="H1613">
        <v>0</v>
      </c>
    </row>
    <row r="1614" spans="1:8">
      <c r="A1614" t="s">
        <v>4664</v>
      </c>
      <c r="B1614" s="24">
        <v>46176</v>
      </c>
      <c r="C1614" s="27" t="s">
        <v>5797</v>
      </c>
      <c r="D1614" s="27" t="s">
        <v>3225</v>
      </c>
      <c r="E1614" t="s">
        <v>2029</v>
      </c>
      <c r="F1614" t="s">
        <v>104</v>
      </c>
      <c r="G1614" t="s">
        <v>105</v>
      </c>
      <c r="H1614">
        <v>0</v>
      </c>
    </row>
    <row r="1615" spans="1:8">
      <c r="A1615" t="s">
        <v>4665</v>
      </c>
      <c r="B1615" s="24">
        <v>46177</v>
      </c>
      <c r="C1615" s="27" t="s">
        <v>5797</v>
      </c>
      <c r="D1615" s="27" t="s">
        <v>3225</v>
      </c>
      <c r="E1615" t="s">
        <v>2030</v>
      </c>
      <c r="F1615" t="s">
        <v>104</v>
      </c>
      <c r="G1615" t="s">
        <v>105</v>
      </c>
      <c r="H1615">
        <v>0</v>
      </c>
    </row>
    <row r="1616" spans="1:8">
      <c r="A1616" t="s">
        <v>4666</v>
      </c>
      <c r="B1616" s="24">
        <v>46178</v>
      </c>
      <c r="C1616" s="27" t="s">
        <v>5797</v>
      </c>
      <c r="D1616" s="27" t="s">
        <v>3225</v>
      </c>
      <c r="E1616" t="s">
        <v>2031</v>
      </c>
      <c r="F1616" t="s">
        <v>104</v>
      </c>
      <c r="G1616" t="s">
        <v>105</v>
      </c>
      <c r="H1616">
        <v>0</v>
      </c>
    </row>
    <row r="1617" spans="1:8">
      <c r="A1617" t="s">
        <v>4667</v>
      </c>
      <c r="B1617" s="24">
        <v>46181</v>
      </c>
      <c r="C1617" s="27" t="s">
        <v>5797</v>
      </c>
      <c r="D1617" s="27" t="s">
        <v>3225</v>
      </c>
      <c r="E1617" t="s">
        <v>2032</v>
      </c>
      <c r="F1617" t="s">
        <v>104</v>
      </c>
      <c r="G1617" t="s">
        <v>105</v>
      </c>
      <c r="H1617">
        <v>0</v>
      </c>
    </row>
    <row r="1618" spans="1:8">
      <c r="A1618" t="s">
        <v>4668</v>
      </c>
      <c r="B1618" s="24">
        <v>46182</v>
      </c>
      <c r="C1618" s="27" t="s">
        <v>5797</v>
      </c>
      <c r="D1618" s="27" t="s">
        <v>3225</v>
      </c>
      <c r="E1618" t="s">
        <v>2033</v>
      </c>
      <c r="F1618" t="s">
        <v>104</v>
      </c>
      <c r="G1618" t="s">
        <v>105</v>
      </c>
      <c r="H1618">
        <v>0</v>
      </c>
    </row>
    <row r="1619" spans="1:8">
      <c r="A1619" t="s">
        <v>4669</v>
      </c>
      <c r="B1619" s="24">
        <v>46183</v>
      </c>
      <c r="C1619" s="27" t="s">
        <v>5797</v>
      </c>
      <c r="D1619" s="27" t="s">
        <v>3225</v>
      </c>
      <c r="E1619" t="s">
        <v>2034</v>
      </c>
      <c r="F1619" t="s">
        <v>104</v>
      </c>
      <c r="G1619" t="s">
        <v>105</v>
      </c>
      <c r="H1619">
        <v>0</v>
      </c>
    </row>
    <row r="1620" spans="1:8">
      <c r="A1620" t="s">
        <v>4670</v>
      </c>
      <c r="B1620" s="24">
        <v>46184</v>
      </c>
      <c r="C1620" s="27" t="s">
        <v>5797</v>
      </c>
      <c r="D1620" s="27" t="s">
        <v>3225</v>
      </c>
      <c r="E1620" t="s">
        <v>2035</v>
      </c>
      <c r="F1620" t="s">
        <v>104</v>
      </c>
      <c r="G1620" t="s">
        <v>105</v>
      </c>
      <c r="H1620">
        <v>0</v>
      </c>
    </row>
    <row r="1621" spans="1:8">
      <c r="A1621" t="s">
        <v>4671</v>
      </c>
      <c r="B1621" s="24">
        <v>46185</v>
      </c>
      <c r="C1621" s="27" t="s">
        <v>5797</v>
      </c>
      <c r="D1621" s="27" t="s">
        <v>3225</v>
      </c>
      <c r="E1621" t="s">
        <v>2036</v>
      </c>
      <c r="F1621" t="s">
        <v>104</v>
      </c>
      <c r="G1621" t="s">
        <v>105</v>
      </c>
      <c r="H1621">
        <v>0</v>
      </c>
    </row>
    <row r="1622" spans="1:8">
      <c r="A1622" t="s">
        <v>4672</v>
      </c>
      <c r="B1622" s="24">
        <v>46174</v>
      </c>
      <c r="C1622" s="27" t="s">
        <v>5797</v>
      </c>
      <c r="D1622" s="27" t="s">
        <v>3225</v>
      </c>
      <c r="E1622" t="s">
        <v>2037</v>
      </c>
      <c r="F1622" t="s">
        <v>104</v>
      </c>
      <c r="G1622" t="s">
        <v>105</v>
      </c>
      <c r="H1622">
        <v>0</v>
      </c>
    </row>
    <row r="1623" spans="1:8">
      <c r="A1623" t="s">
        <v>4673</v>
      </c>
      <c r="B1623" s="24">
        <v>46175</v>
      </c>
      <c r="C1623" s="27" t="s">
        <v>5797</v>
      </c>
      <c r="D1623" s="27" t="s">
        <v>3225</v>
      </c>
      <c r="E1623" t="s">
        <v>2038</v>
      </c>
      <c r="F1623" t="s">
        <v>104</v>
      </c>
      <c r="G1623" t="s">
        <v>105</v>
      </c>
      <c r="H1623">
        <v>0</v>
      </c>
    </row>
    <row r="1624" spans="1:8">
      <c r="A1624" t="s">
        <v>4674</v>
      </c>
      <c r="B1624" s="24">
        <v>46176</v>
      </c>
      <c r="C1624" s="27" t="s">
        <v>5797</v>
      </c>
      <c r="D1624" s="27" t="s">
        <v>3225</v>
      </c>
      <c r="E1624" t="s">
        <v>2039</v>
      </c>
      <c r="F1624" t="s">
        <v>104</v>
      </c>
      <c r="G1624" t="s">
        <v>105</v>
      </c>
      <c r="H1624">
        <v>0</v>
      </c>
    </row>
    <row r="1625" spans="1:8">
      <c r="A1625" t="s">
        <v>4675</v>
      </c>
      <c r="B1625" s="24">
        <v>46177</v>
      </c>
      <c r="C1625" s="27" t="s">
        <v>5797</v>
      </c>
      <c r="D1625" s="27" t="s">
        <v>3225</v>
      </c>
      <c r="E1625" t="s">
        <v>2040</v>
      </c>
      <c r="F1625" t="s">
        <v>104</v>
      </c>
      <c r="G1625" t="s">
        <v>105</v>
      </c>
      <c r="H1625">
        <v>0</v>
      </c>
    </row>
    <row r="1626" spans="1:8">
      <c r="A1626" t="s">
        <v>4676</v>
      </c>
      <c r="B1626" s="24">
        <v>46178</v>
      </c>
      <c r="C1626" s="27" t="s">
        <v>5797</v>
      </c>
      <c r="D1626" s="27" t="s">
        <v>3225</v>
      </c>
      <c r="E1626" t="s">
        <v>2041</v>
      </c>
      <c r="F1626" t="s">
        <v>104</v>
      </c>
      <c r="G1626" t="s">
        <v>105</v>
      </c>
      <c r="H1626">
        <v>0</v>
      </c>
    </row>
    <row r="1627" spans="1:8">
      <c r="A1627" t="s">
        <v>4677</v>
      </c>
      <c r="B1627" s="24">
        <v>46181</v>
      </c>
      <c r="C1627" s="27" t="s">
        <v>5797</v>
      </c>
      <c r="D1627" s="27" t="s">
        <v>3225</v>
      </c>
      <c r="E1627" t="s">
        <v>2042</v>
      </c>
      <c r="F1627" t="s">
        <v>104</v>
      </c>
      <c r="G1627" t="s">
        <v>105</v>
      </c>
      <c r="H1627">
        <v>0</v>
      </c>
    </row>
    <row r="1628" spans="1:8">
      <c r="A1628" t="s">
        <v>4678</v>
      </c>
      <c r="B1628" s="24">
        <v>46182</v>
      </c>
      <c r="C1628" s="27" t="s">
        <v>5797</v>
      </c>
      <c r="D1628" s="27" t="s">
        <v>3225</v>
      </c>
      <c r="E1628" t="s">
        <v>2043</v>
      </c>
      <c r="F1628" t="s">
        <v>104</v>
      </c>
      <c r="G1628" t="s">
        <v>105</v>
      </c>
      <c r="H1628">
        <v>0</v>
      </c>
    </row>
    <row r="1629" spans="1:8">
      <c r="A1629" t="s">
        <v>4679</v>
      </c>
      <c r="B1629" s="24">
        <v>46183</v>
      </c>
      <c r="C1629" s="27" t="s">
        <v>5797</v>
      </c>
      <c r="D1629" s="27" t="s">
        <v>3225</v>
      </c>
      <c r="E1629" t="s">
        <v>2044</v>
      </c>
      <c r="F1629" t="s">
        <v>104</v>
      </c>
      <c r="G1629" t="s">
        <v>105</v>
      </c>
      <c r="H1629">
        <v>0</v>
      </c>
    </row>
    <row r="1630" spans="1:8">
      <c r="A1630" t="s">
        <v>4680</v>
      </c>
      <c r="B1630" s="24">
        <v>46184</v>
      </c>
      <c r="C1630" s="27" t="s">
        <v>5797</v>
      </c>
      <c r="D1630" s="27" t="s">
        <v>3225</v>
      </c>
      <c r="E1630" t="s">
        <v>2045</v>
      </c>
      <c r="F1630" t="s">
        <v>104</v>
      </c>
      <c r="G1630" t="s">
        <v>105</v>
      </c>
      <c r="H1630">
        <v>0</v>
      </c>
    </row>
    <row r="1631" spans="1:8">
      <c r="A1631" t="s">
        <v>4681</v>
      </c>
      <c r="B1631" s="24">
        <v>46185</v>
      </c>
      <c r="C1631" s="27" t="s">
        <v>5797</v>
      </c>
      <c r="D1631" s="27" t="s">
        <v>3225</v>
      </c>
      <c r="E1631" t="s">
        <v>2046</v>
      </c>
      <c r="F1631" t="s">
        <v>104</v>
      </c>
      <c r="G1631" t="s">
        <v>105</v>
      </c>
      <c r="H1631">
        <v>0</v>
      </c>
    </row>
    <row r="1632" spans="1:8">
      <c r="A1632" t="s">
        <v>4682</v>
      </c>
      <c r="B1632" s="24">
        <v>46186</v>
      </c>
      <c r="C1632" s="27" t="s">
        <v>5797</v>
      </c>
      <c r="D1632" s="27" t="s">
        <v>3225</v>
      </c>
      <c r="E1632" t="s">
        <v>2047</v>
      </c>
      <c r="F1632" t="s">
        <v>104</v>
      </c>
      <c r="G1632" t="s">
        <v>105</v>
      </c>
      <c r="H1632">
        <v>0</v>
      </c>
    </row>
    <row r="1633" spans="1:8">
      <c r="A1633" t="s">
        <v>4683</v>
      </c>
      <c r="B1633" s="24">
        <v>46187</v>
      </c>
      <c r="C1633" s="27" t="s">
        <v>5797</v>
      </c>
      <c r="D1633" s="27" t="s">
        <v>3225</v>
      </c>
      <c r="E1633" t="s">
        <v>2048</v>
      </c>
      <c r="F1633" t="s">
        <v>104</v>
      </c>
      <c r="G1633" t="s">
        <v>105</v>
      </c>
      <c r="H1633">
        <v>0</v>
      </c>
    </row>
    <row r="1634" spans="1:8">
      <c r="A1634" t="s">
        <v>4684</v>
      </c>
      <c r="B1634" s="24">
        <v>46188</v>
      </c>
      <c r="C1634" s="27" t="s">
        <v>5797</v>
      </c>
      <c r="D1634" s="27" t="s">
        <v>3225</v>
      </c>
      <c r="E1634" t="s">
        <v>2049</v>
      </c>
      <c r="F1634" t="s">
        <v>104</v>
      </c>
      <c r="G1634" t="s">
        <v>105</v>
      </c>
      <c r="H1634">
        <v>0</v>
      </c>
    </row>
    <row r="1635" spans="1:8">
      <c r="A1635" t="s">
        <v>4685</v>
      </c>
      <c r="B1635" s="24">
        <v>46189</v>
      </c>
      <c r="C1635" s="27" t="s">
        <v>5797</v>
      </c>
      <c r="D1635" s="27" t="s">
        <v>3225</v>
      </c>
      <c r="E1635" t="s">
        <v>2050</v>
      </c>
      <c r="F1635" t="s">
        <v>104</v>
      </c>
      <c r="G1635" t="s">
        <v>105</v>
      </c>
      <c r="H1635">
        <v>0</v>
      </c>
    </row>
    <row r="1636" spans="1:8">
      <c r="A1636" t="s">
        <v>4686</v>
      </c>
      <c r="B1636" s="24">
        <v>46190</v>
      </c>
      <c r="C1636" s="27" t="s">
        <v>5797</v>
      </c>
      <c r="D1636" s="27" t="s">
        <v>3225</v>
      </c>
      <c r="E1636" t="s">
        <v>2051</v>
      </c>
      <c r="F1636" t="s">
        <v>104</v>
      </c>
      <c r="G1636" t="s">
        <v>105</v>
      </c>
      <c r="H1636">
        <v>0</v>
      </c>
    </row>
    <row r="1637" spans="1:8">
      <c r="A1637" t="s">
        <v>4687</v>
      </c>
      <c r="B1637" s="24">
        <v>46174</v>
      </c>
      <c r="C1637" s="27" t="s">
        <v>5797</v>
      </c>
      <c r="D1637" s="27" t="s">
        <v>3225</v>
      </c>
      <c r="E1637" t="s">
        <v>2052</v>
      </c>
      <c r="F1637" t="s">
        <v>104</v>
      </c>
      <c r="G1637" t="s">
        <v>105</v>
      </c>
      <c r="H1637">
        <v>0</v>
      </c>
    </row>
    <row r="1638" spans="1:8">
      <c r="A1638" t="s">
        <v>4688</v>
      </c>
      <c r="B1638" s="24">
        <v>46175</v>
      </c>
      <c r="C1638" s="27" t="s">
        <v>5797</v>
      </c>
      <c r="D1638" s="27" t="s">
        <v>3225</v>
      </c>
      <c r="E1638" t="s">
        <v>2053</v>
      </c>
      <c r="F1638" t="s">
        <v>104</v>
      </c>
      <c r="G1638" t="s">
        <v>105</v>
      </c>
      <c r="H1638">
        <v>0</v>
      </c>
    </row>
    <row r="1639" spans="1:8">
      <c r="A1639" t="s">
        <v>4689</v>
      </c>
      <c r="B1639" s="24">
        <v>46176</v>
      </c>
      <c r="C1639" s="27" t="s">
        <v>5797</v>
      </c>
      <c r="D1639" s="27" t="s">
        <v>3225</v>
      </c>
      <c r="E1639" t="s">
        <v>2054</v>
      </c>
      <c r="F1639" t="s">
        <v>104</v>
      </c>
      <c r="G1639" t="s">
        <v>105</v>
      </c>
      <c r="H1639">
        <v>0</v>
      </c>
    </row>
    <row r="1640" spans="1:8">
      <c r="A1640" t="s">
        <v>4690</v>
      </c>
      <c r="B1640" s="24">
        <v>46177</v>
      </c>
      <c r="C1640" s="27" t="s">
        <v>5797</v>
      </c>
      <c r="D1640" s="27" t="s">
        <v>3225</v>
      </c>
      <c r="E1640" t="s">
        <v>2055</v>
      </c>
      <c r="F1640" t="s">
        <v>104</v>
      </c>
      <c r="G1640" t="s">
        <v>105</v>
      </c>
      <c r="H1640">
        <v>0</v>
      </c>
    </row>
    <row r="1641" spans="1:8">
      <c r="A1641" t="s">
        <v>4691</v>
      </c>
      <c r="B1641" s="24">
        <v>46178</v>
      </c>
      <c r="C1641" s="27" t="s">
        <v>5797</v>
      </c>
      <c r="D1641" s="27" t="s">
        <v>3225</v>
      </c>
      <c r="E1641" t="s">
        <v>2056</v>
      </c>
      <c r="F1641" t="s">
        <v>104</v>
      </c>
      <c r="G1641" t="s">
        <v>105</v>
      </c>
      <c r="H1641">
        <v>0</v>
      </c>
    </row>
    <row r="1642" spans="1:8">
      <c r="A1642" t="s">
        <v>4692</v>
      </c>
      <c r="B1642" s="24">
        <v>46181</v>
      </c>
      <c r="C1642" s="27" t="s">
        <v>5797</v>
      </c>
      <c r="D1642" s="27" t="s">
        <v>3225</v>
      </c>
      <c r="E1642" t="s">
        <v>2057</v>
      </c>
      <c r="F1642" t="s">
        <v>104</v>
      </c>
      <c r="G1642" t="s">
        <v>105</v>
      </c>
      <c r="H1642">
        <v>0</v>
      </c>
    </row>
    <row r="1643" spans="1:8">
      <c r="A1643" t="s">
        <v>4693</v>
      </c>
      <c r="B1643" s="24">
        <v>46182</v>
      </c>
      <c r="C1643" s="27" t="s">
        <v>5797</v>
      </c>
      <c r="D1643" s="27" t="s">
        <v>3225</v>
      </c>
      <c r="E1643" t="s">
        <v>2058</v>
      </c>
      <c r="F1643" t="s">
        <v>104</v>
      </c>
      <c r="G1643" t="s">
        <v>105</v>
      </c>
      <c r="H1643">
        <v>0</v>
      </c>
    </row>
    <row r="1644" spans="1:8">
      <c r="A1644" t="s">
        <v>4694</v>
      </c>
      <c r="B1644" s="24">
        <v>46183</v>
      </c>
      <c r="C1644" s="27" t="s">
        <v>5797</v>
      </c>
      <c r="D1644" s="27" t="s">
        <v>3225</v>
      </c>
      <c r="E1644" t="s">
        <v>2059</v>
      </c>
      <c r="F1644" t="s">
        <v>104</v>
      </c>
      <c r="G1644" t="s">
        <v>105</v>
      </c>
      <c r="H1644">
        <v>0</v>
      </c>
    </row>
    <row r="1645" spans="1:8">
      <c r="A1645" t="s">
        <v>4695</v>
      </c>
      <c r="B1645" s="24">
        <v>46184</v>
      </c>
      <c r="C1645" s="27" t="s">
        <v>5797</v>
      </c>
      <c r="D1645" s="27" t="s">
        <v>3225</v>
      </c>
      <c r="E1645" t="s">
        <v>2060</v>
      </c>
      <c r="F1645" t="s">
        <v>104</v>
      </c>
      <c r="G1645" t="s">
        <v>105</v>
      </c>
      <c r="H1645">
        <v>0</v>
      </c>
    </row>
    <row r="1646" spans="1:8">
      <c r="A1646" t="s">
        <v>4696</v>
      </c>
      <c r="B1646" s="24">
        <v>46185</v>
      </c>
      <c r="C1646" s="27" t="s">
        <v>5797</v>
      </c>
      <c r="D1646" s="27" t="s">
        <v>3225</v>
      </c>
      <c r="E1646" t="s">
        <v>2061</v>
      </c>
      <c r="F1646" t="s">
        <v>104</v>
      </c>
      <c r="G1646" t="s">
        <v>105</v>
      </c>
      <c r="H1646">
        <v>0</v>
      </c>
    </row>
    <row r="1647" spans="1:8">
      <c r="A1647" t="s">
        <v>4697</v>
      </c>
      <c r="B1647" s="24">
        <v>46174</v>
      </c>
      <c r="C1647" s="27" t="s">
        <v>5797</v>
      </c>
      <c r="D1647" s="27" t="s">
        <v>3225</v>
      </c>
      <c r="E1647" t="s">
        <v>2062</v>
      </c>
      <c r="F1647" t="s">
        <v>104</v>
      </c>
      <c r="G1647" t="s">
        <v>105</v>
      </c>
      <c r="H1647">
        <v>0</v>
      </c>
    </row>
    <row r="1648" spans="1:8">
      <c r="A1648" t="s">
        <v>4698</v>
      </c>
      <c r="B1648" s="24">
        <v>46175</v>
      </c>
      <c r="C1648" s="27" t="s">
        <v>5797</v>
      </c>
      <c r="D1648" s="27" t="s">
        <v>3225</v>
      </c>
      <c r="E1648" t="s">
        <v>2063</v>
      </c>
      <c r="F1648" t="s">
        <v>104</v>
      </c>
      <c r="G1648" t="s">
        <v>105</v>
      </c>
      <c r="H1648">
        <v>0</v>
      </c>
    </row>
    <row r="1649" spans="1:8">
      <c r="A1649" t="s">
        <v>4699</v>
      </c>
      <c r="B1649" s="24">
        <v>46176</v>
      </c>
      <c r="C1649" s="27" t="s">
        <v>5797</v>
      </c>
      <c r="D1649" s="27" t="s">
        <v>3225</v>
      </c>
      <c r="E1649" t="s">
        <v>2064</v>
      </c>
      <c r="F1649" t="s">
        <v>104</v>
      </c>
      <c r="G1649" t="s">
        <v>105</v>
      </c>
      <c r="H1649">
        <v>0</v>
      </c>
    </row>
    <row r="1650" spans="1:8">
      <c r="A1650" t="s">
        <v>4700</v>
      </c>
      <c r="B1650" s="24">
        <v>46177</v>
      </c>
      <c r="C1650" s="27" t="s">
        <v>5797</v>
      </c>
      <c r="D1650" s="27" t="s">
        <v>3225</v>
      </c>
      <c r="E1650" t="s">
        <v>2065</v>
      </c>
      <c r="F1650" t="s">
        <v>104</v>
      </c>
      <c r="G1650" t="s">
        <v>105</v>
      </c>
      <c r="H1650">
        <v>0</v>
      </c>
    </row>
    <row r="1651" spans="1:8">
      <c r="A1651" t="s">
        <v>4701</v>
      </c>
      <c r="B1651" s="24">
        <v>46178</v>
      </c>
      <c r="C1651" s="27" t="s">
        <v>5797</v>
      </c>
      <c r="D1651" s="27" t="s">
        <v>3225</v>
      </c>
      <c r="E1651" t="s">
        <v>2066</v>
      </c>
      <c r="F1651" t="s">
        <v>104</v>
      </c>
      <c r="G1651" t="s">
        <v>105</v>
      </c>
      <c r="H1651">
        <v>0</v>
      </c>
    </row>
    <row r="1652" spans="1:8">
      <c r="A1652" t="s">
        <v>4702</v>
      </c>
      <c r="B1652" s="24">
        <v>46181</v>
      </c>
      <c r="C1652" s="27" t="s">
        <v>5797</v>
      </c>
      <c r="D1652" s="27" t="s">
        <v>3225</v>
      </c>
      <c r="E1652" t="s">
        <v>2067</v>
      </c>
      <c r="F1652" t="s">
        <v>104</v>
      </c>
      <c r="G1652" t="s">
        <v>105</v>
      </c>
      <c r="H1652">
        <v>0</v>
      </c>
    </row>
    <row r="1653" spans="1:8">
      <c r="A1653" t="s">
        <v>4703</v>
      </c>
      <c r="B1653" s="24">
        <v>46182</v>
      </c>
      <c r="C1653" s="27" t="s">
        <v>5797</v>
      </c>
      <c r="D1653" s="27" t="s">
        <v>3225</v>
      </c>
      <c r="E1653" t="s">
        <v>2068</v>
      </c>
      <c r="F1653" t="s">
        <v>104</v>
      </c>
      <c r="G1653" t="s">
        <v>105</v>
      </c>
      <c r="H1653">
        <v>0</v>
      </c>
    </row>
    <row r="1654" spans="1:8">
      <c r="A1654" t="s">
        <v>4704</v>
      </c>
      <c r="B1654" s="24">
        <v>46183</v>
      </c>
      <c r="C1654" s="27" t="s">
        <v>5797</v>
      </c>
      <c r="D1654" s="27" t="s">
        <v>3225</v>
      </c>
      <c r="E1654" t="s">
        <v>2069</v>
      </c>
      <c r="F1654" t="s">
        <v>104</v>
      </c>
      <c r="G1654" t="s">
        <v>105</v>
      </c>
      <c r="H1654">
        <v>0</v>
      </c>
    </row>
    <row r="1655" spans="1:8">
      <c r="A1655" t="s">
        <v>4705</v>
      </c>
      <c r="B1655" s="24">
        <v>46184</v>
      </c>
      <c r="C1655" s="27" t="s">
        <v>5797</v>
      </c>
      <c r="D1655" s="27" t="s">
        <v>3225</v>
      </c>
      <c r="E1655" t="s">
        <v>2070</v>
      </c>
      <c r="F1655" t="s">
        <v>104</v>
      </c>
      <c r="G1655" t="s">
        <v>105</v>
      </c>
      <c r="H1655">
        <v>0</v>
      </c>
    </row>
    <row r="1656" spans="1:8">
      <c r="A1656" t="s">
        <v>4706</v>
      </c>
      <c r="B1656" s="24">
        <v>46185</v>
      </c>
      <c r="C1656" s="27" t="s">
        <v>5797</v>
      </c>
      <c r="D1656" s="27" t="s">
        <v>3225</v>
      </c>
      <c r="E1656" t="s">
        <v>2071</v>
      </c>
      <c r="F1656" t="s">
        <v>104</v>
      </c>
      <c r="G1656" t="s">
        <v>105</v>
      </c>
      <c r="H1656">
        <v>0</v>
      </c>
    </row>
    <row r="1657" spans="1:8">
      <c r="A1657" t="s">
        <v>4707</v>
      </c>
      <c r="B1657" s="24">
        <v>46174</v>
      </c>
      <c r="C1657" s="27" t="s">
        <v>5797</v>
      </c>
      <c r="D1657" s="27" t="s">
        <v>3225</v>
      </c>
      <c r="E1657" t="s">
        <v>2072</v>
      </c>
      <c r="F1657" t="s">
        <v>104</v>
      </c>
      <c r="G1657" t="s">
        <v>105</v>
      </c>
      <c r="H1657">
        <v>0</v>
      </c>
    </row>
    <row r="1658" spans="1:8">
      <c r="A1658" t="s">
        <v>4708</v>
      </c>
      <c r="B1658" s="24">
        <v>46175</v>
      </c>
      <c r="C1658" s="27" t="s">
        <v>5797</v>
      </c>
      <c r="D1658" s="27" t="s">
        <v>3225</v>
      </c>
      <c r="E1658" t="s">
        <v>2073</v>
      </c>
      <c r="F1658" t="s">
        <v>104</v>
      </c>
      <c r="G1658" t="s">
        <v>105</v>
      </c>
      <c r="H1658">
        <v>0</v>
      </c>
    </row>
    <row r="1659" spans="1:8">
      <c r="A1659" t="s">
        <v>4709</v>
      </c>
      <c r="B1659" s="24">
        <v>46176</v>
      </c>
      <c r="C1659" s="27" t="s">
        <v>5797</v>
      </c>
      <c r="D1659" s="27" t="s">
        <v>3225</v>
      </c>
      <c r="E1659" t="s">
        <v>2074</v>
      </c>
      <c r="F1659" t="s">
        <v>104</v>
      </c>
      <c r="G1659" t="s">
        <v>105</v>
      </c>
      <c r="H1659">
        <v>0</v>
      </c>
    </row>
    <row r="1660" spans="1:8">
      <c r="A1660" t="s">
        <v>4710</v>
      </c>
      <c r="B1660" s="24">
        <v>46177</v>
      </c>
      <c r="C1660" s="27" t="s">
        <v>5797</v>
      </c>
      <c r="D1660" s="27" t="s">
        <v>3225</v>
      </c>
      <c r="E1660" t="s">
        <v>2075</v>
      </c>
      <c r="F1660" t="s">
        <v>104</v>
      </c>
      <c r="G1660" t="s">
        <v>105</v>
      </c>
      <c r="H1660">
        <v>0</v>
      </c>
    </row>
    <row r="1661" spans="1:8">
      <c r="A1661" t="s">
        <v>4711</v>
      </c>
      <c r="B1661" s="24">
        <v>46178</v>
      </c>
      <c r="C1661" s="27" t="s">
        <v>5797</v>
      </c>
      <c r="D1661" s="27" t="s">
        <v>3225</v>
      </c>
      <c r="E1661" t="s">
        <v>2076</v>
      </c>
      <c r="F1661" t="s">
        <v>104</v>
      </c>
      <c r="G1661" t="s">
        <v>105</v>
      </c>
      <c r="H1661">
        <v>0</v>
      </c>
    </row>
    <row r="1662" spans="1:8">
      <c r="A1662" t="s">
        <v>4712</v>
      </c>
      <c r="B1662" s="24">
        <v>46181</v>
      </c>
      <c r="C1662" s="27" t="s">
        <v>5797</v>
      </c>
      <c r="D1662" s="27" t="s">
        <v>3225</v>
      </c>
      <c r="E1662" t="s">
        <v>2077</v>
      </c>
      <c r="F1662" t="s">
        <v>104</v>
      </c>
      <c r="G1662" t="s">
        <v>105</v>
      </c>
      <c r="H1662">
        <v>0</v>
      </c>
    </row>
    <row r="1663" spans="1:8">
      <c r="A1663" t="s">
        <v>4713</v>
      </c>
      <c r="B1663" s="24">
        <v>46182</v>
      </c>
      <c r="C1663" s="27" t="s">
        <v>5797</v>
      </c>
      <c r="D1663" s="27" t="s">
        <v>3225</v>
      </c>
      <c r="E1663" t="s">
        <v>2078</v>
      </c>
      <c r="F1663" t="s">
        <v>104</v>
      </c>
      <c r="G1663" t="s">
        <v>105</v>
      </c>
      <c r="H1663">
        <v>0</v>
      </c>
    </row>
    <row r="1664" spans="1:8">
      <c r="A1664" t="s">
        <v>4714</v>
      </c>
      <c r="B1664" s="24">
        <v>46183</v>
      </c>
      <c r="C1664" s="27" t="s">
        <v>5797</v>
      </c>
      <c r="D1664" s="27" t="s">
        <v>3225</v>
      </c>
      <c r="E1664" t="s">
        <v>2079</v>
      </c>
      <c r="F1664" t="s">
        <v>104</v>
      </c>
      <c r="G1664" t="s">
        <v>105</v>
      </c>
      <c r="H1664">
        <v>0</v>
      </c>
    </row>
    <row r="1665" spans="1:8">
      <c r="A1665" t="s">
        <v>4715</v>
      </c>
      <c r="B1665" s="24">
        <v>46184</v>
      </c>
      <c r="C1665" s="27" t="s">
        <v>5797</v>
      </c>
      <c r="D1665" s="27" t="s">
        <v>3225</v>
      </c>
      <c r="E1665" t="s">
        <v>2080</v>
      </c>
      <c r="F1665" t="s">
        <v>104</v>
      </c>
      <c r="G1665" t="s">
        <v>105</v>
      </c>
      <c r="H1665">
        <v>0</v>
      </c>
    </row>
    <row r="1666" spans="1:8">
      <c r="A1666" t="s">
        <v>4716</v>
      </c>
      <c r="B1666" s="24">
        <v>46185</v>
      </c>
      <c r="C1666" s="27" t="s">
        <v>5797</v>
      </c>
      <c r="D1666" s="27" t="s">
        <v>3225</v>
      </c>
      <c r="E1666" t="s">
        <v>2081</v>
      </c>
      <c r="F1666" t="s">
        <v>104</v>
      </c>
      <c r="G1666" t="s">
        <v>105</v>
      </c>
      <c r="H1666">
        <v>0</v>
      </c>
    </row>
    <row r="1667" spans="1:8">
      <c r="A1667" t="s">
        <v>4717</v>
      </c>
      <c r="B1667" s="24">
        <v>46174</v>
      </c>
      <c r="C1667" s="27" t="s">
        <v>5797</v>
      </c>
      <c r="D1667" s="27" t="s">
        <v>3225</v>
      </c>
      <c r="E1667" t="s">
        <v>2082</v>
      </c>
      <c r="F1667" t="s">
        <v>104</v>
      </c>
      <c r="G1667" t="s">
        <v>105</v>
      </c>
      <c r="H1667">
        <v>0</v>
      </c>
    </row>
    <row r="1668" spans="1:8">
      <c r="A1668" t="s">
        <v>4718</v>
      </c>
      <c r="B1668" s="24">
        <v>46175</v>
      </c>
      <c r="C1668" s="27" t="s">
        <v>5797</v>
      </c>
      <c r="D1668" s="27" t="s">
        <v>3225</v>
      </c>
      <c r="E1668" t="s">
        <v>2083</v>
      </c>
      <c r="F1668" t="s">
        <v>104</v>
      </c>
      <c r="G1668" t="s">
        <v>105</v>
      </c>
      <c r="H1668">
        <v>0</v>
      </c>
    </row>
    <row r="1669" spans="1:8">
      <c r="A1669" t="s">
        <v>4719</v>
      </c>
      <c r="B1669" s="24">
        <v>46176</v>
      </c>
      <c r="C1669" s="27" t="s">
        <v>5797</v>
      </c>
      <c r="D1669" s="27" t="s">
        <v>3225</v>
      </c>
      <c r="E1669" t="s">
        <v>2084</v>
      </c>
      <c r="F1669" t="s">
        <v>104</v>
      </c>
      <c r="G1669" t="s">
        <v>105</v>
      </c>
      <c r="H1669">
        <v>0</v>
      </c>
    </row>
    <row r="1670" spans="1:8">
      <c r="A1670" t="s">
        <v>4720</v>
      </c>
      <c r="B1670" s="24">
        <v>46177</v>
      </c>
      <c r="C1670" s="27" t="s">
        <v>5797</v>
      </c>
      <c r="D1670" s="27" t="s">
        <v>3225</v>
      </c>
      <c r="E1670" t="s">
        <v>2085</v>
      </c>
      <c r="F1670" t="s">
        <v>104</v>
      </c>
      <c r="G1670" t="s">
        <v>105</v>
      </c>
      <c r="H1670">
        <v>0</v>
      </c>
    </row>
    <row r="1671" spans="1:8">
      <c r="A1671" t="s">
        <v>4721</v>
      </c>
      <c r="B1671" s="24">
        <v>46178</v>
      </c>
      <c r="C1671" s="27" t="s">
        <v>5797</v>
      </c>
      <c r="D1671" s="27" t="s">
        <v>3225</v>
      </c>
      <c r="E1671" t="s">
        <v>2086</v>
      </c>
      <c r="F1671" t="s">
        <v>104</v>
      </c>
      <c r="G1671" t="s">
        <v>105</v>
      </c>
      <c r="H1671">
        <v>0</v>
      </c>
    </row>
    <row r="1672" spans="1:8">
      <c r="A1672" t="s">
        <v>4722</v>
      </c>
      <c r="B1672" s="24">
        <v>46181</v>
      </c>
      <c r="C1672" s="27" t="s">
        <v>5797</v>
      </c>
      <c r="D1672" s="27" t="s">
        <v>3225</v>
      </c>
      <c r="E1672" t="s">
        <v>2087</v>
      </c>
      <c r="F1672" t="s">
        <v>104</v>
      </c>
      <c r="G1672" t="s">
        <v>105</v>
      </c>
      <c r="H1672">
        <v>0</v>
      </c>
    </row>
    <row r="1673" spans="1:8">
      <c r="A1673" t="s">
        <v>4723</v>
      </c>
      <c r="B1673" s="24">
        <v>46182</v>
      </c>
      <c r="C1673" s="27" t="s">
        <v>5797</v>
      </c>
      <c r="D1673" s="27" t="s">
        <v>3225</v>
      </c>
      <c r="E1673" t="s">
        <v>2088</v>
      </c>
      <c r="F1673" t="s">
        <v>104</v>
      </c>
      <c r="G1673" t="s">
        <v>105</v>
      </c>
      <c r="H1673">
        <v>0</v>
      </c>
    </row>
    <row r="1674" spans="1:8">
      <c r="A1674" t="s">
        <v>4724</v>
      </c>
      <c r="B1674" s="24">
        <v>46183</v>
      </c>
      <c r="C1674" s="27" t="s">
        <v>5797</v>
      </c>
      <c r="D1674" s="27" t="s">
        <v>3225</v>
      </c>
      <c r="E1674" t="s">
        <v>2089</v>
      </c>
      <c r="F1674" t="s">
        <v>104</v>
      </c>
      <c r="G1674" t="s">
        <v>105</v>
      </c>
      <c r="H1674">
        <v>0</v>
      </c>
    </row>
    <row r="1675" spans="1:8">
      <c r="A1675" t="s">
        <v>4725</v>
      </c>
      <c r="B1675" s="24">
        <v>46184</v>
      </c>
      <c r="C1675" s="27" t="s">
        <v>5797</v>
      </c>
      <c r="D1675" s="27" t="s">
        <v>3225</v>
      </c>
      <c r="E1675" t="s">
        <v>2090</v>
      </c>
      <c r="F1675" t="s">
        <v>104</v>
      </c>
      <c r="G1675" t="s">
        <v>105</v>
      </c>
      <c r="H1675">
        <v>0</v>
      </c>
    </row>
    <row r="1676" spans="1:8">
      <c r="A1676" t="s">
        <v>4726</v>
      </c>
      <c r="B1676" s="24">
        <v>46185</v>
      </c>
      <c r="C1676" s="27" t="s">
        <v>5797</v>
      </c>
      <c r="D1676" s="27" t="s">
        <v>3225</v>
      </c>
      <c r="E1676" t="s">
        <v>2091</v>
      </c>
      <c r="F1676" t="s">
        <v>104</v>
      </c>
      <c r="G1676" t="s">
        <v>105</v>
      </c>
      <c r="H1676">
        <v>0</v>
      </c>
    </row>
    <row r="1677" spans="1:8">
      <c r="A1677" t="s">
        <v>4727</v>
      </c>
      <c r="B1677" s="24">
        <v>46174</v>
      </c>
      <c r="C1677" s="27" t="s">
        <v>5797</v>
      </c>
      <c r="D1677" s="27" t="s">
        <v>3225</v>
      </c>
      <c r="E1677" t="s">
        <v>2092</v>
      </c>
      <c r="F1677" t="s">
        <v>104</v>
      </c>
      <c r="G1677" t="s">
        <v>105</v>
      </c>
      <c r="H1677">
        <v>0</v>
      </c>
    </row>
    <row r="1678" spans="1:8">
      <c r="A1678" t="s">
        <v>4728</v>
      </c>
      <c r="B1678" s="24">
        <v>46175</v>
      </c>
      <c r="C1678" s="27" t="s">
        <v>5797</v>
      </c>
      <c r="D1678" s="27" t="s">
        <v>3225</v>
      </c>
      <c r="E1678" t="s">
        <v>2093</v>
      </c>
      <c r="F1678" t="s">
        <v>104</v>
      </c>
      <c r="G1678" t="s">
        <v>105</v>
      </c>
      <c r="H1678">
        <v>0</v>
      </c>
    </row>
    <row r="1679" spans="1:8">
      <c r="A1679" t="s">
        <v>4729</v>
      </c>
      <c r="B1679" s="24">
        <v>46176</v>
      </c>
      <c r="C1679" s="27" t="s">
        <v>5797</v>
      </c>
      <c r="D1679" s="27" t="s">
        <v>3225</v>
      </c>
      <c r="E1679" t="s">
        <v>2094</v>
      </c>
      <c r="F1679" t="s">
        <v>104</v>
      </c>
      <c r="G1679" t="s">
        <v>105</v>
      </c>
      <c r="H1679">
        <v>0</v>
      </c>
    </row>
    <row r="1680" spans="1:8">
      <c r="A1680" t="s">
        <v>4730</v>
      </c>
      <c r="B1680" s="24">
        <v>46177</v>
      </c>
      <c r="C1680" s="27" t="s">
        <v>5797</v>
      </c>
      <c r="D1680" s="27" t="s">
        <v>3225</v>
      </c>
      <c r="E1680" t="s">
        <v>2095</v>
      </c>
      <c r="F1680" t="s">
        <v>104</v>
      </c>
      <c r="G1680" t="s">
        <v>105</v>
      </c>
      <c r="H1680">
        <v>0</v>
      </c>
    </row>
    <row r="1681" spans="1:8">
      <c r="A1681" t="s">
        <v>4731</v>
      </c>
      <c r="B1681" s="24">
        <v>46178</v>
      </c>
      <c r="C1681" s="27" t="s">
        <v>5797</v>
      </c>
      <c r="D1681" s="27" t="s">
        <v>3225</v>
      </c>
      <c r="E1681" t="s">
        <v>2096</v>
      </c>
      <c r="F1681" t="s">
        <v>104</v>
      </c>
      <c r="G1681" t="s">
        <v>105</v>
      </c>
      <c r="H1681">
        <v>0</v>
      </c>
    </row>
    <row r="1682" spans="1:8">
      <c r="A1682" t="s">
        <v>4732</v>
      </c>
      <c r="B1682" s="24">
        <v>46181</v>
      </c>
      <c r="C1682" s="27" t="s">
        <v>5797</v>
      </c>
      <c r="D1682" s="27" t="s">
        <v>3225</v>
      </c>
      <c r="E1682" t="s">
        <v>2097</v>
      </c>
      <c r="F1682" t="s">
        <v>104</v>
      </c>
      <c r="G1682" t="s">
        <v>105</v>
      </c>
      <c r="H1682">
        <v>0</v>
      </c>
    </row>
    <row r="1683" spans="1:8">
      <c r="A1683" t="s">
        <v>4733</v>
      </c>
      <c r="B1683" s="24">
        <v>46182</v>
      </c>
      <c r="C1683" s="27" t="s">
        <v>5797</v>
      </c>
      <c r="D1683" s="27" t="s">
        <v>3225</v>
      </c>
      <c r="E1683" t="s">
        <v>2098</v>
      </c>
      <c r="F1683" t="s">
        <v>104</v>
      </c>
      <c r="G1683" t="s">
        <v>105</v>
      </c>
      <c r="H1683">
        <v>0</v>
      </c>
    </row>
    <row r="1684" spans="1:8">
      <c r="A1684" t="s">
        <v>4734</v>
      </c>
      <c r="B1684" s="24">
        <v>46183</v>
      </c>
      <c r="C1684" s="27" t="s">
        <v>5797</v>
      </c>
      <c r="D1684" s="27" t="s">
        <v>3225</v>
      </c>
      <c r="E1684" t="s">
        <v>2099</v>
      </c>
      <c r="F1684" t="s">
        <v>104</v>
      </c>
      <c r="G1684" t="s">
        <v>105</v>
      </c>
      <c r="H1684">
        <v>0</v>
      </c>
    </row>
    <row r="1685" spans="1:8">
      <c r="A1685" t="s">
        <v>4735</v>
      </c>
      <c r="B1685" s="24">
        <v>46184</v>
      </c>
      <c r="C1685" s="27" t="s">
        <v>5797</v>
      </c>
      <c r="D1685" s="27" t="s">
        <v>3225</v>
      </c>
      <c r="E1685" t="s">
        <v>2100</v>
      </c>
      <c r="F1685" t="s">
        <v>104</v>
      </c>
      <c r="G1685" t="s">
        <v>105</v>
      </c>
      <c r="H1685">
        <v>0</v>
      </c>
    </row>
    <row r="1686" spans="1:8">
      <c r="A1686" t="s">
        <v>4736</v>
      </c>
      <c r="B1686" s="24">
        <v>46185</v>
      </c>
      <c r="C1686" s="27" t="s">
        <v>5797</v>
      </c>
      <c r="D1686" s="27" t="s">
        <v>3225</v>
      </c>
      <c r="E1686" t="s">
        <v>2101</v>
      </c>
      <c r="F1686" t="s">
        <v>104</v>
      </c>
      <c r="G1686" t="s">
        <v>105</v>
      </c>
      <c r="H1686">
        <v>0</v>
      </c>
    </row>
    <row r="1687" spans="1:8">
      <c r="A1687" t="s">
        <v>4737</v>
      </c>
      <c r="B1687" s="24">
        <v>46174</v>
      </c>
      <c r="C1687" s="27" t="s">
        <v>5797</v>
      </c>
      <c r="D1687" s="27" t="s">
        <v>3225</v>
      </c>
      <c r="E1687" t="s">
        <v>2102</v>
      </c>
      <c r="F1687" t="s">
        <v>104</v>
      </c>
      <c r="G1687" t="s">
        <v>105</v>
      </c>
      <c r="H1687">
        <v>0</v>
      </c>
    </row>
    <row r="1688" spans="1:8">
      <c r="A1688" t="s">
        <v>4738</v>
      </c>
      <c r="B1688" s="24">
        <v>46175</v>
      </c>
      <c r="C1688" s="27" t="s">
        <v>5797</v>
      </c>
      <c r="D1688" s="27" t="s">
        <v>3225</v>
      </c>
      <c r="E1688" t="s">
        <v>2103</v>
      </c>
      <c r="F1688" t="s">
        <v>104</v>
      </c>
      <c r="G1688" t="s">
        <v>105</v>
      </c>
      <c r="H1688">
        <v>0</v>
      </c>
    </row>
    <row r="1689" spans="1:8">
      <c r="A1689" t="s">
        <v>4739</v>
      </c>
      <c r="B1689" s="24">
        <v>46176</v>
      </c>
      <c r="C1689" s="27" t="s">
        <v>5797</v>
      </c>
      <c r="D1689" s="27" t="s">
        <v>3225</v>
      </c>
      <c r="E1689" t="s">
        <v>2104</v>
      </c>
      <c r="F1689" t="s">
        <v>104</v>
      </c>
      <c r="G1689" t="s">
        <v>105</v>
      </c>
      <c r="H1689">
        <v>0</v>
      </c>
    </row>
    <row r="1690" spans="1:8">
      <c r="A1690" t="s">
        <v>4740</v>
      </c>
      <c r="B1690" s="24">
        <v>46177</v>
      </c>
      <c r="C1690" s="27" t="s">
        <v>5797</v>
      </c>
      <c r="D1690" s="27" t="s">
        <v>3225</v>
      </c>
      <c r="E1690" t="s">
        <v>2105</v>
      </c>
      <c r="F1690" t="s">
        <v>104</v>
      </c>
      <c r="G1690" t="s">
        <v>105</v>
      </c>
      <c r="H1690">
        <v>0</v>
      </c>
    </row>
    <row r="1691" spans="1:8">
      <c r="A1691" t="s">
        <v>4741</v>
      </c>
      <c r="B1691" s="24">
        <v>46178</v>
      </c>
      <c r="C1691" s="27" t="s">
        <v>5797</v>
      </c>
      <c r="D1691" s="27" t="s">
        <v>3225</v>
      </c>
      <c r="E1691" t="s">
        <v>2106</v>
      </c>
      <c r="F1691" t="s">
        <v>104</v>
      </c>
      <c r="G1691" t="s">
        <v>105</v>
      </c>
      <c r="H1691">
        <v>0</v>
      </c>
    </row>
    <row r="1692" spans="1:8">
      <c r="A1692" t="s">
        <v>4742</v>
      </c>
      <c r="B1692" s="24">
        <v>46181</v>
      </c>
      <c r="C1692" s="27" t="s">
        <v>5797</v>
      </c>
      <c r="D1692" s="27" t="s">
        <v>3225</v>
      </c>
      <c r="E1692" t="s">
        <v>2107</v>
      </c>
      <c r="F1692" t="s">
        <v>104</v>
      </c>
      <c r="G1692" t="s">
        <v>105</v>
      </c>
      <c r="H1692">
        <v>0</v>
      </c>
    </row>
    <row r="1693" spans="1:8">
      <c r="A1693" t="s">
        <v>4743</v>
      </c>
      <c r="B1693" s="24">
        <v>46182</v>
      </c>
      <c r="C1693" s="27" t="s">
        <v>5797</v>
      </c>
      <c r="D1693" s="27" t="s">
        <v>3225</v>
      </c>
      <c r="E1693" t="s">
        <v>2108</v>
      </c>
      <c r="F1693" t="s">
        <v>104</v>
      </c>
      <c r="G1693" t="s">
        <v>105</v>
      </c>
      <c r="H1693">
        <v>0</v>
      </c>
    </row>
    <row r="1694" spans="1:8">
      <c r="A1694" t="s">
        <v>4744</v>
      </c>
      <c r="B1694" s="24">
        <v>46183</v>
      </c>
      <c r="C1694" s="27" t="s">
        <v>5797</v>
      </c>
      <c r="D1694" s="27" t="s">
        <v>3225</v>
      </c>
      <c r="E1694" t="s">
        <v>2109</v>
      </c>
      <c r="F1694" t="s">
        <v>104</v>
      </c>
      <c r="G1694" t="s">
        <v>105</v>
      </c>
      <c r="H1694">
        <v>0</v>
      </c>
    </row>
    <row r="1695" spans="1:8">
      <c r="A1695" t="s">
        <v>4745</v>
      </c>
      <c r="B1695" s="24">
        <v>46184</v>
      </c>
      <c r="C1695" s="27" t="s">
        <v>5797</v>
      </c>
      <c r="D1695" s="27" t="s">
        <v>3225</v>
      </c>
      <c r="E1695" t="s">
        <v>2110</v>
      </c>
      <c r="F1695" t="s">
        <v>104</v>
      </c>
      <c r="G1695" t="s">
        <v>105</v>
      </c>
      <c r="H1695">
        <v>0</v>
      </c>
    </row>
    <row r="1696" spans="1:8">
      <c r="A1696" t="s">
        <v>4746</v>
      </c>
      <c r="B1696" s="24">
        <v>46185</v>
      </c>
      <c r="C1696" s="27" t="s">
        <v>5797</v>
      </c>
      <c r="D1696" s="27" t="s">
        <v>3225</v>
      </c>
      <c r="E1696" t="s">
        <v>2111</v>
      </c>
      <c r="F1696" t="s">
        <v>104</v>
      </c>
      <c r="G1696" t="s">
        <v>105</v>
      </c>
      <c r="H1696">
        <v>0</v>
      </c>
    </row>
    <row r="1697" spans="1:8">
      <c r="A1697" t="s">
        <v>4747</v>
      </c>
      <c r="B1697" s="24">
        <v>46174</v>
      </c>
      <c r="C1697" s="27" t="s">
        <v>5797</v>
      </c>
      <c r="D1697" s="27" t="s">
        <v>3225</v>
      </c>
      <c r="E1697" t="s">
        <v>2112</v>
      </c>
      <c r="F1697" t="s">
        <v>104</v>
      </c>
      <c r="G1697" t="s">
        <v>105</v>
      </c>
      <c r="H1697">
        <v>0</v>
      </c>
    </row>
    <row r="1698" spans="1:8">
      <c r="A1698" t="s">
        <v>4748</v>
      </c>
      <c r="B1698" s="24">
        <v>46175</v>
      </c>
      <c r="C1698" s="27" t="s">
        <v>5797</v>
      </c>
      <c r="D1698" s="27" t="s">
        <v>3225</v>
      </c>
      <c r="E1698" t="s">
        <v>2113</v>
      </c>
      <c r="F1698" t="s">
        <v>104</v>
      </c>
      <c r="G1698" t="s">
        <v>105</v>
      </c>
      <c r="H1698">
        <v>0</v>
      </c>
    </row>
    <row r="1699" spans="1:8">
      <c r="A1699" t="s">
        <v>4749</v>
      </c>
      <c r="B1699" s="24">
        <v>46176</v>
      </c>
      <c r="C1699" s="27" t="s">
        <v>5797</v>
      </c>
      <c r="D1699" s="27" t="s">
        <v>3225</v>
      </c>
      <c r="E1699" t="s">
        <v>2114</v>
      </c>
      <c r="F1699" t="s">
        <v>104</v>
      </c>
      <c r="G1699" t="s">
        <v>105</v>
      </c>
      <c r="H1699">
        <v>0</v>
      </c>
    </row>
    <row r="1700" spans="1:8">
      <c r="A1700" t="s">
        <v>4750</v>
      </c>
      <c r="B1700" s="24">
        <v>46177</v>
      </c>
      <c r="C1700" s="27" t="s">
        <v>5797</v>
      </c>
      <c r="D1700" s="27" t="s">
        <v>3225</v>
      </c>
      <c r="E1700" t="s">
        <v>2115</v>
      </c>
      <c r="F1700" t="s">
        <v>104</v>
      </c>
      <c r="G1700" t="s">
        <v>105</v>
      </c>
      <c r="H1700">
        <v>0</v>
      </c>
    </row>
    <row r="1701" spans="1:8">
      <c r="A1701" t="s">
        <v>4751</v>
      </c>
      <c r="B1701" s="24">
        <v>46178</v>
      </c>
      <c r="C1701" s="27" t="s">
        <v>5797</v>
      </c>
      <c r="D1701" s="27" t="s">
        <v>3225</v>
      </c>
      <c r="E1701" t="s">
        <v>2116</v>
      </c>
      <c r="F1701" t="s">
        <v>104</v>
      </c>
      <c r="G1701" t="s">
        <v>105</v>
      </c>
      <c r="H1701">
        <v>0</v>
      </c>
    </row>
    <row r="1702" spans="1:8">
      <c r="A1702" t="s">
        <v>4752</v>
      </c>
      <c r="B1702" s="24">
        <v>46181</v>
      </c>
      <c r="C1702" s="27" t="s">
        <v>5797</v>
      </c>
      <c r="D1702" s="27" t="s">
        <v>3225</v>
      </c>
      <c r="E1702" t="s">
        <v>2117</v>
      </c>
      <c r="F1702" t="s">
        <v>104</v>
      </c>
      <c r="G1702" t="s">
        <v>105</v>
      </c>
      <c r="H1702">
        <v>0</v>
      </c>
    </row>
    <row r="1703" spans="1:8">
      <c r="A1703" t="s">
        <v>4753</v>
      </c>
      <c r="B1703" s="24">
        <v>46182</v>
      </c>
      <c r="C1703" s="27" t="s">
        <v>5797</v>
      </c>
      <c r="D1703" s="27" t="s">
        <v>3225</v>
      </c>
      <c r="E1703" t="s">
        <v>2118</v>
      </c>
      <c r="F1703" t="s">
        <v>104</v>
      </c>
      <c r="G1703" t="s">
        <v>105</v>
      </c>
      <c r="H1703">
        <v>0</v>
      </c>
    </row>
    <row r="1704" spans="1:8">
      <c r="A1704" t="s">
        <v>4754</v>
      </c>
      <c r="B1704" s="24">
        <v>46183</v>
      </c>
      <c r="C1704" s="27" t="s">
        <v>5797</v>
      </c>
      <c r="D1704" s="27" t="s">
        <v>3225</v>
      </c>
      <c r="E1704" t="s">
        <v>2119</v>
      </c>
      <c r="F1704" t="s">
        <v>104</v>
      </c>
      <c r="G1704" t="s">
        <v>105</v>
      </c>
      <c r="H1704">
        <v>0</v>
      </c>
    </row>
    <row r="1705" spans="1:8">
      <c r="A1705" t="s">
        <v>4755</v>
      </c>
      <c r="B1705" s="24">
        <v>46184</v>
      </c>
      <c r="C1705" s="27" t="s">
        <v>5797</v>
      </c>
      <c r="D1705" s="27" t="s">
        <v>3225</v>
      </c>
      <c r="E1705" t="s">
        <v>2120</v>
      </c>
      <c r="F1705" t="s">
        <v>104</v>
      </c>
      <c r="G1705" t="s">
        <v>105</v>
      </c>
      <c r="H1705">
        <v>0</v>
      </c>
    </row>
    <row r="1706" spans="1:8">
      <c r="A1706" t="s">
        <v>4756</v>
      </c>
      <c r="B1706" s="24">
        <v>46185</v>
      </c>
      <c r="C1706" s="27" t="s">
        <v>5797</v>
      </c>
      <c r="D1706" s="27" t="s">
        <v>3225</v>
      </c>
      <c r="E1706" t="s">
        <v>2121</v>
      </c>
      <c r="F1706" t="s">
        <v>104</v>
      </c>
      <c r="G1706" t="s">
        <v>105</v>
      </c>
      <c r="H1706">
        <v>0</v>
      </c>
    </row>
    <row r="1707" spans="1:8">
      <c r="A1707" t="s">
        <v>4757</v>
      </c>
      <c r="B1707" s="24">
        <v>46174</v>
      </c>
      <c r="C1707" s="27" t="s">
        <v>5797</v>
      </c>
      <c r="D1707" s="27" t="s">
        <v>3225</v>
      </c>
      <c r="E1707" t="s">
        <v>2122</v>
      </c>
      <c r="F1707" t="s">
        <v>104</v>
      </c>
      <c r="G1707" t="s">
        <v>105</v>
      </c>
      <c r="H1707">
        <v>0</v>
      </c>
    </row>
    <row r="1708" spans="1:8">
      <c r="A1708" t="s">
        <v>4758</v>
      </c>
      <c r="B1708" s="24">
        <v>46175</v>
      </c>
      <c r="C1708" s="27" t="s">
        <v>5797</v>
      </c>
      <c r="D1708" s="27" t="s">
        <v>3225</v>
      </c>
      <c r="E1708" t="s">
        <v>2123</v>
      </c>
      <c r="F1708" t="s">
        <v>104</v>
      </c>
      <c r="G1708" t="s">
        <v>105</v>
      </c>
      <c r="H1708">
        <v>0</v>
      </c>
    </row>
    <row r="1709" spans="1:8">
      <c r="A1709" t="s">
        <v>4759</v>
      </c>
      <c r="B1709" s="24">
        <v>46176</v>
      </c>
      <c r="C1709" s="27" t="s">
        <v>5797</v>
      </c>
      <c r="D1709" s="27" t="s">
        <v>3225</v>
      </c>
      <c r="E1709" t="s">
        <v>2124</v>
      </c>
      <c r="F1709" t="s">
        <v>104</v>
      </c>
      <c r="G1709" t="s">
        <v>105</v>
      </c>
      <c r="H1709">
        <v>0</v>
      </c>
    </row>
    <row r="1710" spans="1:8">
      <c r="A1710" t="s">
        <v>4760</v>
      </c>
      <c r="B1710" s="24">
        <v>46177</v>
      </c>
      <c r="C1710" s="27" t="s">
        <v>5797</v>
      </c>
      <c r="D1710" s="27" t="s">
        <v>3225</v>
      </c>
      <c r="E1710" t="s">
        <v>2125</v>
      </c>
      <c r="F1710" t="s">
        <v>104</v>
      </c>
      <c r="G1710" t="s">
        <v>105</v>
      </c>
      <c r="H1710">
        <v>0</v>
      </c>
    </row>
    <row r="1711" spans="1:8">
      <c r="A1711" t="s">
        <v>4761</v>
      </c>
      <c r="B1711" s="24">
        <v>46178</v>
      </c>
      <c r="C1711" s="27" t="s">
        <v>5797</v>
      </c>
      <c r="D1711" s="27" t="s">
        <v>3225</v>
      </c>
      <c r="E1711" t="s">
        <v>2126</v>
      </c>
      <c r="F1711" t="s">
        <v>104</v>
      </c>
      <c r="G1711" t="s">
        <v>105</v>
      </c>
      <c r="H1711">
        <v>0</v>
      </c>
    </row>
    <row r="1712" spans="1:8">
      <c r="A1712" t="s">
        <v>4762</v>
      </c>
      <c r="B1712" s="24">
        <v>46181</v>
      </c>
      <c r="C1712" s="27" t="s">
        <v>5797</v>
      </c>
      <c r="D1712" s="27" t="s">
        <v>3225</v>
      </c>
      <c r="E1712" t="s">
        <v>2127</v>
      </c>
      <c r="F1712" t="s">
        <v>104</v>
      </c>
      <c r="H1712" t="s">
        <v>5762</v>
      </c>
    </row>
    <row r="1713" spans="1:8">
      <c r="A1713" t="s">
        <v>4763</v>
      </c>
      <c r="B1713" s="24">
        <v>46182</v>
      </c>
      <c r="C1713" s="27" t="s">
        <v>5797</v>
      </c>
      <c r="D1713" s="27" t="s">
        <v>3225</v>
      </c>
      <c r="E1713" t="s">
        <v>2128</v>
      </c>
      <c r="F1713" t="s">
        <v>104</v>
      </c>
      <c r="H1713" t="s">
        <v>5762</v>
      </c>
    </row>
    <row r="1714" spans="1:8">
      <c r="A1714" t="s">
        <v>4764</v>
      </c>
      <c r="B1714" s="24">
        <v>46183</v>
      </c>
      <c r="C1714" s="27" t="s">
        <v>5797</v>
      </c>
      <c r="D1714" s="27" t="s">
        <v>3225</v>
      </c>
      <c r="E1714" t="s">
        <v>2129</v>
      </c>
      <c r="F1714" t="s">
        <v>104</v>
      </c>
      <c r="H1714" t="s">
        <v>5762</v>
      </c>
    </row>
    <row r="1715" spans="1:8">
      <c r="A1715" t="s">
        <v>4765</v>
      </c>
      <c r="B1715" s="24">
        <v>46184</v>
      </c>
      <c r="C1715" s="27" t="s">
        <v>5797</v>
      </c>
      <c r="D1715" s="27" t="s">
        <v>3225</v>
      </c>
      <c r="E1715" t="s">
        <v>2130</v>
      </c>
      <c r="F1715" t="s">
        <v>104</v>
      </c>
      <c r="H1715" t="s">
        <v>5762</v>
      </c>
    </row>
    <row r="1716" spans="1:8">
      <c r="A1716" t="s">
        <v>4766</v>
      </c>
      <c r="B1716" s="24">
        <v>46185</v>
      </c>
      <c r="C1716" s="27" t="s">
        <v>5797</v>
      </c>
      <c r="D1716" s="27" t="s">
        <v>3225</v>
      </c>
      <c r="E1716" t="s">
        <v>2131</v>
      </c>
      <c r="F1716" t="s">
        <v>104</v>
      </c>
      <c r="H1716" t="s">
        <v>5762</v>
      </c>
    </row>
    <row r="1717" spans="1:8">
      <c r="A1717" t="s">
        <v>4767</v>
      </c>
      <c r="B1717" s="24">
        <v>46174</v>
      </c>
      <c r="C1717" s="27" t="s">
        <v>5797</v>
      </c>
      <c r="D1717" s="27" t="s">
        <v>3225</v>
      </c>
      <c r="E1717" t="s">
        <v>2132</v>
      </c>
      <c r="F1717" t="s">
        <v>104</v>
      </c>
      <c r="H1717" t="s">
        <v>5762</v>
      </c>
    </row>
    <row r="1718" spans="1:8">
      <c r="A1718" t="s">
        <v>4768</v>
      </c>
      <c r="B1718" s="24">
        <v>46175</v>
      </c>
      <c r="C1718" s="27" t="s">
        <v>5797</v>
      </c>
      <c r="D1718" s="27" t="s">
        <v>3225</v>
      </c>
      <c r="E1718" t="s">
        <v>2133</v>
      </c>
      <c r="F1718" t="s">
        <v>104</v>
      </c>
      <c r="H1718" t="s">
        <v>5762</v>
      </c>
    </row>
    <row r="1719" spans="1:8">
      <c r="A1719" t="s">
        <v>4769</v>
      </c>
      <c r="B1719" s="24">
        <v>46176</v>
      </c>
      <c r="C1719" s="27" t="s">
        <v>5797</v>
      </c>
      <c r="D1719" s="27" t="s">
        <v>3225</v>
      </c>
      <c r="E1719" t="s">
        <v>2134</v>
      </c>
      <c r="F1719" t="s">
        <v>104</v>
      </c>
      <c r="H1719" t="s">
        <v>5762</v>
      </c>
    </row>
    <row r="1720" spans="1:8">
      <c r="A1720" t="s">
        <v>4770</v>
      </c>
      <c r="B1720" s="24">
        <v>46177</v>
      </c>
      <c r="C1720" s="27" t="s">
        <v>5797</v>
      </c>
      <c r="D1720" s="27" t="s">
        <v>3225</v>
      </c>
      <c r="E1720" t="s">
        <v>2135</v>
      </c>
      <c r="F1720" t="s">
        <v>104</v>
      </c>
      <c r="H1720" t="s">
        <v>5762</v>
      </c>
    </row>
    <row r="1721" spans="1:8">
      <c r="A1721" t="s">
        <v>4771</v>
      </c>
      <c r="B1721" s="24">
        <v>46178</v>
      </c>
      <c r="C1721" s="27" t="s">
        <v>5797</v>
      </c>
      <c r="D1721" s="27" t="s">
        <v>3225</v>
      </c>
      <c r="E1721" t="s">
        <v>2136</v>
      </c>
      <c r="F1721" t="s">
        <v>104</v>
      </c>
      <c r="H1721" t="s">
        <v>5762</v>
      </c>
    </row>
    <row r="1722" spans="1:8">
      <c r="A1722" t="s">
        <v>4772</v>
      </c>
      <c r="B1722" s="24">
        <v>46181</v>
      </c>
      <c r="C1722" s="27" t="s">
        <v>5797</v>
      </c>
      <c r="D1722" s="27" t="s">
        <v>3225</v>
      </c>
      <c r="E1722" t="s">
        <v>2137</v>
      </c>
      <c r="F1722" t="s">
        <v>104</v>
      </c>
      <c r="H1722" t="s">
        <v>5762</v>
      </c>
    </row>
    <row r="1723" spans="1:8">
      <c r="A1723" t="s">
        <v>4773</v>
      </c>
      <c r="B1723" s="24">
        <v>46182</v>
      </c>
      <c r="C1723" s="27" t="s">
        <v>5797</v>
      </c>
      <c r="D1723" s="27" t="s">
        <v>3225</v>
      </c>
      <c r="E1723" t="s">
        <v>2138</v>
      </c>
      <c r="F1723" t="s">
        <v>104</v>
      </c>
      <c r="H1723" t="s">
        <v>5762</v>
      </c>
    </row>
    <row r="1724" spans="1:8">
      <c r="A1724" t="s">
        <v>4774</v>
      </c>
      <c r="B1724" s="24">
        <v>46183</v>
      </c>
      <c r="C1724" s="27" t="s">
        <v>5797</v>
      </c>
      <c r="D1724" s="27" t="s">
        <v>3225</v>
      </c>
      <c r="E1724" t="s">
        <v>2139</v>
      </c>
      <c r="F1724" t="s">
        <v>104</v>
      </c>
      <c r="H1724" t="s">
        <v>5762</v>
      </c>
    </row>
    <row r="1725" spans="1:8">
      <c r="A1725" t="s">
        <v>4775</v>
      </c>
      <c r="B1725" s="24">
        <v>46184</v>
      </c>
      <c r="C1725" s="27" t="s">
        <v>5797</v>
      </c>
      <c r="D1725" s="27" t="s">
        <v>3225</v>
      </c>
      <c r="E1725" t="s">
        <v>2140</v>
      </c>
      <c r="F1725" t="s">
        <v>104</v>
      </c>
      <c r="H1725" t="s">
        <v>5762</v>
      </c>
    </row>
    <row r="1726" spans="1:8">
      <c r="A1726" t="s">
        <v>4776</v>
      </c>
      <c r="B1726" s="24">
        <v>46185</v>
      </c>
      <c r="C1726" s="27" t="s">
        <v>5797</v>
      </c>
      <c r="D1726" s="27" t="s">
        <v>3225</v>
      </c>
      <c r="E1726" t="s">
        <v>2141</v>
      </c>
      <c r="F1726" t="s">
        <v>104</v>
      </c>
      <c r="H1726" t="s">
        <v>5762</v>
      </c>
    </row>
    <row r="1727" spans="1:8">
      <c r="A1727" t="s">
        <v>4777</v>
      </c>
      <c r="B1727" s="24">
        <v>46174</v>
      </c>
      <c r="C1727" s="27" t="s">
        <v>5797</v>
      </c>
      <c r="D1727" s="27" t="s">
        <v>3225</v>
      </c>
      <c r="E1727" t="s">
        <v>2142</v>
      </c>
      <c r="F1727" t="s">
        <v>104</v>
      </c>
      <c r="H1727" t="s">
        <v>5762</v>
      </c>
    </row>
    <row r="1728" spans="1:8">
      <c r="A1728" t="s">
        <v>4778</v>
      </c>
      <c r="B1728" s="24">
        <v>46175</v>
      </c>
      <c r="C1728" s="27" t="s">
        <v>5797</v>
      </c>
      <c r="D1728" s="27" t="s">
        <v>3225</v>
      </c>
      <c r="E1728" t="s">
        <v>2143</v>
      </c>
      <c r="F1728" t="s">
        <v>104</v>
      </c>
      <c r="H1728" t="s">
        <v>5762</v>
      </c>
    </row>
    <row r="1729" spans="1:8">
      <c r="A1729" t="s">
        <v>4779</v>
      </c>
      <c r="B1729" s="24">
        <v>46176</v>
      </c>
      <c r="C1729" s="27" t="s">
        <v>5797</v>
      </c>
      <c r="D1729" s="27" t="s">
        <v>3225</v>
      </c>
      <c r="E1729" t="s">
        <v>2144</v>
      </c>
      <c r="F1729" t="s">
        <v>104</v>
      </c>
      <c r="H1729" t="s">
        <v>5762</v>
      </c>
    </row>
    <row r="1730" spans="1:8">
      <c r="A1730" t="s">
        <v>4780</v>
      </c>
      <c r="B1730" s="24">
        <v>46177</v>
      </c>
      <c r="C1730" s="27" t="s">
        <v>5797</v>
      </c>
      <c r="D1730" s="27" t="s">
        <v>3225</v>
      </c>
      <c r="E1730" t="s">
        <v>2145</v>
      </c>
      <c r="F1730" t="s">
        <v>104</v>
      </c>
      <c r="H1730" t="s">
        <v>5762</v>
      </c>
    </row>
    <row r="1731" spans="1:8">
      <c r="A1731" t="s">
        <v>4781</v>
      </c>
      <c r="B1731" s="24">
        <v>46178</v>
      </c>
      <c r="C1731" s="27" t="s">
        <v>5797</v>
      </c>
      <c r="D1731" s="27" t="s">
        <v>3225</v>
      </c>
      <c r="E1731" t="s">
        <v>2146</v>
      </c>
      <c r="F1731" t="s">
        <v>104</v>
      </c>
      <c r="H1731" t="s">
        <v>5762</v>
      </c>
    </row>
    <row r="1732" spans="1:8">
      <c r="A1732" t="s">
        <v>4782</v>
      </c>
      <c r="B1732" s="24">
        <v>46181</v>
      </c>
      <c r="C1732" s="27" t="s">
        <v>5797</v>
      </c>
      <c r="D1732" s="27" t="s">
        <v>3225</v>
      </c>
      <c r="E1732" t="s">
        <v>2147</v>
      </c>
      <c r="F1732" t="s">
        <v>104</v>
      </c>
      <c r="H1732" t="s">
        <v>5762</v>
      </c>
    </row>
    <row r="1733" spans="1:8">
      <c r="A1733" t="s">
        <v>4783</v>
      </c>
      <c r="B1733" s="24">
        <v>46182</v>
      </c>
      <c r="C1733" s="27" t="s">
        <v>5797</v>
      </c>
      <c r="D1733" s="27" t="s">
        <v>3225</v>
      </c>
      <c r="E1733" t="s">
        <v>2148</v>
      </c>
      <c r="F1733" t="s">
        <v>104</v>
      </c>
      <c r="H1733" t="s">
        <v>5762</v>
      </c>
    </row>
    <row r="1734" spans="1:8">
      <c r="A1734" t="s">
        <v>4784</v>
      </c>
      <c r="B1734" s="24">
        <v>46183</v>
      </c>
      <c r="C1734" s="27" t="s">
        <v>5797</v>
      </c>
      <c r="D1734" s="27" t="s">
        <v>3225</v>
      </c>
      <c r="E1734" t="s">
        <v>2149</v>
      </c>
      <c r="F1734" t="s">
        <v>104</v>
      </c>
      <c r="H1734" t="s">
        <v>5762</v>
      </c>
    </row>
    <row r="1735" spans="1:8">
      <c r="A1735" t="s">
        <v>4785</v>
      </c>
      <c r="B1735" s="24">
        <v>46184</v>
      </c>
      <c r="C1735" s="27" t="s">
        <v>5797</v>
      </c>
      <c r="D1735" s="27" t="s">
        <v>3225</v>
      </c>
      <c r="E1735" t="s">
        <v>2150</v>
      </c>
      <c r="F1735" t="s">
        <v>104</v>
      </c>
      <c r="H1735" t="s">
        <v>5762</v>
      </c>
    </row>
    <row r="1736" spans="1:8">
      <c r="A1736" t="s">
        <v>4786</v>
      </c>
      <c r="B1736" s="24">
        <v>46185</v>
      </c>
      <c r="C1736" s="27" t="s">
        <v>5797</v>
      </c>
      <c r="D1736" s="27" t="s">
        <v>3225</v>
      </c>
      <c r="E1736" t="s">
        <v>2151</v>
      </c>
      <c r="F1736" t="s">
        <v>104</v>
      </c>
      <c r="H1736" t="s">
        <v>5762</v>
      </c>
    </row>
    <row r="1737" spans="1:8">
      <c r="A1737" t="s">
        <v>4787</v>
      </c>
      <c r="B1737" s="24">
        <v>46174</v>
      </c>
      <c r="C1737" s="27" t="s">
        <v>5797</v>
      </c>
      <c r="D1737" s="27" t="s">
        <v>3225</v>
      </c>
      <c r="E1737" t="s">
        <v>2152</v>
      </c>
      <c r="F1737" t="s">
        <v>104</v>
      </c>
      <c r="H1737" t="s">
        <v>5762</v>
      </c>
    </row>
    <row r="1738" spans="1:8">
      <c r="A1738" t="s">
        <v>4788</v>
      </c>
      <c r="B1738" s="24">
        <v>46175</v>
      </c>
      <c r="C1738" s="27" t="s">
        <v>5797</v>
      </c>
      <c r="D1738" s="27" t="s">
        <v>3225</v>
      </c>
      <c r="E1738" t="s">
        <v>2153</v>
      </c>
      <c r="F1738" t="s">
        <v>104</v>
      </c>
      <c r="H1738" t="s">
        <v>5762</v>
      </c>
    </row>
    <row r="1739" spans="1:8">
      <c r="A1739" t="s">
        <v>4789</v>
      </c>
      <c r="B1739" s="24">
        <v>46176</v>
      </c>
      <c r="C1739" s="27" t="s">
        <v>5797</v>
      </c>
      <c r="D1739" s="27" t="s">
        <v>3225</v>
      </c>
      <c r="E1739" t="s">
        <v>2154</v>
      </c>
      <c r="F1739" t="s">
        <v>104</v>
      </c>
      <c r="H1739" t="s">
        <v>5762</v>
      </c>
    </row>
    <row r="1740" spans="1:8">
      <c r="A1740" t="s">
        <v>4790</v>
      </c>
      <c r="B1740" s="24">
        <v>46177</v>
      </c>
      <c r="C1740" s="27" t="s">
        <v>5797</v>
      </c>
      <c r="D1740" s="27" t="s">
        <v>3225</v>
      </c>
      <c r="E1740" t="s">
        <v>2155</v>
      </c>
      <c r="F1740" t="s">
        <v>104</v>
      </c>
      <c r="H1740" t="s">
        <v>5762</v>
      </c>
    </row>
    <row r="1741" spans="1:8">
      <c r="A1741" t="s">
        <v>4791</v>
      </c>
      <c r="B1741" s="24">
        <v>46178</v>
      </c>
      <c r="C1741" s="27" t="s">
        <v>5797</v>
      </c>
      <c r="D1741" s="27" t="s">
        <v>3225</v>
      </c>
      <c r="E1741" t="s">
        <v>2156</v>
      </c>
      <c r="F1741" t="s">
        <v>104</v>
      </c>
      <c r="H1741" t="s">
        <v>5762</v>
      </c>
    </row>
    <row r="1742" spans="1:8">
      <c r="A1742" t="s">
        <v>4792</v>
      </c>
      <c r="B1742" s="24">
        <v>46181</v>
      </c>
      <c r="C1742" s="27" t="s">
        <v>5797</v>
      </c>
      <c r="D1742" s="27" t="s">
        <v>3225</v>
      </c>
      <c r="E1742" t="s">
        <v>2157</v>
      </c>
      <c r="F1742" t="s">
        <v>104</v>
      </c>
      <c r="H1742" t="s">
        <v>5762</v>
      </c>
    </row>
    <row r="1743" spans="1:8">
      <c r="A1743" t="s">
        <v>4793</v>
      </c>
      <c r="B1743" s="24">
        <v>46182</v>
      </c>
      <c r="C1743" s="27" t="s">
        <v>5797</v>
      </c>
      <c r="D1743" s="27" t="s">
        <v>3225</v>
      </c>
      <c r="E1743" t="s">
        <v>2158</v>
      </c>
      <c r="F1743" t="s">
        <v>104</v>
      </c>
      <c r="H1743" t="s">
        <v>5762</v>
      </c>
    </row>
    <row r="1744" spans="1:8">
      <c r="A1744" t="s">
        <v>4794</v>
      </c>
      <c r="B1744" s="24">
        <v>46183</v>
      </c>
      <c r="C1744" s="27" t="s">
        <v>5797</v>
      </c>
      <c r="D1744" s="27" t="s">
        <v>3225</v>
      </c>
      <c r="E1744" t="s">
        <v>2159</v>
      </c>
      <c r="F1744" t="s">
        <v>104</v>
      </c>
      <c r="H1744" t="s">
        <v>5762</v>
      </c>
    </row>
    <row r="1745" spans="1:8">
      <c r="A1745" t="s">
        <v>4795</v>
      </c>
      <c r="B1745" s="24">
        <v>46184</v>
      </c>
      <c r="C1745" s="27" t="s">
        <v>5797</v>
      </c>
      <c r="D1745" s="27" t="s">
        <v>3225</v>
      </c>
      <c r="E1745" t="s">
        <v>2160</v>
      </c>
      <c r="F1745" t="s">
        <v>104</v>
      </c>
      <c r="H1745" t="s">
        <v>5762</v>
      </c>
    </row>
    <row r="1746" spans="1:8">
      <c r="A1746" t="s">
        <v>4796</v>
      </c>
      <c r="B1746" s="24">
        <v>46185</v>
      </c>
      <c r="C1746" s="27" t="s">
        <v>5797</v>
      </c>
      <c r="D1746" s="27" t="s">
        <v>3225</v>
      </c>
      <c r="E1746" t="s">
        <v>2161</v>
      </c>
      <c r="F1746" t="s">
        <v>104</v>
      </c>
      <c r="H1746" t="s">
        <v>5762</v>
      </c>
    </row>
    <row r="1747" spans="1:8">
      <c r="A1747" t="s">
        <v>4797</v>
      </c>
      <c r="B1747" s="24">
        <v>46174</v>
      </c>
      <c r="C1747" s="27" t="s">
        <v>5797</v>
      </c>
      <c r="D1747" s="27" t="s">
        <v>3225</v>
      </c>
      <c r="E1747" t="s">
        <v>2162</v>
      </c>
      <c r="F1747" t="s">
        <v>104</v>
      </c>
      <c r="H1747" t="s">
        <v>5762</v>
      </c>
    </row>
    <row r="1748" spans="1:8">
      <c r="A1748" t="s">
        <v>4798</v>
      </c>
      <c r="B1748" s="24">
        <v>46175</v>
      </c>
      <c r="C1748" s="27" t="s">
        <v>5797</v>
      </c>
      <c r="D1748" s="27" t="s">
        <v>3225</v>
      </c>
      <c r="E1748" t="s">
        <v>2163</v>
      </c>
      <c r="F1748" t="s">
        <v>104</v>
      </c>
      <c r="H1748" t="s">
        <v>5762</v>
      </c>
    </row>
    <row r="1749" spans="1:8">
      <c r="A1749" t="s">
        <v>4799</v>
      </c>
      <c r="B1749" s="24">
        <v>46176</v>
      </c>
      <c r="C1749" s="27" t="s">
        <v>5797</v>
      </c>
      <c r="D1749" s="27" t="s">
        <v>3225</v>
      </c>
      <c r="E1749" t="s">
        <v>2164</v>
      </c>
      <c r="F1749" t="s">
        <v>104</v>
      </c>
      <c r="H1749" t="s">
        <v>5762</v>
      </c>
    </row>
    <row r="1750" spans="1:8">
      <c r="A1750" t="s">
        <v>4800</v>
      </c>
      <c r="B1750" s="24">
        <v>46177</v>
      </c>
      <c r="C1750" s="27" t="s">
        <v>5797</v>
      </c>
      <c r="D1750" s="27" t="s">
        <v>3225</v>
      </c>
      <c r="E1750" t="s">
        <v>2165</v>
      </c>
      <c r="F1750" t="s">
        <v>104</v>
      </c>
      <c r="H1750" t="s">
        <v>5762</v>
      </c>
    </row>
    <row r="1751" spans="1:8">
      <c r="A1751" t="s">
        <v>4801</v>
      </c>
      <c r="B1751" s="24">
        <v>46178</v>
      </c>
      <c r="C1751" s="27" t="s">
        <v>5797</v>
      </c>
      <c r="D1751" s="27" t="s">
        <v>3225</v>
      </c>
      <c r="E1751" t="s">
        <v>2166</v>
      </c>
      <c r="F1751" t="s">
        <v>104</v>
      </c>
      <c r="H1751" t="s">
        <v>5762</v>
      </c>
    </row>
    <row r="1752" spans="1:8">
      <c r="A1752" t="s">
        <v>4802</v>
      </c>
      <c r="B1752" s="24">
        <v>46181</v>
      </c>
      <c r="C1752" s="27" t="s">
        <v>5797</v>
      </c>
      <c r="D1752" s="27" t="s">
        <v>3225</v>
      </c>
      <c r="E1752" t="s">
        <v>2167</v>
      </c>
      <c r="F1752" t="s">
        <v>104</v>
      </c>
      <c r="H1752" t="s">
        <v>5762</v>
      </c>
    </row>
    <row r="1753" spans="1:8">
      <c r="A1753" t="s">
        <v>4803</v>
      </c>
      <c r="B1753" s="24">
        <v>46182</v>
      </c>
      <c r="C1753" s="27" t="s">
        <v>5797</v>
      </c>
      <c r="D1753" s="27" t="s">
        <v>3225</v>
      </c>
      <c r="E1753" t="s">
        <v>2168</v>
      </c>
      <c r="F1753" t="s">
        <v>104</v>
      </c>
      <c r="H1753" t="s">
        <v>5762</v>
      </c>
    </row>
    <row r="1754" spans="1:8">
      <c r="A1754" t="s">
        <v>4804</v>
      </c>
      <c r="B1754" s="24">
        <v>46183</v>
      </c>
      <c r="C1754" s="27" t="s">
        <v>5797</v>
      </c>
      <c r="D1754" s="27" t="s">
        <v>3225</v>
      </c>
      <c r="E1754" t="s">
        <v>2169</v>
      </c>
      <c r="F1754" t="s">
        <v>104</v>
      </c>
      <c r="H1754" t="s">
        <v>5762</v>
      </c>
    </row>
    <row r="1755" spans="1:8">
      <c r="A1755" t="s">
        <v>4805</v>
      </c>
      <c r="B1755" s="24">
        <v>46184</v>
      </c>
      <c r="C1755" s="27" t="s">
        <v>5797</v>
      </c>
      <c r="D1755" s="27" t="s">
        <v>3225</v>
      </c>
      <c r="E1755" t="s">
        <v>2170</v>
      </c>
      <c r="F1755" t="s">
        <v>104</v>
      </c>
      <c r="H1755" t="s">
        <v>5762</v>
      </c>
    </row>
    <row r="1756" spans="1:8">
      <c r="A1756" t="s">
        <v>4806</v>
      </c>
      <c r="B1756" s="24">
        <v>46185</v>
      </c>
      <c r="C1756" s="27" t="s">
        <v>5797</v>
      </c>
      <c r="D1756" s="27" t="s">
        <v>3225</v>
      </c>
      <c r="E1756" t="s">
        <v>2171</v>
      </c>
      <c r="F1756" t="s">
        <v>104</v>
      </c>
      <c r="H1756" t="s">
        <v>5762</v>
      </c>
    </row>
    <row r="1757" spans="1:8">
      <c r="A1757" t="s">
        <v>4807</v>
      </c>
      <c r="B1757" s="24">
        <v>46174</v>
      </c>
      <c r="C1757" s="27" t="s">
        <v>5797</v>
      </c>
      <c r="D1757" s="27" t="s">
        <v>3225</v>
      </c>
      <c r="E1757" t="s">
        <v>2172</v>
      </c>
      <c r="F1757" t="s">
        <v>104</v>
      </c>
      <c r="H1757" t="s">
        <v>5762</v>
      </c>
    </row>
    <row r="1758" spans="1:8">
      <c r="A1758" t="s">
        <v>4808</v>
      </c>
      <c r="B1758" s="24">
        <v>46175</v>
      </c>
      <c r="C1758" s="27" t="s">
        <v>5797</v>
      </c>
      <c r="D1758" s="27" t="s">
        <v>3225</v>
      </c>
      <c r="E1758" t="s">
        <v>2173</v>
      </c>
      <c r="F1758" t="s">
        <v>104</v>
      </c>
      <c r="H1758" t="s">
        <v>5762</v>
      </c>
    </row>
    <row r="1759" spans="1:8">
      <c r="A1759" t="s">
        <v>4809</v>
      </c>
      <c r="B1759" s="24">
        <v>46176</v>
      </c>
      <c r="C1759" s="27" t="s">
        <v>5797</v>
      </c>
      <c r="D1759" s="27" t="s">
        <v>3225</v>
      </c>
      <c r="E1759" t="s">
        <v>2174</v>
      </c>
      <c r="F1759" t="s">
        <v>104</v>
      </c>
      <c r="H1759" t="s">
        <v>5762</v>
      </c>
    </row>
    <row r="1760" spans="1:8">
      <c r="A1760" t="s">
        <v>4810</v>
      </c>
      <c r="B1760" s="24">
        <v>46177</v>
      </c>
      <c r="C1760" s="27" t="s">
        <v>5797</v>
      </c>
      <c r="D1760" s="27" t="s">
        <v>3225</v>
      </c>
      <c r="E1760" t="s">
        <v>2175</v>
      </c>
      <c r="F1760" t="s">
        <v>104</v>
      </c>
      <c r="H1760" t="s">
        <v>5762</v>
      </c>
    </row>
    <row r="1761" spans="1:8">
      <c r="A1761" t="s">
        <v>4811</v>
      </c>
      <c r="B1761" s="24">
        <v>46178</v>
      </c>
      <c r="C1761" s="27" t="s">
        <v>5797</v>
      </c>
      <c r="D1761" s="27" t="s">
        <v>3225</v>
      </c>
      <c r="E1761" t="s">
        <v>2176</v>
      </c>
      <c r="F1761" t="s">
        <v>104</v>
      </c>
      <c r="H1761" t="s">
        <v>5762</v>
      </c>
    </row>
    <row r="1762" spans="1:8">
      <c r="A1762" t="s">
        <v>4812</v>
      </c>
      <c r="B1762" s="24">
        <v>46181</v>
      </c>
      <c r="C1762" s="27" t="s">
        <v>5797</v>
      </c>
      <c r="D1762" s="27" t="s">
        <v>3225</v>
      </c>
      <c r="E1762" t="s">
        <v>2177</v>
      </c>
      <c r="F1762" t="s">
        <v>104</v>
      </c>
      <c r="H1762" t="s">
        <v>5762</v>
      </c>
    </row>
    <row r="1763" spans="1:8">
      <c r="A1763" t="s">
        <v>4813</v>
      </c>
      <c r="B1763" s="24">
        <v>46182</v>
      </c>
      <c r="C1763" s="27" t="s">
        <v>5797</v>
      </c>
      <c r="D1763" s="27" t="s">
        <v>3225</v>
      </c>
      <c r="E1763" t="s">
        <v>2178</v>
      </c>
      <c r="F1763" t="s">
        <v>104</v>
      </c>
      <c r="H1763" t="s">
        <v>5762</v>
      </c>
    </row>
    <row r="1764" spans="1:8">
      <c r="A1764" t="s">
        <v>4814</v>
      </c>
      <c r="B1764" s="24">
        <v>46183</v>
      </c>
      <c r="C1764" s="27" t="s">
        <v>5797</v>
      </c>
      <c r="D1764" s="27" t="s">
        <v>3225</v>
      </c>
      <c r="E1764" t="s">
        <v>2179</v>
      </c>
      <c r="F1764" t="s">
        <v>104</v>
      </c>
      <c r="H1764" t="s">
        <v>5762</v>
      </c>
    </row>
    <row r="1765" spans="1:8">
      <c r="A1765" t="s">
        <v>4815</v>
      </c>
      <c r="B1765" s="24">
        <v>46184</v>
      </c>
      <c r="C1765" s="27" t="s">
        <v>5797</v>
      </c>
      <c r="D1765" s="27" t="s">
        <v>3225</v>
      </c>
      <c r="E1765" t="s">
        <v>2180</v>
      </c>
      <c r="F1765" t="s">
        <v>104</v>
      </c>
      <c r="H1765" t="s">
        <v>5762</v>
      </c>
    </row>
    <row r="1766" spans="1:8">
      <c r="A1766" t="s">
        <v>4816</v>
      </c>
      <c r="B1766" s="24">
        <v>46185</v>
      </c>
      <c r="C1766" s="27" t="s">
        <v>5797</v>
      </c>
      <c r="D1766" s="27" t="s">
        <v>3225</v>
      </c>
      <c r="E1766" t="s">
        <v>2181</v>
      </c>
      <c r="F1766" t="s">
        <v>104</v>
      </c>
      <c r="H1766" t="s">
        <v>5762</v>
      </c>
    </row>
    <row r="1767" spans="1:8">
      <c r="A1767" t="s">
        <v>4817</v>
      </c>
      <c r="B1767" s="24">
        <v>46174</v>
      </c>
      <c r="C1767" s="27" t="s">
        <v>5797</v>
      </c>
      <c r="D1767" s="27" t="s">
        <v>3225</v>
      </c>
      <c r="E1767" t="s">
        <v>2182</v>
      </c>
      <c r="F1767" t="s">
        <v>104</v>
      </c>
      <c r="H1767" t="s">
        <v>5762</v>
      </c>
    </row>
    <row r="1768" spans="1:8">
      <c r="A1768" t="s">
        <v>4818</v>
      </c>
      <c r="B1768" s="24">
        <v>46175</v>
      </c>
      <c r="C1768" s="27" t="s">
        <v>5797</v>
      </c>
      <c r="D1768" s="27" t="s">
        <v>3225</v>
      </c>
      <c r="E1768" t="s">
        <v>2183</v>
      </c>
      <c r="F1768" t="s">
        <v>104</v>
      </c>
      <c r="H1768" t="s">
        <v>5762</v>
      </c>
    </row>
    <row r="1769" spans="1:8">
      <c r="A1769" t="s">
        <v>4819</v>
      </c>
      <c r="B1769" s="24">
        <v>46176</v>
      </c>
      <c r="C1769" s="27" t="s">
        <v>5797</v>
      </c>
      <c r="D1769" s="27" t="s">
        <v>3225</v>
      </c>
      <c r="E1769" t="s">
        <v>2184</v>
      </c>
      <c r="F1769" t="s">
        <v>104</v>
      </c>
      <c r="H1769" t="s">
        <v>5762</v>
      </c>
    </row>
    <row r="1770" spans="1:8">
      <c r="A1770" t="s">
        <v>4820</v>
      </c>
      <c r="B1770" s="24">
        <v>46177</v>
      </c>
      <c r="C1770" s="27" t="s">
        <v>5797</v>
      </c>
      <c r="D1770" s="27" t="s">
        <v>3225</v>
      </c>
      <c r="E1770" t="s">
        <v>2185</v>
      </c>
      <c r="F1770" t="s">
        <v>104</v>
      </c>
      <c r="H1770" t="s">
        <v>5762</v>
      </c>
    </row>
    <row r="1771" spans="1:8">
      <c r="A1771" t="s">
        <v>4821</v>
      </c>
      <c r="B1771" s="24">
        <v>46178</v>
      </c>
      <c r="C1771" s="27" t="s">
        <v>5797</v>
      </c>
      <c r="D1771" s="27" t="s">
        <v>3225</v>
      </c>
      <c r="E1771" t="s">
        <v>2186</v>
      </c>
      <c r="F1771" t="s">
        <v>104</v>
      </c>
      <c r="H1771" t="s">
        <v>5762</v>
      </c>
    </row>
    <row r="1772" spans="1:8">
      <c r="A1772" t="s">
        <v>4822</v>
      </c>
      <c r="B1772" s="24">
        <v>46181</v>
      </c>
      <c r="C1772" s="27" t="s">
        <v>5797</v>
      </c>
      <c r="D1772" s="27" t="s">
        <v>3225</v>
      </c>
      <c r="E1772" t="s">
        <v>2187</v>
      </c>
      <c r="F1772" t="s">
        <v>104</v>
      </c>
      <c r="H1772" t="s">
        <v>5762</v>
      </c>
    </row>
    <row r="1773" spans="1:8">
      <c r="A1773" t="s">
        <v>4823</v>
      </c>
      <c r="B1773" s="24">
        <v>46182</v>
      </c>
      <c r="C1773" s="27" t="s">
        <v>5797</v>
      </c>
      <c r="D1773" s="27" t="s">
        <v>3225</v>
      </c>
      <c r="E1773" t="s">
        <v>2188</v>
      </c>
      <c r="F1773" t="s">
        <v>104</v>
      </c>
      <c r="H1773" t="s">
        <v>5762</v>
      </c>
    </row>
    <row r="1774" spans="1:8">
      <c r="A1774" t="s">
        <v>4824</v>
      </c>
      <c r="B1774" s="24">
        <v>46183</v>
      </c>
      <c r="C1774" s="27" t="s">
        <v>5797</v>
      </c>
      <c r="D1774" s="27" t="s">
        <v>3225</v>
      </c>
      <c r="E1774" t="s">
        <v>2189</v>
      </c>
      <c r="F1774" t="s">
        <v>104</v>
      </c>
      <c r="H1774" t="s">
        <v>5762</v>
      </c>
    </row>
    <row r="1775" spans="1:8">
      <c r="A1775" t="s">
        <v>4825</v>
      </c>
      <c r="B1775" s="24">
        <v>46184</v>
      </c>
      <c r="C1775" s="27" t="s">
        <v>5797</v>
      </c>
      <c r="D1775" s="27" t="s">
        <v>3225</v>
      </c>
      <c r="E1775" t="s">
        <v>2190</v>
      </c>
      <c r="F1775" t="s">
        <v>104</v>
      </c>
      <c r="H1775" t="s">
        <v>5762</v>
      </c>
    </row>
    <row r="1776" spans="1:8">
      <c r="A1776" t="s">
        <v>4826</v>
      </c>
      <c r="B1776" s="24">
        <v>46185</v>
      </c>
      <c r="C1776" s="27" t="s">
        <v>5797</v>
      </c>
      <c r="D1776" s="27" t="s">
        <v>3225</v>
      </c>
      <c r="E1776" t="s">
        <v>2191</v>
      </c>
      <c r="F1776" t="s">
        <v>104</v>
      </c>
      <c r="H1776" t="s">
        <v>5762</v>
      </c>
    </row>
    <row r="1777" spans="1:8">
      <c r="A1777" t="s">
        <v>4827</v>
      </c>
      <c r="B1777" s="24">
        <v>46174</v>
      </c>
      <c r="C1777" s="27" t="s">
        <v>5797</v>
      </c>
      <c r="D1777" s="27" t="s">
        <v>3225</v>
      </c>
      <c r="E1777" t="s">
        <v>2192</v>
      </c>
      <c r="F1777" t="s">
        <v>104</v>
      </c>
      <c r="H1777" t="s">
        <v>5762</v>
      </c>
    </row>
    <row r="1778" spans="1:8">
      <c r="A1778" t="s">
        <v>4828</v>
      </c>
      <c r="B1778" s="24">
        <v>46175</v>
      </c>
      <c r="C1778" s="27" t="s">
        <v>5797</v>
      </c>
      <c r="D1778" s="27" t="s">
        <v>3225</v>
      </c>
      <c r="E1778" t="s">
        <v>2193</v>
      </c>
      <c r="F1778" t="s">
        <v>104</v>
      </c>
      <c r="H1778" t="s">
        <v>5762</v>
      </c>
    </row>
    <row r="1779" spans="1:8">
      <c r="A1779" t="s">
        <v>4829</v>
      </c>
      <c r="B1779" s="24">
        <v>46176</v>
      </c>
      <c r="C1779" s="27" t="s">
        <v>5797</v>
      </c>
      <c r="D1779" s="27" t="s">
        <v>3225</v>
      </c>
      <c r="E1779" t="s">
        <v>2194</v>
      </c>
      <c r="F1779" t="s">
        <v>104</v>
      </c>
      <c r="H1779" t="s">
        <v>5762</v>
      </c>
    </row>
    <row r="1780" spans="1:8">
      <c r="A1780" t="s">
        <v>4830</v>
      </c>
      <c r="B1780" s="24">
        <v>46177</v>
      </c>
      <c r="C1780" s="27" t="s">
        <v>5797</v>
      </c>
      <c r="D1780" s="27" t="s">
        <v>3225</v>
      </c>
      <c r="E1780" t="s">
        <v>2195</v>
      </c>
      <c r="F1780" t="s">
        <v>104</v>
      </c>
      <c r="H1780" t="s">
        <v>5762</v>
      </c>
    </row>
    <row r="1781" spans="1:8">
      <c r="A1781" t="s">
        <v>4831</v>
      </c>
      <c r="B1781" s="24">
        <v>46178</v>
      </c>
      <c r="C1781" s="27" t="s">
        <v>5797</v>
      </c>
      <c r="D1781" s="27" t="s">
        <v>3225</v>
      </c>
      <c r="E1781" t="s">
        <v>2196</v>
      </c>
      <c r="F1781" t="s">
        <v>104</v>
      </c>
      <c r="H1781" t="s">
        <v>5762</v>
      </c>
    </row>
    <row r="1782" spans="1:8">
      <c r="A1782" t="s">
        <v>4832</v>
      </c>
      <c r="B1782" s="24">
        <v>46181</v>
      </c>
      <c r="C1782" s="27" t="s">
        <v>5797</v>
      </c>
      <c r="D1782" s="27" t="s">
        <v>3225</v>
      </c>
      <c r="E1782" t="s">
        <v>2197</v>
      </c>
      <c r="F1782" t="s">
        <v>104</v>
      </c>
      <c r="H1782" t="s">
        <v>5762</v>
      </c>
    </row>
    <row r="1783" spans="1:8">
      <c r="A1783" t="s">
        <v>4833</v>
      </c>
      <c r="B1783" s="24">
        <v>46182</v>
      </c>
      <c r="C1783" s="27" t="s">
        <v>5797</v>
      </c>
      <c r="D1783" s="27" t="s">
        <v>3225</v>
      </c>
      <c r="E1783" t="s">
        <v>2198</v>
      </c>
      <c r="F1783" t="s">
        <v>104</v>
      </c>
      <c r="H1783" t="s">
        <v>5762</v>
      </c>
    </row>
    <row r="1784" spans="1:8">
      <c r="A1784" t="s">
        <v>4834</v>
      </c>
      <c r="B1784" s="24">
        <v>46183</v>
      </c>
      <c r="C1784" s="27" t="s">
        <v>5797</v>
      </c>
      <c r="D1784" s="27" t="s">
        <v>3225</v>
      </c>
      <c r="E1784" t="s">
        <v>2199</v>
      </c>
      <c r="F1784" t="s">
        <v>104</v>
      </c>
      <c r="H1784" t="s">
        <v>5762</v>
      </c>
    </row>
    <row r="1785" spans="1:8">
      <c r="A1785" t="s">
        <v>4835</v>
      </c>
      <c r="B1785" s="24">
        <v>46184</v>
      </c>
      <c r="C1785" s="27" t="s">
        <v>5797</v>
      </c>
      <c r="D1785" s="27" t="s">
        <v>3225</v>
      </c>
      <c r="E1785" t="s">
        <v>2200</v>
      </c>
      <c r="F1785" t="s">
        <v>104</v>
      </c>
      <c r="H1785" t="s">
        <v>5762</v>
      </c>
    </row>
    <row r="1786" spans="1:8">
      <c r="A1786" t="s">
        <v>4836</v>
      </c>
      <c r="B1786" s="24">
        <v>46185</v>
      </c>
      <c r="C1786" s="27" t="s">
        <v>5797</v>
      </c>
      <c r="D1786" s="27" t="s">
        <v>3225</v>
      </c>
      <c r="E1786" t="s">
        <v>2201</v>
      </c>
      <c r="F1786" t="s">
        <v>104</v>
      </c>
      <c r="H1786" t="s">
        <v>5762</v>
      </c>
    </row>
    <row r="1787" spans="1:8">
      <c r="A1787" t="s">
        <v>4837</v>
      </c>
      <c r="B1787" s="24">
        <v>46174</v>
      </c>
      <c r="C1787" s="27" t="s">
        <v>5797</v>
      </c>
      <c r="D1787" s="27" t="s">
        <v>3225</v>
      </c>
      <c r="E1787" t="s">
        <v>2202</v>
      </c>
      <c r="F1787" t="s">
        <v>104</v>
      </c>
      <c r="H1787" t="s">
        <v>5762</v>
      </c>
    </row>
    <row r="1788" spans="1:8">
      <c r="A1788" t="s">
        <v>4838</v>
      </c>
      <c r="B1788" s="24">
        <v>46175</v>
      </c>
      <c r="C1788" s="27" t="s">
        <v>5797</v>
      </c>
      <c r="D1788" s="27" t="s">
        <v>3225</v>
      </c>
      <c r="E1788" t="s">
        <v>2203</v>
      </c>
      <c r="F1788" t="s">
        <v>104</v>
      </c>
      <c r="H1788" t="s">
        <v>5762</v>
      </c>
    </row>
    <row r="1789" spans="1:8">
      <c r="A1789" t="s">
        <v>4839</v>
      </c>
      <c r="B1789" s="24">
        <v>46176</v>
      </c>
      <c r="C1789" s="27" t="s">
        <v>5797</v>
      </c>
      <c r="D1789" s="27" t="s">
        <v>3225</v>
      </c>
      <c r="E1789" t="s">
        <v>2204</v>
      </c>
      <c r="F1789" t="s">
        <v>104</v>
      </c>
      <c r="H1789" t="s">
        <v>5762</v>
      </c>
    </row>
    <row r="1790" spans="1:8">
      <c r="A1790" t="s">
        <v>4840</v>
      </c>
      <c r="B1790" s="24">
        <v>46177</v>
      </c>
      <c r="C1790" s="27" t="s">
        <v>5797</v>
      </c>
      <c r="D1790" s="27" t="s">
        <v>3225</v>
      </c>
      <c r="E1790" t="s">
        <v>2205</v>
      </c>
      <c r="F1790" t="s">
        <v>104</v>
      </c>
      <c r="H1790" t="s">
        <v>5762</v>
      </c>
    </row>
    <row r="1791" spans="1:8">
      <c r="A1791" t="s">
        <v>4841</v>
      </c>
      <c r="B1791" s="24">
        <v>46178</v>
      </c>
      <c r="C1791" s="27" t="s">
        <v>5797</v>
      </c>
      <c r="D1791" s="27" t="s">
        <v>3225</v>
      </c>
      <c r="E1791" t="s">
        <v>2206</v>
      </c>
      <c r="F1791" t="s">
        <v>104</v>
      </c>
      <c r="H1791" t="s">
        <v>5762</v>
      </c>
    </row>
    <row r="1792" spans="1:8">
      <c r="A1792" t="s">
        <v>4842</v>
      </c>
      <c r="B1792" s="24">
        <v>46181</v>
      </c>
      <c r="C1792" s="27" t="s">
        <v>5797</v>
      </c>
      <c r="D1792" s="27" t="s">
        <v>3225</v>
      </c>
      <c r="E1792" t="s">
        <v>2207</v>
      </c>
      <c r="F1792" t="s">
        <v>104</v>
      </c>
      <c r="H1792" t="s">
        <v>5762</v>
      </c>
    </row>
    <row r="1793" spans="1:8">
      <c r="A1793" t="s">
        <v>4843</v>
      </c>
      <c r="B1793" s="24">
        <v>46182</v>
      </c>
      <c r="C1793" s="27" t="s">
        <v>5797</v>
      </c>
      <c r="D1793" s="27" t="s">
        <v>3225</v>
      </c>
      <c r="E1793" t="s">
        <v>2208</v>
      </c>
      <c r="F1793" t="s">
        <v>104</v>
      </c>
      <c r="H1793" t="s">
        <v>5762</v>
      </c>
    </row>
    <row r="1794" spans="1:8">
      <c r="A1794" t="s">
        <v>4844</v>
      </c>
      <c r="B1794" s="24">
        <v>46183</v>
      </c>
      <c r="C1794" s="27" t="s">
        <v>5797</v>
      </c>
      <c r="D1794" s="27" t="s">
        <v>3225</v>
      </c>
      <c r="E1794" t="s">
        <v>2209</v>
      </c>
      <c r="F1794" t="s">
        <v>104</v>
      </c>
      <c r="H1794" t="s">
        <v>5762</v>
      </c>
    </row>
    <row r="1795" spans="1:8">
      <c r="A1795" t="s">
        <v>4845</v>
      </c>
      <c r="B1795" s="24">
        <v>46184</v>
      </c>
      <c r="C1795" s="27" t="s">
        <v>5797</v>
      </c>
      <c r="D1795" s="27" t="s">
        <v>3225</v>
      </c>
      <c r="E1795" t="s">
        <v>2210</v>
      </c>
      <c r="F1795" t="s">
        <v>104</v>
      </c>
      <c r="H1795" t="s">
        <v>5762</v>
      </c>
    </row>
    <row r="1796" spans="1:8">
      <c r="A1796" t="s">
        <v>4846</v>
      </c>
      <c r="B1796" s="24">
        <v>46185</v>
      </c>
      <c r="C1796" s="27" t="s">
        <v>5797</v>
      </c>
      <c r="D1796" s="27" t="s">
        <v>3225</v>
      </c>
      <c r="E1796" t="s">
        <v>2211</v>
      </c>
      <c r="F1796" t="s">
        <v>104</v>
      </c>
      <c r="H1796" t="s">
        <v>5762</v>
      </c>
    </row>
    <row r="1797" spans="1:8">
      <c r="A1797" t="s">
        <v>4847</v>
      </c>
      <c r="B1797" s="24">
        <v>46174</v>
      </c>
      <c r="C1797" s="27" t="s">
        <v>5797</v>
      </c>
      <c r="D1797" s="27" t="s">
        <v>3225</v>
      </c>
      <c r="E1797" t="s">
        <v>2212</v>
      </c>
      <c r="F1797" t="s">
        <v>104</v>
      </c>
      <c r="H1797" t="s">
        <v>5762</v>
      </c>
    </row>
    <row r="1798" spans="1:8">
      <c r="A1798" t="s">
        <v>4848</v>
      </c>
      <c r="B1798" s="24">
        <v>46175</v>
      </c>
      <c r="C1798" s="27" t="s">
        <v>5797</v>
      </c>
      <c r="D1798" s="27" t="s">
        <v>3225</v>
      </c>
      <c r="E1798" t="s">
        <v>2213</v>
      </c>
      <c r="F1798" t="s">
        <v>104</v>
      </c>
      <c r="H1798" t="s">
        <v>5762</v>
      </c>
    </row>
    <row r="1799" spans="1:8">
      <c r="A1799" t="s">
        <v>4849</v>
      </c>
      <c r="B1799" s="24">
        <v>46176</v>
      </c>
      <c r="C1799" s="27" t="s">
        <v>5797</v>
      </c>
      <c r="D1799" s="27" t="s">
        <v>3225</v>
      </c>
      <c r="E1799" t="s">
        <v>2214</v>
      </c>
      <c r="F1799" t="s">
        <v>104</v>
      </c>
      <c r="H1799" t="s">
        <v>5762</v>
      </c>
    </row>
    <row r="1800" spans="1:8">
      <c r="A1800" t="s">
        <v>4850</v>
      </c>
      <c r="B1800" s="24">
        <v>46177</v>
      </c>
      <c r="C1800" s="27" t="s">
        <v>5797</v>
      </c>
      <c r="D1800" s="27" t="s">
        <v>3225</v>
      </c>
      <c r="E1800" t="s">
        <v>2215</v>
      </c>
      <c r="F1800" t="s">
        <v>104</v>
      </c>
      <c r="H1800" t="s">
        <v>5762</v>
      </c>
    </row>
    <row r="1801" spans="1:8">
      <c r="A1801" t="s">
        <v>4851</v>
      </c>
      <c r="B1801" s="24">
        <v>46178</v>
      </c>
      <c r="C1801" s="27" t="s">
        <v>5797</v>
      </c>
      <c r="D1801" s="27" t="s">
        <v>3225</v>
      </c>
      <c r="E1801" t="s">
        <v>2216</v>
      </c>
      <c r="F1801" t="s">
        <v>104</v>
      </c>
      <c r="H1801" t="s">
        <v>5762</v>
      </c>
    </row>
    <row r="1802" spans="1:8">
      <c r="A1802" t="s">
        <v>4852</v>
      </c>
      <c r="B1802" s="24">
        <v>46181</v>
      </c>
      <c r="C1802" s="27" t="s">
        <v>5797</v>
      </c>
      <c r="D1802" s="27" t="s">
        <v>3225</v>
      </c>
      <c r="E1802" t="s">
        <v>2217</v>
      </c>
      <c r="F1802" t="s">
        <v>104</v>
      </c>
      <c r="H1802" t="s">
        <v>5762</v>
      </c>
    </row>
    <row r="1803" spans="1:8">
      <c r="A1803" t="s">
        <v>4853</v>
      </c>
      <c r="B1803" s="24">
        <v>46182</v>
      </c>
      <c r="C1803" s="27" t="s">
        <v>5797</v>
      </c>
      <c r="D1803" s="27" t="s">
        <v>3225</v>
      </c>
      <c r="E1803" t="s">
        <v>2218</v>
      </c>
      <c r="F1803" t="s">
        <v>104</v>
      </c>
      <c r="H1803" t="s">
        <v>5762</v>
      </c>
    </row>
    <row r="1804" spans="1:8">
      <c r="A1804" t="s">
        <v>4854</v>
      </c>
      <c r="B1804" s="24">
        <v>46183</v>
      </c>
      <c r="C1804" s="27" t="s">
        <v>5797</v>
      </c>
      <c r="D1804" s="27" t="s">
        <v>3225</v>
      </c>
      <c r="E1804" t="s">
        <v>2219</v>
      </c>
      <c r="F1804" t="s">
        <v>104</v>
      </c>
      <c r="H1804" t="s">
        <v>5762</v>
      </c>
    </row>
    <row r="1805" spans="1:8">
      <c r="A1805" t="s">
        <v>4855</v>
      </c>
      <c r="B1805" s="24">
        <v>46184</v>
      </c>
      <c r="C1805" s="27" t="s">
        <v>5797</v>
      </c>
      <c r="D1805" s="27" t="s">
        <v>3225</v>
      </c>
      <c r="E1805" t="s">
        <v>2220</v>
      </c>
      <c r="F1805" t="s">
        <v>104</v>
      </c>
      <c r="H1805" t="s">
        <v>5762</v>
      </c>
    </row>
    <row r="1806" spans="1:8">
      <c r="A1806" t="s">
        <v>4856</v>
      </c>
      <c r="B1806" s="24">
        <v>46185</v>
      </c>
      <c r="C1806" s="27" t="s">
        <v>5797</v>
      </c>
      <c r="D1806" s="27" t="s">
        <v>3225</v>
      </c>
      <c r="E1806" t="s">
        <v>2221</v>
      </c>
      <c r="F1806" t="s">
        <v>104</v>
      </c>
      <c r="H1806" t="s">
        <v>5762</v>
      </c>
    </row>
    <row r="1807" spans="1:8">
      <c r="A1807" t="s">
        <v>4857</v>
      </c>
      <c r="B1807" s="24">
        <v>46174</v>
      </c>
      <c r="C1807" s="27" t="s">
        <v>5797</v>
      </c>
      <c r="D1807" s="27" t="s">
        <v>3225</v>
      </c>
      <c r="E1807" t="s">
        <v>2222</v>
      </c>
      <c r="F1807" t="s">
        <v>104</v>
      </c>
      <c r="H1807" t="s">
        <v>5762</v>
      </c>
    </row>
    <row r="1808" spans="1:8">
      <c r="A1808" t="s">
        <v>4858</v>
      </c>
      <c r="B1808" s="24">
        <v>46175</v>
      </c>
      <c r="C1808" s="27" t="s">
        <v>5797</v>
      </c>
      <c r="D1808" s="27" t="s">
        <v>3227</v>
      </c>
      <c r="E1808" t="s">
        <v>2223</v>
      </c>
      <c r="F1808" t="s">
        <v>104</v>
      </c>
      <c r="H1808" t="s">
        <v>5762</v>
      </c>
    </row>
    <row r="1809" spans="1:8">
      <c r="A1809" t="s">
        <v>4859</v>
      </c>
      <c r="B1809" s="24">
        <v>46176</v>
      </c>
      <c r="C1809" s="27" t="s">
        <v>5797</v>
      </c>
      <c r="D1809" s="27" t="s">
        <v>3227</v>
      </c>
      <c r="E1809" t="s">
        <v>2224</v>
      </c>
      <c r="F1809" t="s">
        <v>104</v>
      </c>
      <c r="H1809" t="s">
        <v>5762</v>
      </c>
    </row>
    <row r="1810" spans="1:8">
      <c r="A1810" t="s">
        <v>4860</v>
      </c>
      <c r="B1810" s="24">
        <v>46177</v>
      </c>
      <c r="C1810" s="27" t="s">
        <v>5797</v>
      </c>
      <c r="D1810" s="27" t="s">
        <v>3227</v>
      </c>
      <c r="E1810" t="s">
        <v>2225</v>
      </c>
      <c r="F1810" t="s">
        <v>104</v>
      </c>
      <c r="G1810" t="s">
        <v>105</v>
      </c>
      <c r="H1810">
        <v>0</v>
      </c>
    </row>
    <row r="1811" spans="1:8">
      <c r="A1811" t="s">
        <v>4861</v>
      </c>
      <c r="B1811" s="24">
        <v>46178</v>
      </c>
      <c r="C1811" s="27" t="s">
        <v>5797</v>
      </c>
      <c r="D1811" s="27" t="s">
        <v>3227</v>
      </c>
      <c r="E1811" t="s">
        <v>2226</v>
      </c>
      <c r="F1811" t="s">
        <v>104</v>
      </c>
      <c r="G1811" t="s">
        <v>105</v>
      </c>
      <c r="H1811">
        <v>0</v>
      </c>
    </row>
    <row r="1812" spans="1:8">
      <c r="A1812" t="s">
        <v>4862</v>
      </c>
      <c r="B1812" s="24">
        <v>46181</v>
      </c>
      <c r="C1812" s="27" t="s">
        <v>5797</v>
      </c>
      <c r="D1812" s="27" t="s">
        <v>3228</v>
      </c>
      <c r="E1812" t="s">
        <v>2227</v>
      </c>
      <c r="F1812" t="s">
        <v>104</v>
      </c>
      <c r="G1812" t="s">
        <v>105</v>
      </c>
      <c r="H1812">
        <v>0</v>
      </c>
    </row>
    <row r="1813" spans="1:8">
      <c r="A1813" t="s">
        <v>4863</v>
      </c>
      <c r="B1813" s="24">
        <v>46182</v>
      </c>
      <c r="C1813" s="27" t="s">
        <v>5797</v>
      </c>
      <c r="D1813" s="27" t="s">
        <v>3228</v>
      </c>
      <c r="E1813" t="s">
        <v>2228</v>
      </c>
      <c r="F1813" t="s">
        <v>104</v>
      </c>
      <c r="G1813" t="s">
        <v>105</v>
      </c>
      <c r="H1813">
        <v>0</v>
      </c>
    </row>
    <row r="1814" spans="1:8">
      <c r="A1814" t="s">
        <v>4864</v>
      </c>
      <c r="B1814" s="24">
        <v>46183</v>
      </c>
      <c r="C1814" s="27" t="s">
        <v>5797</v>
      </c>
      <c r="D1814" s="27" t="s">
        <v>3228</v>
      </c>
      <c r="E1814" t="s">
        <v>2229</v>
      </c>
      <c r="F1814" t="s">
        <v>104</v>
      </c>
      <c r="G1814" t="s">
        <v>105</v>
      </c>
      <c r="H1814">
        <v>0</v>
      </c>
    </row>
    <row r="1815" spans="1:8">
      <c r="A1815" t="s">
        <v>4865</v>
      </c>
      <c r="B1815" s="24">
        <v>46184</v>
      </c>
      <c r="C1815" s="27" t="s">
        <v>5797</v>
      </c>
      <c r="D1815" s="27" t="s">
        <v>3228</v>
      </c>
      <c r="E1815" t="s">
        <v>2230</v>
      </c>
      <c r="F1815" t="s">
        <v>104</v>
      </c>
      <c r="G1815" t="s">
        <v>105</v>
      </c>
      <c r="H1815">
        <v>0</v>
      </c>
    </row>
    <row r="1816" spans="1:8">
      <c r="A1816" t="s">
        <v>4866</v>
      </c>
      <c r="B1816" s="24">
        <v>46185</v>
      </c>
      <c r="C1816" s="27" t="s">
        <v>5797</v>
      </c>
      <c r="D1816" s="27" t="s">
        <v>3228</v>
      </c>
      <c r="E1816" t="s">
        <v>2231</v>
      </c>
      <c r="F1816" t="s">
        <v>104</v>
      </c>
      <c r="G1816" t="s">
        <v>105</v>
      </c>
      <c r="H1816">
        <v>0</v>
      </c>
    </row>
    <row r="1817" spans="1:8">
      <c r="A1817" t="s">
        <v>4867</v>
      </c>
      <c r="B1817" s="24">
        <v>46174</v>
      </c>
      <c r="C1817" s="27" t="s">
        <v>5797</v>
      </c>
      <c r="D1817" s="27" t="s">
        <v>3228</v>
      </c>
      <c r="E1817" t="s">
        <v>2232</v>
      </c>
      <c r="F1817" t="s">
        <v>104</v>
      </c>
      <c r="G1817" t="s">
        <v>105</v>
      </c>
      <c r="H1817">
        <v>0</v>
      </c>
    </row>
    <row r="1818" spans="1:8">
      <c r="A1818" t="s">
        <v>4868</v>
      </c>
      <c r="B1818" s="24">
        <v>46175</v>
      </c>
      <c r="C1818" s="27" t="s">
        <v>5797</v>
      </c>
      <c r="D1818" s="27" t="s">
        <v>3228</v>
      </c>
      <c r="E1818" t="s">
        <v>2233</v>
      </c>
      <c r="F1818" t="s">
        <v>104</v>
      </c>
      <c r="G1818" t="s">
        <v>105</v>
      </c>
      <c r="H1818">
        <v>0</v>
      </c>
    </row>
    <row r="1819" spans="1:8">
      <c r="A1819" t="s">
        <v>4869</v>
      </c>
      <c r="B1819" s="24">
        <v>46176</v>
      </c>
      <c r="C1819" s="27" t="s">
        <v>5797</v>
      </c>
      <c r="D1819" s="27" t="s">
        <v>3228</v>
      </c>
      <c r="E1819" t="s">
        <v>2234</v>
      </c>
      <c r="F1819" t="s">
        <v>104</v>
      </c>
      <c r="G1819" t="s">
        <v>105</v>
      </c>
      <c r="H1819">
        <v>0</v>
      </c>
    </row>
    <row r="1820" spans="1:8">
      <c r="A1820" t="s">
        <v>4870</v>
      </c>
      <c r="B1820" s="24">
        <v>46177</v>
      </c>
      <c r="C1820" s="27" t="s">
        <v>5797</v>
      </c>
      <c r="D1820" s="27" t="s">
        <v>3228</v>
      </c>
      <c r="E1820" t="s">
        <v>2235</v>
      </c>
      <c r="F1820" t="s">
        <v>104</v>
      </c>
      <c r="G1820" t="s">
        <v>105</v>
      </c>
      <c r="H1820">
        <v>0</v>
      </c>
    </row>
    <row r="1821" spans="1:8">
      <c r="A1821" t="s">
        <v>4871</v>
      </c>
      <c r="B1821" s="24">
        <v>46178</v>
      </c>
      <c r="C1821" s="27" t="s">
        <v>5797</v>
      </c>
      <c r="D1821" s="27" t="s">
        <v>3228</v>
      </c>
      <c r="E1821" t="s">
        <v>2236</v>
      </c>
      <c r="F1821" t="s">
        <v>104</v>
      </c>
      <c r="G1821" t="s">
        <v>105</v>
      </c>
      <c r="H1821">
        <v>0</v>
      </c>
    </row>
    <row r="1822" spans="1:8">
      <c r="A1822" t="s">
        <v>4872</v>
      </c>
      <c r="B1822" s="24">
        <v>46181</v>
      </c>
      <c r="C1822" s="27" t="s">
        <v>5797</v>
      </c>
      <c r="D1822" s="27" t="s">
        <v>3228</v>
      </c>
      <c r="E1822" t="s">
        <v>2237</v>
      </c>
      <c r="F1822" t="s">
        <v>104</v>
      </c>
      <c r="G1822" t="s">
        <v>105</v>
      </c>
      <c r="H1822">
        <v>0</v>
      </c>
    </row>
    <row r="1823" spans="1:8">
      <c r="A1823" t="s">
        <v>4873</v>
      </c>
      <c r="B1823" s="24">
        <v>46182</v>
      </c>
      <c r="C1823" s="27" t="s">
        <v>5797</v>
      </c>
      <c r="D1823" s="27" t="s">
        <v>3228</v>
      </c>
      <c r="E1823" t="s">
        <v>2238</v>
      </c>
      <c r="F1823" t="s">
        <v>104</v>
      </c>
      <c r="G1823" t="s">
        <v>105</v>
      </c>
      <c r="H1823">
        <v>0</v>
      </c>
    </row>
    <row r="1824" spans="1:8">
      <c r="A1824" t="s">
        <v>4874</v>
      </c>
      <c r="B1824" s="24">
        <v>46183</v>
      </c>
      <c r="C1824" s="27" t="s">
        <v>5797</v>
      </c>
      <c r="D1824" s="27" t="s">
        <v>3228</v>
      </c>
      <c r="E1824" t="s">
        <v>2239</v>
      </c>
      <c r="F1824" t="s">
        <v>104</v>
      </c>
      <c r="G1824" t="s">
        <v>105</v>
      </c>
      <c r="H1824">
        <v>0</v>
      </c>
    </row>
    <row r="1825" spans="1:8">
      <c r="A1825" t="s">
        <v>4875</v>
      </c>
      <c r="B1825" s="24">
        <v>46184</v>
      </c>
      <c r="C1825" s="27" t="s">
        <v>5797</v>
      </c>
      <c r="D1825" s="27" t="s">
        <v>3228</v>
      </c>
      <c r="E1825" t="s">
        <v>2240</v>
      </c>
      <c r="F1825" t="s">
        <v>104</v>
      </c>
      <c r="G1825" t="s">
        <v>105</v>
      </c>
      <c r="H1825">
        <v>0</v>
      </c>
    </row>
    <row r="1826" spans="1:8">
      <c r="A1826" t="s">
        <v>4876</v>
      </c>
      <c r="B1826" s="24">
        <v>46185</v>
      </c>
      <c r="C1826" s="27" t="s">
        <v>5797</v>
      </c>
      <c r="D1826" s="27" t="s">
        <v>3228</v>
      </c>
      <c r="E1826" t="s">
        <v>2241</v>
      </c>
      <c r="F1826" t="s">
        <v>104</v>
      </c>
      <c r="G1826" t="s">
        <v>105</v>
      </c>
      <c r="H1826">
        <v>0</v>
      </c>
    </row>
    <row r="1827" spans="1:8">
      <c r="A1827" t="s">
        <v>4877</v>
      </c>
      <c r="B1827" s="24">
        <v>46174</v>
      </c>
      <c r="C1827" s="27" t="s">
        <v>5797</v>
      </c>
      <c r="D1827" s="27" t="s">
        <v>3228</v>
      </c>
      <c r="E1827" t="s">
        <v>2242</v>
      </c>
      <c r="F1827" t="s">
        <v>104</v>
      </c>
      <c r="G1827" t="s">
        <v>105</v>
      </c>
      <c r="H1827">
        <v>0</v>
      </c>
    </row>
    <row r="1828" spans="1:8">
      <c r="A1828" t="s">
        <v>4878</v>
      </c>
      <c r="B1828" s="24">
        <v>46175</v>
      </c>
      <c r="C1828" s="27" t="s">
        <v>5797</v>
      </c>
      <c r="D1828" s="27" t="s">
        <v>3228</v>
      </c>
      <c r="E1828" t="s">
        <v>2243</v>
      </c>
      <c r="F1828" t="s">
        <v>104</v>
      </c>
      <c r="G1828" t="s">
        <v>105</v>
      </c>
      <c r="H1828">
        <v>0</v>
      </c>
    </row>
    <row r="1829" spans="1:8">
      <c r="A1829" t="s">
        <v>4879</v>
      </c>
      <c r="B1829" s="24">
        <v>46176</v>
      </c>
      <c r="C1829" s="27" t="s">
        <v>5797</v>
      </c>
      <c r="D1829" s="27" t="s">
        <v>3228</v>
      </c>
      <c r="E1829" t="s">
        <v>2244</v>
      </c>
      <c r="F1829" t="s">
        <v>104</v>
      </c>
      <c r="G1829" t="s">
        <v>105</v>
      </c>
      <c r="H1829">
        <v>0</v>
      </c>
    </row>
    <row r="1830" spans="1:8">
      <c r="A1830" t="s">
        <v>4880</v>
      </c>
      <c r="B1830" s="24">
        <v>46177</v>
      </c>
      <c r="C1830" s="27" t="s">
        <v>5797</v>
      </c>
      <c r="D1830" s="27" t="s">
        <v>3228</v>
      </c>
      <c r="E1830" t="s">
        <v>2245</v>
      </c>
      <c r="F1830" t="s">
        <v>104</v>
      </c>
      <c r="G1830" t="s">
        <v>105</v>
      </c>
      <c r="H1830">
        <v>0</v>
      </c>
    </row>
    <row r="1831" spans="1:8">
      <c r="A1831" t="s">
        <v>4881</v>
      </c>
      <c r="B1831" s="24">
        <v>46178</v>
      </c>
      <c r="C1831" s="27" t="s">
        <v>5797</v>
      </c>
      <c r="D1831" s="27" t="s">
        <v>3228</v>
      </c>
      <c r="E1831" t="s">
        <v>2246</v>
      </c>
      <c r="F1831" t="s">
        <v>104</v>
      </c>
      <c r="G1831" t="s">
        <v>105</v>
      </c>
      <c r="H1831">
        <v>0</v>
      </c>
    </row>
    <row r="1832" spans="1:8">
      <c r="A1832" t="s">
        <v>4882</v>
      </c>
      <c r="B1832" s="24">
        <v>46181</v>
      </c>
      <c r="C1832" s="27" t="s">
        <v>5797</v>
      </c>
      <c r="D1832" s="27" t="s">
        <v>3228</v>
      </c>
      <c r="E1832" t="s">
        <v>2247</v>
      </c>
      <c r="F1832" t="s">
        <v>104</v>
      </c>
      <c r="G1832" t="s">
        <v>105</v>
      </c>
      <c r="H1832">
        <v>0</v>
      </c>
    </row>
    <row r="1833" spans="1:8">
      <c r="A1833" t="s">
        <v>4883</v>
      </c>
      <c r="B1833" s="24">
        <v>46182</v>
      </c>
      <c r="C1833" s="27" t="s">
        <v>5797</v>
      </c>
      <c r="D1833" s="27" t="s">
        <v>3228</v>
      </c>
      <c r="E1833" t="s">
        <v>2248</v>
      </c>
      <c r="F1833" t="s">
        <v>104</v>
      </c>
      <c r="G1833" t="s">
        <v>105</v>
      </c>
      <c r="H1833">
        <v>0</v>
      </c>
    </row>
    <row r="1834" spans="1:8">
      <c r="A1834" t="s">
        <v>4884</v>
      </c>
      <c r="B1834" s="24">
        <v>46183</v>
      </c>
      <c r="C1834" s="27" t="s">
        <v>5797</v>
      </c>
      <c r="D1834" s="27" t="s">
        <v>3228</v>
      </c>
      <c r="E1834" t="s">
        <v>2249</v>
      </c>
      <c r="F1834" t="s">
        <v>104</v>
      </c>
      <c r="G1834" t="s">
        <v>105</v>
      </c>
      <c r="H1834">
        <v>0</v>
      </c>
    </row>
    <row r="1835" spans="1:8">
      <c r="A1835" t="s">
        <v>4885</v>
      </c>
      <c r="B1835" s="24">
        <v>46184</v>
      </c>
      <c r="C1835" s="27" t="s">
        <v>5797</v>
      </c>
      <c r="D1835" s="27" t="s">
        <v>3228</v>
      </c>
      <c r="E1835" t="s">
        <v>2250</v>
      </c>
      <c r="F1835" t="s">
        <v>104</v>
      </c>
      <c r="G1835" t="s">
        <v>105</v>
      </c>
      <c r="H1835">
        <v>0</v>
      </c>
    </row>
    <row r="1836" spans="1:8">
      <c r="A1836" t="s">
        <v>4886</v>
      </c>
      <c r="B1836" s="24">
        <v>46185</v>
      </c>
      <c r="C1836" s="27" t="s">
        <v>5797</v>
      </c>
      <c r="D1836" s="27" t="s">
        <v>3228</v>
      </c>
      <c r="E1836" t="s">
        <v>2251</v>
      </c>
      <c r="F1836" t="s">
        <v>104</v>
      </c>
      <c r="G1836" t="s">
        <v>105</v>
      </c>
      <c r="H1836">
        <v>0</v>
      </c>
    </row>
    <row r="1837" spans="1:8">
      <c r="A1837" t="s">
        <v>4887</v>
      </c>
      <c r="B1837" s="24">
        <v>46174</v>
      </c>
      <c r="C1837" s="27" t="s">
        <v>5797</v>
      </c>
      <c r="D1837" s="27" t="s">
        <v>3228</v>
      </c>
      <c r="E1837" t="s">
        <v>2252</v>
      </c>
      <c r="F1837" t="s">
        <v>104</v>
      </c>
      <c r="G1837" t="s">
        <v>105</v>
      </c>
      <c r="H1837">
        <v>0</v>
      </c>
    </row>
    <row r="1838" spans="1:8">
      <c r="A1838" t="s">
        <v>4888</v>
      </c>
      <c r="B1838" s="24">
        <v>46175</v>
      </c>
      <c r="C1838" s="27" t="s">
        <v>5797</v>
      </c>
      <c r="D1838" s="27" t="s">
        <v>3228</v>
      </c>
      <c r="E1838" t="s">
        <v>2253</v>
      </c>
      <c r="F1838" t="s">
        <v>104</v>
      </c>
      <c r="G1838" t="s">
        <v>105</v>
      </c>
      <c r="H1838">
        <v>0</v>
      </c>
    </row>
    <row r="1839" spans="1:8">
      <c r="A1839" t="s">
        <v>4889</v>
      </c>
      <c r="B1839" s="24">
        <v>46176</v>
      </c>
      <c r="C1839" s="27" t="s">
        <v>5797</v>
      </c>
      <c r="D1839" s="27" t="s">
        <v>3228</v>
      </c>
      <c r="E1839" t="s">
        <v>2254</v>
      </c>
      <c r="F1839" t="s">
        <v>104</v>
      </c>
      <c r="G1839" t="s">
        <v>105</v>
      </c>
      <c r="H1839">
        <v>0</v>
      </c>
    </row>
    <row r="1840" spans="1:8">
      <c r="A1840" t="s">
        <v>4890</v>
      </c>
      <c r="B1840" s="24">
        <v>46177</v>
      </c>
      <c r="C1840" s="27" t="s">
        <v>5797</v>
      </c>
      <c r="D1840" s="27" t="s">
        <v>3228</v>
      </c>
      <c r="E1840" t="s">
        <v>2255</v>
      </c>
      <c r="F1840" t="s">
        <v>104</v>
      </c>
      <c r="G1840" t="s">
        <v>105</v>
      </c>
      <c r="H1840">
        <v>0</v>
      </c>
    </row>
    <row r="1841" spans="1:8">
      <c r="A1841" t="s">
        <v>4891</v>
      </c>
      <c r="B1841" s="24">
        <v>46178</v>
      </c>
      <c r="C1841" s="27" t="s">
        <v>5797</v>
      </c>
      <c r="D1841" s="27" t="s">
        <v>3228</v>
      </c>
      <c r="E1841" t="s">
        <v>2256</v>
      </c>
      <c r="F1841" t="s">
        <v>104</v>
      </c>
      <c r="G1841" t="s">
        <v>105</v>
      </c>
      <c r="H1841">
        <v>0</v>
      </c>
    </row>
    <row r="1842" spans="1:8">
      <c r="A1842" t="s">
        <v>4892</v>
      </c>
      <c r="B1842" s="24">
        <v>46181</v>
      </c>
      <c r="C1842" s="27" t="s">
        <v>5797</v>
      </c>
      <c r="D1842" s="27" t="s">
        <v>3228</v>
      </c>
      <c r="E1842" t="s">
        <v>2257</v>
      </c>
      <c r="F1842" t="s">
        <v>104</v>
      </c>
      <c r="G1842" t="s">
        <v>105</v>
      </c>
      <c r="H1842">
        <v>0</v>
      </c>
    </row>
    <row r="1843" spans="1:8">
      <c r="A1843" t="s">
        <v>4893</v>
      </c>
      <c r="B1843" s="24">
        <v>46182</v>
      </c>
      <c r="C1843" s="27" t="s">
        <v>5797</v>
      </c>
      <c r="D1843" s="27" t="s">
        <v>3228</v>
      </c>
      <c r="E1843" t="s">
        <v>2258</v>
      </c>
      <c r="F1843" t="s">
        <v>104</v>
      </c>
      <c r="G1843" t="s">
        <v>105</v>
      </c>
      <c r="H1843">
        <v>0</v>
      </c>
    </row>
    <row r="1844" spans="1:8">
      <c r="A1844" t="s">
        <v>4894</v>
      </c>
      <c r="B1844" s="24">
        <v>46183</v>
      </c>
      <c r="C1844" s="27" t="s">
        <v>5797</v>
      </c>
      <c r="D1844" s="27" t="s">
        <v>3228</v>
      </c>
      <c r="E1844" t="s">
        <v>2259</v>
      </c>
      <c r="F1844" t="s">
        <v>104</v>
      </c>
      <c r="G1844" t="s">
        <v>105</v>
      </c>
      <c r="H1844">
        <v>0</v>
      </c>
    </row>
    <row r="1845" spans="1:8">
      <c r="A1845" t="s">
        <v>4895</v>
      </c>
      <c r="B1845" s="24">
        <v>46184</v>
      </c>
      <c r="C1845" s="27" t="s">
        <v>5797</v>
      </c>
      <c r="D1845" s="27" t="s">
        <v>3228</v>
      </c>
      <c r="E1845" t="s">
        <v>2260</v>
      </c>
      <c r="F1845" t="s">
        <v>104</v>
      </c>
      <c r="G1845" t="s">
        <v>105</v>
      </c>
      <c r="H1845">
        <v>0</v>
      </c>
    </row>
    <row r="1846" spans="1:8">
      <c r="A1846" t="s">
        <v>4896</v>
      </c>
      <c r="B1846" s="24">
        <v>46185</v>
      </c>
      <c r="C1846" s="27" t="s">
        <v>5797</v>
      </c>
      <c r="D1846" s="27" t="s">
        <v>3228</v>
      </c>
      <c r="E1846" t="s">
        <v>2261</v>
      </c>
      <c r="F1846" t="s">
        <v>104</v>
      </c>
      <c r="G1846" t="s">
        <v>105</v>
      </c>
      <c r="H1846">
        <v>0</v>
      </c>
    </row>
    <row r="1847" spans="1:8">
      <c r="A1847" t="s">
        <v>4897</v>
      </c>
      <c r="B1847" s="24">
        <v>46174</v>
      </c>
      <c r="C1847" s="27" t="s">
        <v>5797</v>
      </c>
      <c r="D1847" s="27" t="s">
        <v>3228</v>
      </c>
      <c r="E1847" t="s">
        <v>2262</v>
      </c>
      <c r="F1847" t="s">
        <v>104</v>
      </c>
      <c r="G1847" t="s">
        <v>105</v>
      </c>
      <c r="H1847">
        <v>0</v>
      </c>
    </row>
    <row r="1848" spans="1:8">
      <c r="A1848" t="s">
        <v>4898</v>
      </c>
      <c r="B1848" s="24">
        <v>46175</v>
      </c>
      <c r="C1848" s="27" t="s">
        <v>5797</v>
      </c>
      <c r="D1848" s="27" t="s">
        <v>3228</v>
      </c>
      <c r="E1848" t="s">
        <v>2263</v>
      </c>
      <c r="F1848" t="s">
        <v>104</v>
      </c>
      <c r="G1848" t="s">
        <v>105</v>
      </c>
      <c r="H1848">
        <v>0</v>
      </c>
    </row>
    <row r="1849" spans="1:8">
      <c r="A1849" t="s">
        <v>4899</v>
      </c>
      <c r="B1849" s="24">
        <v>46176</v>
      </c>
      <c r="C1849" s="27" t="s">
        <v>5797</v>
      </c>
      <c r="D1849" s="27" t="s">
        <v>3228</v>
      </c>
      <c r="E1849" t="s">
        <v>2264</v>
      </c>
      <c r="F1849" t="s">
        <v>104</v>
      </c>
      <c r="G1849" t="s">
        <v>105</v>
      </c>
      <c r="H1849">
        <v>0</v>
      </c>
    </row>
    <row r="1850" spans="1:8">
      <c r="A1850" t="s">
        <v>4900</v>
      </c>
      <c r="B1850" s="24">
        <v>46177</v>
      </c>
      <c r="C1850" s="27" t="s">
        <v>5797</v>
      </c>
      <c r="D1850" s="27" t="s">
        <v>3228</v>
      </c>
      <c r="E1850" t="s">
        <v>2265</v>
      </c>
      <c r="F1850" t="s">
        <v>104</v>
      </c>
      <c r="G1850" t="s">
        <v>105</v>
      </c>
      <c r="H1850">
        <v>0</v>
      </c>
    </row>
    <row r="1851" spans="1:8">
      <c r="A1851" t="s">
        <v>4901</v>
      </c>
      <c r="B1851" s="24">
        <v>46178</v>
      </c>
      <c r="C1851" s="27" t="s">
        <v>5797</v>
      </c>
      <c r="D1851" s="27" t="s">
        <v>3228</v>
      </c>
      <c r="E1851" t="s">
        <v>2266</v>
      </c>
      <c r="F1851" t="s">
        <v>104</v>
      </c>
      <c r="G1851" t="s">
        <v>105</v>
      </c>
      <c r="H1851">
        <v>0</v>
      </c>
    </row>
    <row r="1852" spans="1:8">
      <c r="A1852" t="s">
        <v>4902</v>
      </c>
      <c r="B1852" s="24">
        <v>46181</v>
      </c>
      <c r="C1852" s="27" t="s">
        <v>5797</v>
      </c>
      <c r="D1852" s="27" t="s">
        <v>3228</v>
      </c>
      <c r="E1852" t="s">
        <v>2267</v>
      </c>
      <c r="F1852" t="s">
        <v>104</v>
      </c>
      <c r="G1852" t="s">
        <v>105</v>
      </c>
      <c r="H1852">
        <v>0</v>
      </c>
    </row>
    <row r="1853" spans="1:8">
      <c r="A1853" t="s">
        <v>4903</v>
      </c>
      <c r="B1853" s="24">
        <v>46182</v>
      </c>
      <c r="C1853" s="27" t="s">
        <v>5797</v>
      </c>
      <c r="D1853" s="27" t="s">
        <v>3228</v>
      </c>
      <c r="E1853" t="s">
        <v>2268</v>
      </c>
      <c r="F1853" t="s">
        <v>104</v>
      </c>
      <c r="G1853" t="s">
        <v>105</v>
      </c>
      <c r="H1853">
        <v>0</v>
      </c>
    </row>
    <row r="1854" spans="1:8">
      <c r="A1854" t="s">
        <v>4904</v>
      </c>
      <c r="B1854" s="24">
        <v>46183</v>
      </c>
      <c r="C1854" s="27" t="s">
        <v>5797</v>
      </c>
      <c r="D1854" s="27" t="s">
        <v>3228</v>
      </c>
      <c r="E1854" t="s">
        <v>2269</v>
      </c>
      <c r="F1854" t="s">
        <v>104</v>
      </c>
      <c r="G1854" t="s">
        <v>105</v>
      </c>
      <c r="H1854">
        <v>0</v>
      </c>
    </row>
    <row r="1855" spans="1:8">
      <c r="A1855" t="s">
        <v>4905</v>
      </c>
      <c r="B1855" s="24">
        <v>46184</v>
      </c>
      <c r="C1855" s="27" t="s">
        <v>5797</v>
      </c>
      <c r="D1855" s="27" t="s">
        <v>3228</v>
      </c>
      <c r="E1855" t="s">
        <v>2270</v>
      </c>
      <c r="F1855" t="s">
        <v>104</v>
      </c>
      <c r="G1855" t="s">
        <v>105</v>
      </c>
      <c r="H1855">
        <v>0</v>
      </c>
    </row>
    <row r="1856" spans="1:8">
      <c r="A1856" t="s">
        <v>4906</v>
      </c>
      <c r="B1856" s="24">
        <v>46185</v>
      </c>
      <c r="C1856" s="27" t="s">
        <v>5797</v>
      </c>
      <c r="D1856" s="27" t="s">
        <v>3228</v>
      </c>
      <c r="E1856" t="s">
        <v>2271</v>
      </c>
      <c r="F1856" t="s">
        <v>104</v>
      </c>
      <c r="G1856" t="s">
        <v>105</v>
      </c>
      <c r="H1856">
        <v>0</v>
      </c>
    </row>
    <row r="1857" spans="1:8">
      <c r="A1857" t="s">
        <v>4907</v>
      </c>
      <c r="B1857" s="24">
        <v>46174</v>
      </c>
      <c r="C1857" s="27" t="s">
        <v>5797</v>
      </c>
      <c r="D1857" s="27" t="s">
        <v>3228</v>
      </c>
      <c r="E1857" t="s">
        <v>2272</v>
      </c>
      <c r="F1857" t="s">
        <v>104</v>
      </c>
      <c r="G1857" t="s">
        <v>105</v>
      </c>
      <c r="H1857">
        <v>0</v>
      </c>
    </row>
    <row r="1858" spans="1:8">
      <c r="A1858" t="s">
        <v>4908</v>
      </c>
      <c r="B1858" s="24">
        <v>46175</v>
      </c>
      <c r="C1858" s="27" t="s">
        <v>5797</v>
      </c>
      <c r="D1858" s="27" t="s">
        <v>3228</v>
      </c>
      <c r="E1858" t="s">
        <v>2273</v>
      </c>
      <c r="F1858" t="s">
        <v>104</v>
      </c>
      <c r="G1858" t="s">
        <v>105</v>
      </c>
      <c r="H1858">
        <v>0</v>
      </c>
    </row>
    <row r="1859" spans="1:8">
      <c r="A1859" t="s">
        <v>4909</v>
      </c>
      <c r="B1859" s="24">
        <v>46176</v>
      </c>
      <c r="C1859" s="27" t="s">
        <v>5797</v>
      </c>
      <c r="D1859" s="27" t="s">
        <v>3228</v>
      </c>
      <c r="E1859" t="s">
        <v>2274</v>
      </c>
      <c r="F1859" t="s">
        <v>104</v>
      </c>
      <c r="G1859" t="s">
        <v>105</v>
      </c>
      <c r="H1859">
        <v>0</v>
      </c>
    </row>
    <row r="1860" spans="1:8">
      <c r="A1860" t="s">
        <v>4910</v>
      </c>
      <c r="B1860" s="24">
        <v>46177</v>
      </c>
      <c r="C1860" s="27" t="s">
        <v>5797</v>
      </c>
      <c r="D1860" s="27" t="s">
        <v>3228</v>
      </c>
      <c r="E1860" t="s">
        <v>2275</v>
      </c>
      <c r="F1860" t="s">
        <v>104</v>
      </c>
      <c r="G1860" t="s">
        <v>105</v>
      </c>
      <c r="H1860">
        <v>0</v>
      </c>
    </row>
    <row r="1861" spans="1:8">
      <c r="A1861" t="s">
        <v>4911</v>
      </c>
      <c r="B1861" s="24">
        <v>46178</v>
      </c>
      <c r="C1861" s="27" t="s">
        <v>5797</v>
      </c>
      <c r="D1861" s="27" t="s">
        <v>3228</v>
      </c>
      <c r="E1861" t="s">
        <v>2276</v>
      </c>
      <c r="F1861" t="s">
        <v>104</v>
      </c>
      <c r="G1861" t="s">
        <v>105</v>
      </c>
      <c r="H1861">
        <v>0</v>
      </c>
    </row>
    <row r="1862" spans="1:8">
      <c r="A1862" t="s">
        <v>4912</v>
      </c>
      <c r="B1862" s="24">
        <v>46181</v>
      </c>
      <c r="C1862" s="27" t="s">
        <v>5797</v>
      </c>
      <c r="D1862" s="27" t="s">
        <v>3228</v>
      </c>
      <c r="E1862" t="s">
        <v>2277</v>
      </c>
      <c r="F1862" t="s">
        <v>104</v>
      </c>
      <c r="G1862" t="s">
        <v>105</v>
      </c>
      <c r="H1862">
        <v>0</v>
      </c>
    </row>
    <row r="1863" spans="1:8">
      <c r="A1863" t="s">
        <v>4913</v>
      </c>
      <c r="B1863" s="24">
        <v>46182</v>
      </c>
      <c r="C1863" s="27" t="s">
        <v>5797</v>
      </c>
      <c r="D1863" s="27" t="s">
        <v>3228</v>
      </c>
      <c r="E1863" t="s">
        <v>2278</v>
      </c>
      <c r="F1863" t="s">
        <v>104</v>
      </c>
      <c r="G1863" t="s">
        <v>105</v>
      </c>
      <c r="H1863">
        <v>0</v>
      </c>
    </row>
    <row r="1864" spans="1:8">
      <c r="A1864" t="s">
        <v>4914</v>
      </c>
      <c r="B1864" s="24">
        <v>46183</v>
      </c>
      <c r="C1864" s="27" t="s">
        <v>5797</v>
      </c>
      <c r="D1864" s="27" t="s">
        <v>3228</v>
      </c>
      <c r="E1864" t="s">
        <v>2279</v>
      </c>
      <c r="F1864" t="s">
        <v>104</v>
      </c>
      <c r="G1864" t="s">
        <v>105</v>
      </c>
      <c r="H1864">
        <v>0</v>
      </c>
    </row>
    <row r="1865" spans="1:8">
      <c r="A1865" t="s">
        <v>4915</v>
      </c>
      <c r="B1865" s="24">
        <v>46184</v>
      </c>
      <c r="C1865" s="27" t="s">
        <v>5797</v>
      </c>
      <c r="D1865" s="27" t="s">
        <v>3228</v>
      </c>
      <c r="E1865" t="s">
        <v>2280</v>
      </c>
      <c r="F1865" t="s">
        <v>104</v>
      </c>
      <c r="G1865" t="s">
        <v>105</v>
      </c>
      <c r="H1865">
        <v>0</v>
      </c>
    </row>
    <row r="1866" spans="1:8">
      <c r="A1866" t="s">
        <v>4916</v>
      </c>
      <c r="B1866" s="24">
        <v>46185</v>
      </c>
      <c r="C1866" s="27" t="s">
        <v>5797</v>
      </c>
      <c r="D1866" s="27" t="s">
        <v>3228</v>
      </c>
      <c r="E1866" t="s">
        <v>2281</v>
      </c>
      <c r="F1866" t="s">
        <v>104</v>
      </c>
      <c r="G1866" t="s">
        <v>105</v>
      </c>
      <c r="H1866">
        <v>0</v>
      </c>
    </row>
    <row r="1867" spans="1:8">
      <c r="A1867" t="s">
        <v>4917</v>
      </c>
      <c r="B1867" s="24">
        <v>46174</v>
      </c>
      <c r="C1867" s="27" t="s">
        <v>5797</v>
      </c>
      <c r="D1867" s="27" t="s">
        <v>3228</v>
      </c>
      <c r="E1867" t="s">
        <v>2282</v>
      </c>
      <c r="F1867" t="s">
        <v>104</v>
      </c>
      <c r="G1867" t="s">
        <v>105</v>
      </c>
      <c r="H1867">
        <v>0</v>
      </c>
    </row>
    <row r="1868" spans="1:8">
      <c r="A1868" t="s">
        <v>4918</v>
      </c>
      <c r="B1868" s="24">
        <v>46175</v>
      </c>
      <c r="C1868" s="27" t="s">
        <v>5797</v>
      </c>
      <c r="D1868" s="27" t="s">
        <v>3228</v>
      </c>
      <c r="E1868" t="s">
        <v>2283</v>
      </c>
      <c r="F1868" t="s">
        <v>104</v>
      </c>
      <c r="G1868" t="s">
        <v>105</v>
      </c>
      <c r="H1868">
        <v>0</v>
      </c>
    </row>
    <row r="1869" spans="1:8">
      <c r="A1869" t="s">
        <v>4919</v>
      </c>
      <c r="B1869" s="24">
        <v>46176</v>
      </c>
      <c r="C1869" s="27" t="s">
        <v>5797</v>
      </c>
      <c r="D1869" s="27" t="s">
        <v>3228</v>
      </c>
      <c r="E1869" t="s">
        <v>2284</v>
      </c>
      <c r="F1869" t="s">
        <v>104</v>
      </c>
      <c r="G1869" t="s">
        <v>105</v>
      </c>
      <c r="H1869">
        <v>0</v>
      </c>
    </row>
    <row r="1870" spans="1:8">
      <c r="A1870" t="s">
        <v>4920</v>
      </c>
      <c r="B1870" s="24">
        <v>46177</v>
      </c>
      <c r="C1870" s="27" t="s">
        <v>5797</v>
      </c>
      <c r="D1870" s="27" t="s">
        <v>3228</v>
      </c>
      <c r="E1870" t="s">
        <v>2285</v>
      </c>
      <c r="F1870" t="s">
        <v>104</v>
      </c>
      <c r="G1870" t="s">
        <v>105</v>
      </c>
      <c r="H1870">
        <v>0</v>
      </c>
    </row>
    <row r="1871" spans="1:8">
      <c r="A1871" t="s">
        <v>4921</v>
      </c>
      <c r="B1871" s="24">
        <v>46178</v>
      </c>
      <c r="C1871" s="27" t="s">
        <v>5797</v>
      </c>
      <c r="D1871" s="27" t="s">
        <v>3228</v>
      </c>
      <c r="E1871" t="s">
        <v>2286</v>
      </c>
      <c r="F1871" t="s">
        <v>104</v>
      </c>
      <c r="G1871" t="s">
        <v>105</v>
      </c>
      <c r="H1871">
        <v>0</v>
      </c>
    </row>
    <row r="1872" spans="1:8">
      <c r="A1872" t="s">
        <v>4922</v>
      </c>
      <c r="B1872" s="24">
        <v>46181</v>
      </c>
      <c r="C1872" s="27" t="s">
        <v>5797</v>
      </c>
      <c r="D1872" s="27" t="s">
        <v>3228</v>
      </c>
      <c r="E1872" t="s">
        <v>2287</v>
      </c>
      <c r="F1872" t="s">
        <v>104</v>
      </c>
      <c r="G1872" t="s">
        <v>105</v>
      </c>
      <c r="H1872">
        <v>0</v>
      </c>
    </row>
    <row r="1873" spans="1:8">
      <c r="A1873" t="s">
        <v>4923</v>
      </c>
      <c r="B1873" s="24">
        <v>46182</v>
      </c>
      <c r="C1873" s="27" t="s">
        <v>5797</v>
      </c>
      <c r="D1873" s="27" t="s">
        <v>3228</v>
      </c>
      <c r="E1873" t="s">
        <v>2288</v>
      </c>
      <c r="F1873" t="s">
        <v>104</v>
      </c>
      <c r="G1873" t="s">
        <v>105</v>
      </c>
      <c r="H1873">
        <v>0</v>
      </c>
    </row>
    <row r="1874" spans="1:8">
      <c r="A1874" t="s">
        <v>4924</v>
      </c>
      <c r="B1874" s="24">
        <v>46183</v>
      </c>
      <c r="C1874" s="27" t="s">
        <v>5797</v>
      </c>
      <c r="D1874" s="27" t="s">
        <v>3228</v>
      </c>
      <c r="E1874" t="s">
        <v>2289</v>
      </c>
      <c r="F1874" t="s">
        <v>104</v>
      </c>
      <c r="G1874" t="s">
        <v>105</v>
      </c>
      <c r="H1874">
        <v>0</v>
      </c>
    </row>
    <row r="1875" spans="1:8">
      <c r="A1875" t="s">
        <v>4925</v>
      </c>
      <c r="B1875" s="24">
        <v>46184</v>
      </c>
      <c r="C1875" s="27" t="s">
        <v>5797</v>
      </c>
      <c r="D1875" s="27" t="s">
        <v>3228</v>
      </c>
      <c r="E1875" t="s">
        <v>2290</v>
      </c>
      <c r="F1875" t="s">
        <v>104</v>
      </c>
      <c r="G1875" t="s">
        <v>105</v>
      </c>
      <c r="H1875">
        <v>0</v>
      </c>
    </row>
    <row r="1876" spans="1:8">
      <c r="A1876" t="s">
        <v>4926</v>
      </c>
      <c r="B1876" s="24">
        <v>46185</v>
      </c>
      <c r="C1876" s="27" t="s">
        <v>5797</v>
      </c>
      <c r="D1876" s="27" t="s">
        <v>3228</v>
      </c>
      <c r="E1876" t="s">
        <v>2291</v>
      </c>
      <c r="F1876" t="s">
        <v>104</v>
      </c>
      <c r="G1876" t="s">
        <v>105</v>
      </c>
      <c r="H1876">
        <v>0</v>
      </c>
    </row>
    <row r="1877" spans="1:8">
      <c r="A1877" t="s">
        <v>4927</v>
      </c>
      <c r="B1877" s="24">
        <v>46174</v>
      </c>
      <c r="C1877" s="27" t="s">
        <v>5797</v>
      </c>
      <c r="D1877" s="27" t="s">
        <v>3228</v>
      </c>
      <c r="E1877" t="s">
        <v>2292</v>
      </c>
      <c r="F1877" t="s">
        <v>104</v>
      </c>
      <c r="G1877" t="s">
        <v>105</v>
      </c>
      <c r="H1877">
        <v>0</v>
      </c>
    </row>
    <row r="1878" spans="1:8">
      <c r="A1878" t="s">
        <v>4928</v>
      </c>
      <c r="B1878" s="24">
        <v>46175</v>
      </c>
      <c r="C1878" s="27" t="s">
        <v>5797</v>
      </c>
      <c r="D1878" s="27" t="s">
        <v>3228</v>
      </c>
      <c r="E1878" t="s">
        <v>2293</v>
      </c>
      <c r="F1878" t="s">
        <v>104</v>
      </c>
      <c r="G1878" t="s">
        <v>105</v>
      </c>
      <c r="H1878">
        <v>0</v>
      </c>
    </row>
    <row r="1879" spans="1:8">
      <c r="A1879" t="s">
        <v>4929</v>
      </c>
      <c r="B1879" s="24">
        <v>46176</v>
      </c>
      <c r="C1879" s="27" t="s">
        <v>5797</v>
      </c>
      <c r="D1879" s="27" t="s">
        <v>3228</v>
      </c>
      <c r="E1879" t="s">
        <v>2294</v>
      </c>
      <c r="F1879" t="s">
        <v>104</v>
      </c>
      <c r="G1879" t="s">
        <v>105</v>
      </c>
      <c r="H1879">
        <v>0</v>
      </c>
    </row>
    <row r="1880" spans="1:8">
      <c r="A1880" t="s">
        <v>4930</v>
      </c>
      <c r="B1880" s="24">
        <v>46177</v>
      </c>
      <c r="C1880" s="27" t="s">
        <v>5797</v>
      </c>
      <c r="D1880" s="27" t="s">
        <v>3228</v>
      </c>
      <c r="E1880" t="s">
        <v>2295</v>
      </c>
      <c r="F1880" t="s">
        <v>104</v>
      </c>
      <c r="G1880" t="s">
        <v>105</v>
      </c>
      <c r="H1880">
        <v>0</v>
      </c>
    </row>
    <row r="1881" spans="1:8">
      <c r="A1881" t="s">
        <v>4931</v>
      </c>
      <c r="B1881" s="24">
        <v>46178</v>
      </c>
      <c r="C1881" s="27" t="s">
        <v>5797</v>
      </c>
      <c r="D1881" s="27" t="s">
        <v>3228</v>
      </c>
      <c r="E1881" t="s">
        <v>2296</v>
      </c>
      <c r="F1881" t="s">
        <v>104</v>
      </c>
      <c r="G1881" t="s">
        <v>105</v>
      </c>
      <c r="H1881">
        <v>0</v>
      </c>
    </row>
    <row r="1882" spans="1:8">
      <c r="A1882" t="s">
        <v>4932</v>
      </c>
      <c r="B1882" s="24">
        <v>46181</v>
      </c>
      <c r="C1882" s="27" t="s">
        <v>5797</v>
      </c>
      <c r="D1882" s="27" t="s">
        <v>3228</v>
      </c>
      <c r="E1882" t="s">
        <v>2297</v>
      </c>
      <c r="F1882" t="s">
        <v>104</v>
      </c>
      <c r="G1882" t="s">
        <v>105</v>
      </c>
      <c r="H1882">
        <v>0</v>
      </c>
    </row>
    <row r="1883" spans="1:8">
      <c r="A1883" t="s">
        <v>4933</v>
      </c>
      <c r="B1883" s="24">
        <v>46182</v>
      </c>
      <c r="C1883" s="27" t="s">
        <v>5797</v>
      </c>
      <c r="D1883" s="27" t="s">
        <v>3228</v>
      </c>
      <c r="E1883" t="s">
        <v>2298</v>
      </c>
      <c r="F1883" t="s">
        <v>104</v>
      </c>
      <c r="G1883" t="s">
        <v>105</v>
      </c>
      <c r="H1883">
        <v>0</v>
      </c>
    </row>
    <row r="1884" spans="1:8">
      <c r="A1884" t="s">
        <v>4934</v>
      </c>
      <c r="B1884" s="24">
        <v>46183</v>
      </c>
      <c r="C1884" s="27" t="s">
        <v>5797</v>
      </c>
      <c r="D1884" s="27" t="s">
        <v>3228</v>
      </c>
      <c r="E1884" t="s">
        <v>2299</v>
      </c>
      <c r="F1884" t="s">
        <v>104</v>
      </c>
      <c r="G1884" t="s">
        <v>105</v>
      </c>
      <c r="H1884">
        <v>0</v>
      </c>
    </row>
    <row r="1885" spans="1:8">
      <c r="A1885" t="s">
        <v>4935</v>
      </c>
      <c r="B1885" s="24">
        <v>46184</v>
      </c>
      <c r="C1885" s="27" t="s">
        <v>5797</v>
      </c>
      <c r="D1885" s="27" t="s">
        <v>3228</v>
      </c>
      <c r="E1885" t="s">
        <v>2300</v>
      </c>
      <c r="F1885" t="s">
        <v>104</v>
      </c>
      <c r="G1885" t="s">
        <v>105</v>
      </c>
      <c r="H1885">
        <v>0</v>
      </c>
    </row>
    <row r="1886" spans="1:8">
      <c r="A1886" t="s">
        <v>4936</v>
      </c>
      <c r="B1886" s="24">
        <v>46185</v>
      </c>
      <c r="C1886" s="27" t="s">
        <v>5797</v>
      </c>
      <c r="D1886" s="27" t="s">
        <v>3228</v>
      </c>
      <c r="E1886" t="s">
        <v>2301</v>
      </c>
      <c r="F1886" t="s">
        <v>104</v>
      </c>
      <c r="G1886" t="s">
        <v>105</v>
      </c>
      <c r="H1886">
        <v>0</v>
      </c>
    </row>
    <row r="1887" spans="1:8">
      <c r="A1887" t="s">
        <v>4937</v>
      </c>
      <c r="B1887" s="24">
        <v>46174</v>
      </c>
      <c r="C1887" s="27" t="s">
        <v>5797</v>
      </c>
      <c r="D1887" s="27" t="s">
        <v>3228</v>
      </c>
      <c r="E1887" t="s">
        <v>2302</v>
      </c>
      <c r="F1887" t="s">
        <v>104</v>
      </c>
      <c r="G1887" t="s">
        <v>105</v>
      </c>
      <c r="H1887">
        <v>0</v>
      </c>
    </row>
    <row r="1888" spans="1:8">
      <c r="A1888" t="s">
        <v>4938</v>
      </c>
      <c r="B1888" s="24">
        <v>46175</v>
      </c>
      <c r="C1888" s="27" t="s">
        <v>5797</v>
      </c>
      <c r="D1888" s="27" t="s">
        <v>3228</v>
      </c>
      <c r="E1888" t="s">
        <v>2303</v>
      </c>
      <c r="F1888" t="s">
        <v>104</v>
      </c>
      <c r="G1888" t="s">
        <v>105</v>
      </c>
      <c r="H1888">
        <v>0</v>
      </c>
    </row>
    <row r="1889" spans="1:8">
      <c r="A1889" t="s">
        <v>4939</v>
      </c>
      <c r="B1889" s="24">
        <v>46176</v>
      </c>
      <c r="C1889" s="27" t="s">
        <v>5797</v>
      </c>
      <c r="D1889" s="27" t="s">
        <v>3228</v>
      </c>
      <c r="E1889" t="s">
        <v>2304</v>
      </c>
      <c r="F1889" t="s">
        <v>104</v>
      </c>
      <c r="G1889" t="s">
        <v>105</v>
      </c>
      <c r="H1889">
        <v>0</v>
      </c>
    </row>
    <row r="1890" spans="1:8">
      <c r="A1890" t="s">
        <v>4940</v>
      </c>
      <c r="B1890" s="24">
        <v>46177</v>
      </c>
      <c r="C1890" s="27" t="s">
        <v>5797</v>
      </c>
      <c r="D1890" s="27" t="s">
        <v>3228</v>
      </c>
      <c r="E1890" t="s">
        <v>2305</v>
      </c>
      <c r="F1890" t="s">
        <v>104</v>
      </c>
      <c r="G1890" t="s">
        <v>105</v>
      </c>
      <c r="H1890">
        <v>0</v>
      </c>
    </row>
    <row r="1891" spans="1:8">
      <c r="A1891" t="s">
        <v>4941</v>
      </c>
      <c r="B1891" s="24">
        <v>46178</v>
      </c>
      <c r="C1891" s="27" t="s">
        <v>5797</v>
      </c>
      <c r="D1891" s="27" t="s">
        <v>3228</v>
      </c>
      <c r="E1891" t="s">
        <v>2306</v>
      </c>
      <c r="F1891" t="s">
        <v>104</v>
      </c>
      <c r="G1891" t="s">
        <v>105</v>
      </c>
      <c r="H1891">
        <v>0</v>
      </c>
    </row>
    <row r="1892" spans="1:8">
      <c r="A1892" t="s">
        <v>4942</v>
      </c>
      <c r="B1892" s="24">
        <v>46181</v>
      </c>
      <c r="C1892" s="27" t="s">
        <v>5797</v>
      </c>
      <c r="D1892" s="27" t="s">
        <v>3228</v>
      </c>
      <c r="E1892" t="s">
        <v>2307</v>
      </c>
      <c r="F1892" t="s">
        <v>104</v>
      </c>
      <c r="G1892" t="s">
        <v>105</v>
      </c>
      <c r="H1892">
        <v>0</v>
      </c>
    </row>
    <row r="1893" spans="1:8">
      <c r="A1893" t="s">
        <v>4943</v>
      </c>
      <c r="B1893" s="24">
        <v>46182</v>
      </c>
      <c r="C1893" s="27" t="s">
        <v>5797</v>
      </c>
      <c r="D1893" s="27" t="s">
        <v>3228</v>
      </c>
      <c r="E1893" t="s">
        <v>2308</v>
      </c>
      <c r="F1893" t="s">
        <v>104</v>
      </c>
      <c r="G1893" t="s">
        <v>105</v>
      </c>
      <c r="H1893">
        <v>0</v>
      </c>
    </row>
    <row r="1894" spans="1:8">
      <c r="A1894" t="s">
        <v>4944</v>
      </c>
      <c r="B1894" s="24">
        <v>46183</v>
      </c>
      <c r="C1894" s="27" t="s">
        <v>5797</v>
      </c>
      <c r="D1894" s="27" t="s">
        <v>3228</v>
      </c>
      <c r="E1894" t="s">
        <v>2309</v>
      </c>
      <c r="F1894" t="s">
        <v>104</v>
      </c>
      <c r="G1894" t="s">
        <v>105</v>
      </c>
      <c r="H1894">
        <v>0</v>
      </c>
    </row>
    <row r="1895" spans="1:8">
      <c r="A1895" t="s">
        <v>4945</v>
      </c>
      <c r="B1895" s="24">
        <v>46184</v>
      </c>
      <c r="C1895" s="27" t="s">
        <v>5797</v>
      </c>
      <c r="D1895" s="27" t="s">
        <v>3228</v>
      </c>
      <c r="E1895" t="s">
        <v>2310</v>
      </c>
      <c r="F1895" t="s">
        <v>104</v>
      </c>
      <c r="G1895" t="s">
        <v>105</v>
      </c>
      <c r="H1895">
        <v>0</v>
      </c>
    </row>
    <row r="1896" spans="1:8">
      <c r="A1896" t="s">
        <v>4946</v>
      </c>
      <c r="B1896" s="24">
        <v>46185</v>
      </c>
      <c r="C1896" s="27" t="s">
        <v>5797</v>
      </c>
      <c r="D1896" s="27" t="s">
        <v>3228</v>
      </c>
      <c r="E1896" t="s">
        <v>2311</v>
      </c>
      <c r="F1896" t="s">
        <v>104</v>
      </c>
      <c r="G1896" t="s">
        <v>105</v>
      </c>
      <c r="H1896">
        <v>0</v>
      </c>
    </row>
    <row r="1897" spans="1:8">
      <c r="A1897" t="s">
        <v>4947</v>
      </c>
      <c r="B1897" s="24">
        <v>46174</v>
      </c>
      <c r="C1897" s="27" t="s">
        <v>5797</v>
      </c>
      <c r="D1897" s="27" t="s">
        <v>3228</v>
      </c>
      <c r="E1897" t="s">
        <v>2312</v>
      </c>
      <c r="F1897" t="s">
        <v>104</v>
      </c>
      <c r="G1897" t="s">
        <v>105</v>
      </c>
      <c r="H1897">
        <v>0</v>
      </c>
    </row>
    <row r="1898" spans="1:8">
      <c r="A1898" t="s">
        <v>4948</v>
      </c>
      <c r="B1898" s="24">
        <v>46175</v>
      </c>
      <c r="C1898" s="27" t="s">
        <v>5797</v>
      </c>
      <c r="D1898" s="27" t="s">
        <v>3228</v>
      </c>
      <c r="E1898" t="s">
        <v>2313</v>
      </c>
      <c r="F1898" t="s">
        <v>104</v>
      </c>
      <c r="G1898" t="s">
        <v>105</v>
      </c>
      <c r="H1898">
        <v>0</v>
      </c>
    </row>
    <row r="1899" spans="1:8">
      <c r="A1899" t="s">
        <v>4949</v>
      </c>
      <c r="B1899" s="24">
        <v>46176</v>
      </c>
      <c r="C1899" s="27" t="s">
        <v>5797</v>
      </c>
      <c r="D1899" s="27" t="s">
        <v>3228</v>
      </c>
      <c r="E1899" t="s">
        <v>2314</v>
      </c>
      <c r="F1899" t="s">
        <v>104</v>
      </c>
      <c r="G1899" t="s">
        <v>105</v>
      </c>
      <c r="H1899">
        <v>0</v>
      </c>
    </row>
    <row r="1900" spans="1:8">
      <c r="A1900" t="s">
        <v>4950</v>
      </c>
      <c r="B1900" s="24">
        <v>46177</v>
      </c>
      <c r="C1900" s="27" t="s">
        <v>5797</v>
      </c>
      <c r="D1900" s="27" t="s">
        <v>3228</v>
      </c>
      <c r="E1900" t="s">
        <v>2315</v>
      </c>
      <c r="F1900" t="s">
        <v>104</v>
      </c>
      <c r="G1900" t="s">
        <v>105</v>
      </c>
      <c r="H1900">
        <v>0</v>
      </c>
    </row>
    <row r="1901" spans="1:8">
      <c r="A1901" t="s">
        <v>4951</v>
      </c>
      <c r="B1901" s="24">
        <v>46178</v>
      </c>
      <c r="C1901" s="27" t="s">
        <v>5797</v>
      </c>
      <c r="D1901" s="27" t="s">
        <v>3228</v>
      </c>
      <c r="E1901" t="s">
        <v>2316</v>
      </c>
      <c r="F1901" t="s">
        <v>104</v>
      </c>
      <c r="G1901" t="s">
        <v>105</v>
      </c>
      <c r="H1901">
        <v>0</v>
      </c>
    </row>
    <row r="1902" spans="1:8">
      <c r="A1902" t="s">
        <v>4952</v>
      </c>
      <c r="B1902" s="24">
        <v>46181</v>
      </c>
      <c r="C1902" s="27" t="s">
        <v>5797</v>
      </c>
      <c r="D1902" s="27" t="s">
        <v>3228</v>
      </c>
      <c r="E1902" t="s">
        <v>2317</v>
      </c>
      <c r="F1902" t="s">
        <v>104</v>
      </c>
      <c r="G1902" t="s">
        <v>105</v>
      </c>
      <c r="H1902">
        <v>0</v>
      </c>
    </row>
    <row r="1903" spans="1:8">
      <c r="A1903" t="s">
        <v>4953</v>
      </c>
      <c r="B1903" s="24">
        <v>46182</v>
      </c>
      <c r="C1903" s="27" t="s">
        <v>5797</v>
      </c>
      <c r="D1903" s="27" t="s">
        <v>3228</v>
      </c>
      <c r="E1903" t="s">
        <v>2318</v>
      </c>
      <c r="F1903" t="s">
        <v>104</v>
      </c>
      <c r="G1903" t="s">
        <v>105</v>
      </c>
      <c r="H1903">
        <v>0</v>
      </c>
    </row>
    <row r="1904" spans="1:8">
      <c r="A1904" t="s">
        <v>4954</v>
      </c>
      <c r="B1904" s="24">
        <v>46183</v>
      </c>
      <c r="C1904" s="27" t="s">
        <v>5797</v>
      </c>
      <c r="D1904" s="27" t="s">
        <v>3228</v>
      </c>
      <c r="E1904" t="s">
        <v>2319</v>
      </c>
      <c r="F1904" t="s">
        <v>104</v>
      </c>
      <c r="G1904" t="s">
        <v>105</v>
      </c>
      <c r="H1904">
        <v>0</v>
      </c>
    </row>
    <row r="1905" spans="1:8">
      <c r="A1905" t="s">
        <v>4955</v>
      </c>
      <c r="B1905" s="24">
        <v>46184</v>
      </c>
      <c r="C1905" s="27" t="s">
        <v>5797</v>
      </c>
      <c r="D1905" s="27" t="s">
        <v>3228</v>
      </c>
      <c r="E1905" t="s">
        <v>2320</v>
      </c>
      <c r="F1905" t="s">
        <v>104</v>
      </c>
      <c r="G1905" t="s">
        <v>105</v>
      </c>
      <c r="H1905">
        <v>0</v>
      </c>
    </row>
    <row r="1906" spans="1:8">
      <c r="A1906" t="s">
        <v>4956</v>
      </c>
      <c r="B1906" s="24">
        <v>46185</v>
      </c>
      <c r="C1906" s="27" t="s">
        <v>5797</v>
      </c>
      <c r="D1906" s="27" t="s">
        <v>3228</v>
      </c>
      <c r="E1906" t="s">
        <v>2321</v>
      </c>
      <c r="F1906" t="s">
        <v>104</v>
      </c>
      <c r="G1906" t="s">
        <v>105</v>
      </c>
      <c r="H1906">
        <v>0</v>
      </c>
    </row>
    <row r="1907" spans="1:8">
      <c r="A1907" t="s">
        <v>4957</v>
      </c>
      <c r="B1907" s="24">
        <v>46174</v>
      </c>
      <c r="C1907" s="27" t="s">
        <v>5797</v>
      </c>
      <c r="D1907" s="27" t="s">
        <v>3228</v>
      </c>
      <c r="E1907" t="s">
        <v>2322</v>
      </c>
      <c r="F1907" t="s">
        <v>104</v>
      </c>
      <c r="G1907" t="s">
        <v>105</v>
      </c>
      <c r="H1907">
        <v>0</v>
      </c>
    </row>
    <row r="1908" spans="1:8">
      <c r="A1908" t="s">
        <v>4958</v>
      </c>
      <c r="B1908" s="24">
        <v>46175</v>
      </c>
      <c r="C1908" s="27" t="s">
        <v>5797</v>
      </c>
      <c r="D1908" s="27" t="s">
        <v>3228</v>
      </c>
      <c r="E1908" t="s">
        <v>2323</v>
      </c>
      <c r="F1908" t="s">
        <v>104</v>
      </c>
      <c r="G1908" t="s">
        <v>105</v>
      </c>
      <c r="H1908">
        <v>0</v>
      </c>
    </row>
    <row r="1909" spans="1:8">
      <c r="A1909" t="s">
        <v>4959</v>
      </c>
      <c r="B1909" s="24">
        <v>46176</v>
      </c>
      <c r="C1909" s="27" t="s">
        <v>5797</v>
      </c>
      <c r="D1909" s="27" t="s">
        <v>3228</v>
      </c>
      <c r="E1909" t="s">
        <v>2324</v>
      </c>
      <c r="F1909" t="s">
        <v>104</v>
      </c>
      <c r="H1909" t="s">
        <v>5762</v>
      </c>
    </row>
    <row r="1910" spans="1:8">
      <c r="A1910" t="s">
        <v>4960</v>
      </c>
      <c r="B1910" s="24">
        <v>46177</v>
      </c>
      <c r="C1910" s="27" t="s">
        <v>5797</v>
      </c>
      <c r="D1910" s="27" t="s">
        <v>3228</v>
      </c>
      <c r="E1910" t="s">
        <v>2325</v>
      </c>
      <c r="F1910" t="s">
        <v>104</v>
      </c>
      <c r="H1910" t="s">
        <v>5762</v>
      </c>
    </row>
    <row r="1911" spans="1:8">
      <c r="A1911" t="s">
        <v>4961</v>
      </c>
      <c r="B1911" s="24">
        <v>46178</v>
      </c>
      <c r="C1911" s="27" t="s">
        <v>5797</v>
      </c>
      <c r="D1911" s="27" t="s">
        <v>3228</v>
      </c>
      <c r="E1911" t="s">
        <v>2326</v>
      </c>
      <c r="F1911" t="s">
        <v>104</v>
      </c>
      <c r="H1911" t="s">
        <v>5762</v>
      </c>
    </row>
    <row r="1912" spans="1:8">
      <c r="A1912" t="s">
        <v>4962</v>
      </c>
      <c r="B1912" s="24">
        <v>46181</v>
      </c>
      <c r="C1912" s="27" t="s">
        <v>5797</v>
      </c>
      <c r="D1912" s="27" t="s">
        <v>3228</v>
      </c>
      <c r="E1912" t="s">
        <v>2327</v>
      </c>
      <c r="F1912" t="s">
        <v>104</v>
      </c>
      <c r="H1912" t="s">
        <v>5762</v>
      </c>
    </row>
    <row r="1913" spans="1:8">
      <c r="A1913" t="s">
        <v>4963</v>
      </c>
      <c r="B1913" s="24">
        <v>46182</v>
      </c>
      <c r="C1913" s="27" t="s">
        <v>5797</v>
      </c>
      <c r="D1913" s="27" t="s">
        <v>3228</v>
      </c>
      <c r="E1913" t="s">
        <v>2328</v>
      </c>
      <c r="F1913" t="s">
        <v>104</v>
      </c>
      <c r="H1913" t="s">
        <v>5762</v>
      </c>
    </row>
    <row r="1914" spans="1:8">
      <c r="A1914" t="s">
        <v>4964</v>
      </c>
      <c r="B1914" s="24">
        <v>46183</v>
      </c>
      <c r="C1914" s="27" t="s">
        <v>5797</v>
      </c>
      <c r="D1914" s="27" t="s">
        <v>3228</v>
      </c>
      <c r="E1914" t="s">
        <v>2329</v>
      </c>
      <c r="F1914" t="s">
        <v>104</v>
      </c>
      <c r="H1914" t="s">
        <v>5762</v>
      </c>
    </row>
    <row r="1915" spans="1:8">
      <c r="A1915" t="s">
        <v>4965</v>
      </c>
      <c r="B1915" s="24">
        <v>46184</v>
      </c>
      <c r="C1915" s="27" t="s">
        <v>5797</v>
      </c>
      <c r="D1915" s="27" t="s">
        <v>3228</v>
      </c>
      <c r="E1915" t="s">
        <v>2330</v>
      </c>
      <c r="F1915" t="s">
        <v>104</v>
      </c>
      <c r="H1915" t="s">
        <v>5762</v>
      </c>
    </row>
    <row r="1916" spans="1:8">
      <c r="A1916" t="s">
        <v>4966</v>
      </c>
      <c r="B1916" s="24">
        <v>46185</v>
      </c>
      <c r="C1916" s="27" t="s">
        <v>5797</v>
      </c>
      <c r="D1916" s="27" t="s">
        <v>3228</v>
      </c>
      <c r="E1916" t="s">
        <v>2331</v>
      </c>
      <c r="F1916" t="s">
        <v>104</v>
      </c>
      <c r="H1916" t="s">
        <v>5762</v>
      </c>
    </row>
    <row r="1917" spans="1:8">
      <c r="A1917" t="s">
        <v>4967</v>
      </c>
      <c r="B1917" s="24">
        <v>46174</v>
      </c>
      <c r="C1917" s="27" t="s">
        <v>5797</v>
      </c>
      <c r="D1917" s="27" t="s">
        <v>3228</v>
      </c>
      <c r="E1917" t="s">
        <v>2332</v>
      </c>
      <c r="F1917" t="s">
        <v>104</v>
      </c>
      <c r="H1917" t="s">
        <v>5762</v>
      </c>
    </row>
    <row r="1918" spans="1:8">
      <c r="A1918" t="s">
        <v>4968</v>
      </c>
      <c r="B1918" s="24">
        <v>46175</v>
      </c>
      <c r="C1918" s="27" t="s">
        <v>5797</v>
      </c>
      <c r="D1918" s="27" t="s">
        <v>3228</v>
      </c>
      <c r="E1918" t="s">
        <v>2333</v>
      </c>
      <c r="F1918" t="s">
        <v>104</v>
      </c>
      <c r="H1918" t="s">
        <v>5762</v>
      </c>
    </row>
    <row r="1919" spans="1:8">
      <c r="A1919" t="s">
        <v>4969</v>
      </c>
      <c r="B1919" s="24">
        <v>46176</v>
      </c>
      <c r="C1919" s="27" t="s">
        <v>5797</v>
      </c>
      <c r="D1919" s="27" t="s">
        <v>3228</v>
      </c>
      <c r="E1919" t="s">
        <v>2334</v>
      </c>
      <c r="F1919" t="s">
        <v>104</v>
      </c>
      <c r="H1919" t="s">
        <v>5762</v>
      </c>
    </row>
    <row r="1920" spans="1:8">
      <c r="A1920" t="s">
        <v>4970</v>
      </c>
      <c r="B1920" s="24">
        <v>46177</v>
      </c>
      <c r="C1920" s="27" t="s">
        <v>5797</v>
      </c>
      <c r="D1920" s="27" t="s">
        <v>3228</v>
      </c>
      <c r="E1920" t="s">
        <v>2335</v>
      </c>
      <c r="F1920" t="s">
        <v>104</v>
      </c>
      <c r="H1920" t="s">
        <v>5762</v>
      </c>
    </row>
    <row r="1921" spans="1:8">
      <c r="A1921" t="s">
        <v>4971</v>
      </c>
      <c r="B1921" s="24">
        <v>46178</v>
      </c>
      <c r="C1921" s="27" t="s">
        <v>5797</v>
      </c>
      <c r="D1921" s="27" t="s">
        <v>3228</v>
      </c>
      <c r="E1921" t="s">
        <v>2336</v>
      </c>
      <c r="F1921" t="s">
        <v>104</v>
      </c>
      <c r="H1921" t="s">
        <v>5762</v>
      </c>
    </row>
    <row r="1922" spans="1:8">
      <c r="A1922" t="s">
        <v>4972</v>
      </c>
      <c r="B1922" s="24">
        <v>46181</v>
      </c>
      <c r="C1922" s="27" t="s">
        <v>5797</v>
      </c>
      <c r="D1922" s="27" t="s">
        <v>3228</v>
      </c>
      <c r="E1922" t="s">
        <v>2337</v>
      </c>
      <c r="F1922" t="s">
        <v>104</v>
      </c>
      <c r="H1922" t="s">
        <v>5762</v>
      </c>
    </row>
    <row r="1923" spans="1:8">
      <c r="A1923" t="s">
        <v>4973</v>
      </c>
      <c r="B1923" s="24">
        <v>46182</v>
      </c>
      <c r="C1923" s="27" t="s">
        <v>5797</v>
      </c>
      <c r="D1923" s="27" t="s">
        <v>3228</v>
      </c>
      <c r="E1923" t="s">
        <v>2338</v>
      </c>
      <c r="F1923" t="s">
        <v>104</v>
      </c>
      <c r="H1923" t="s">
        <v>5762</v>
      </c>
    </row>
    <row r="1924" spans="1:8">
      <c r="A1924" t="s">
        <v>4974</v>
      </c>
      <c r="B1924" s="24">
        <v>46183</v>
      </c>
      <c r="C1924" s="27" t="s">
        <v>5797</v>
      </c>
      <c r="D1924" s="27" t="s">
        <v>3228</v>
      </c>
      <c r="E1924" t="s">
        <v>2339</v>
      </c>
      <c r="F1924" t="s">
        <v>104</v>
      </c>
      <c r="H1924" t="s">
        <v>5762</v>
      </c>
    </row>
    <row r="1925" spans="1:8">
      <c r="A1925" t="s">
        <v>4975</v>
      </c>
      <c r="B1925" s="24">
        <v>46184</v>
      </c>
      <c r="C1925" s="27" t="s">
        <v>5797</v>
      </c>
      <c r="D1925" s="27" t="s">
        <v>3228</v>
      </c>
      <c r="E1925" t="s">
        <v>2340</v>
      </c>
      <c r="F1925" t="s">
        <v>104</v>
      </c>
      <c r="H1925" t="s">
        <v>5762</v>
      </c>
    </row>
    <row r="1926" spans="1:8">
      <c r="A1926" t="s">
        <v>4976</v>
      </c>
      <c r="B1926" s="24">
        <v>46185</v>
      </c>
      <c r="C1926" s="27" t="s">
        <v>5797</v>
      </c>
      <c r="D1926" s="27" t="s">
        <v>3228</v>
      </c>
      <c r="E1926" t="s">
        <v>2341</v>
      </c>
      <c r="F1926" t="s">
        <v>104</v>
      </c>
      <c r="H1926" t="s">
        <v>5762</v>
      </c>
    </row>
    <row r="1927" spans="1:8">
      <c r="A1927" t="s">
        <v>4977</v>
      </c>
      <c r="B1927" s="24">
        <v>46174</v>
      </c>
      <c r="C1927" s="27" t="s">
        <v>5797</v>
      </c>
      <c r="D1927" s="27" t="s">
        <v>3228</v>
      </c>
      <c r="E1927" t="s">
        <v>2342</v>
      </c>
      <c r="F1927" t="s">
        <v>104</v>
      </c>
      <c r="H1927" t="s">
        <v>5762</v>
      </c>
    </row>
    <row r="1928" spans="1:8">
      <c r="A1928" t="s">
        <v>4978</v>
      </c>
      <c r="B1928" s="24">
        <v>46175</v>
      </c>
      <c r="C1928" s="27" t="s">
        <v>5797</v>
      </c>
      <c r="D1928" s="27" t="s">
        <v>3228</v>
      </c>
      <c r="E1928" t="s">
        <v>2343</v>
      </c>
      <c r="F1928" t="s">
        <v>104</v>
      </c>
      <c r="H1928" t="s">
        <v>5762</v>
      </c>
    </row>
    <row r="1929" spans="1:8">
      <c r="A1929" t="s">
        <v>4979</v>
      </c>
      <c r="B1929" s="24">
        <v>46176</v>
      </c>
      <c r="C1929" s="27" t="s">
        <v>5797</v>
      </c>
      <c r="D1929" s="27" t="s">
        <v>3228</v>
      </c>
      <c r="E1929" t="s">
        <v>2344</v>
      </c>
      <c r="F1929" t="s">
        <v>104</v>
      </c>
      <c r="H1929" t="s">
        <v>5762</v>
      </c>
    </row>
    <row r="1930" spans="1:8">
      <c r="A1930" t="s">
        <v>4980</v>
      </c>
      <c r="B1930" s="24">
        <v>46177</v>
      </c>
      <c r="C1930" s="27" t="s">
        <v>5797</v>
      </c>
      <c r="D1930" s="27" t="s">
        <v>3228</v>
      </c>
      <c r="E1930" t="s">
        <v>2345</v>
      </c>
      <c r="F1930" t="s">
        <v>104</v>
      </c>
      <c r="H1930" t="s">
        <v>5762</v>
      </c>
    </row>
    <row r="1931" spans="1:8">
      <c r="A1931" t="s">
        <v>4981</v>
      </c>
      <c r="B1931" s="24">
        <v>46178</v>
      </c>
      <c r="C1931" s="27" t="s">
        <v>5797</v>
      </c>
      <c r="D1931" s="27" t="s">
        <v>3228</v>
      </c>
      <c r="E1931" t="s">
        <v>2346</v>
      </c>
      <c r="F1931" t="s">
        <v>104</v>
      </c>
      <c r="H1931" t="s">
        <v>5762</v>
      </c>
    </row>
    <row r="1932" spans="1:8">
      <c r="A1932" t="s">
        <v>4982</v>
      </c>
      <c r="B1932" s="24">
        <v>46181</v>
      </c>
      <c r="C1932" s="27" t="s">
        <v>5797</v>
      </c>
      <c r="D1932" s="27" t="s">
        <v>3228</v>
      </c>
      <c r="E1932" t="s">
        <v>2347</v>
      </c>
      <c r="F1932" t="s">
        <v>104</v>
      </c>
      <c r="H1932" t="s">
        <v>5762</v>
      </c>
    </row>
    <row r="1933" spans="1:8">
      <c r="A1933" t="s">
        <v>4983</v>
      </c>
      <c r="B1933" s="24">
        <v>46182</v>
      </c>
      <c r="C1933" s="27" t="s">
        <v>5797</v>
      </c>
      <c r="D1933" s="27" t="s">
        <v>3228</v>
      </c>
      <c r="E1933" t="s">
        <v>2348</v>
      </c>
      <c r="F1933" t="s">
        <v>104</v>
      </c>
      <c r="H1933" t="s">
        <v>5762</v>
      </c>
    </row>
    <row r="1934" spans="1:8">
      <c r="A1934" t="s">
        <v>4984</v>
      </c>
      <c r="B1934" s="24">
        <v>46183</v>
      </c>
      <c r="C1934" s="27" t="s">
        <v>5797</v>
      </c>
      <c r="D1934" s="27" t="s">
        <v>3228</v>
      </c>
      <c r="E1934" t="s">
        <v>2349</v>
      </c>
      <c r="F1934" t="s">
        <v>104</v>
      </c>
      <c r="H1934" t="s">
        <v>5762</v>
      </c>
    </row>
    <row r="1935" spans="1:8">
      <c r="A1935" t="s">
        <v>4985</v>
      </c>
      <c r="B1935" s="24">
        <v>46184</v>
      </c>
      <c r="C1935" s="27" t="s">
        <v>5797</v>
      </c>
      <c r="D1935" s="27" t="s">
        <v>3228</v>
      </c>
      <c r="E1935" t="s">
        <v>2350</v>
      </c>
      <c r="F1935" t="s">
        <v>104</v>
      </c>
      <c r="H1935" t="s">
        <v>5762</v>
      </c>
    </row>
    <row r="1936" spans="1:8">
      <c r="A1936" t="s">
        <v>4986</v>
      </c>
      <c r="B1936" s="24">
        <v>46185</v>
      </c>
      <c r="C1936" s="27" t="s">
        <v>5797</v>
      </c>
      <c r="D1936" s="27" t="s">
        <v>3228</v>
      </c>
      <c r="E1936" t="s">
        <v>2351</v>
      </c>
      <c r="F1936" t="s">
        <v>104</v>
      </c>
      <c r="H1936" t="s">
        <v>5762</v>
      </c>
    </row>
    <row r="1937" spans="1:8">
      <c r="A1937" t="s">
        <v>4987</v>
      </c>
      <c r="B1937" s="24">
        <v>46174</v>
      </c>
      <c r="C1937" s="27" t="s">
        <v>5797</v>
      </c>
      <c r="D1937" s="27" t="s">
        <v>3228</v>
      </c>
      <c r="E1937" t="s">
        <v>2352</v>
      </c>
      <c r="F1937" t="s">
        <v>104</v>
      </c>
      <c r="H1937" t="s">
        <v>5762</v>
      </c>
    </row>
    <row r="1938" spans="1:8">
      <c r="A1938" t="s">
        <v>4988</v>
      </c>
      <c r="B1938" s="24">
        <v>46175</v>
      </c>
      <c r="C1938" s="27" t="s">
        <v>5797</v>
      </c>
      <c r="D1938" s="27" t="s">
        <v>3228</v>
      </c>
      <c r="E1938" t="s">
        <v>2353</v>
      </c>
      <c r="F1938" t="s">
        <v>104</v>
      </c>
      <c r="H1938" t="s">
        <v>5762</v>
      </c>
    </row>
    <row r="1939" spans="1:8">
      <c r="A1939" t="s">
        <v>4989</v>
      </c>
      <c r="B1939" s="24">
        <v>46176</v>
      </c>
      <c r="C1939" s="27" t="s">
        <v>5797</v>
      </c>
      <c r="D1939" s="27" t="s">
        <v>3228</v>
      </c>
      <c r="E1939" t="s">
        <v>2354</v>
      </c>
      <c r="F1939" t="s">
        <v>104</v>
      </c>
      <c r="H1939" t="s">
        <v>5762</v>
      </c>
    </row>
    <row r="1940" spans="1:8">
      <c r="A1940" t="s">
        <v>4990</v>
      </c>
      <c r="B1940" s="24">
        <v>46177</v>
      </c>
      <c r="C1940" s="27" t="s">
        <v>5797</v>
      </c>
      <c r="D1940" s="27" t="s">
        <v>3228</v>
      </c>
      <c r="E1940" t="s">
        <v>2355</v>
      </c>
      <c r="F1940" t="s">
        <v>104</v>
      </c>
      <c r="H1940" t="s">
        <v>5762</v>
      </c>
    </row>
    <row r="1941" spans="1:8">
      <c r="A1941" t="s">
        <v>4991</v>
      </c>
      <c r="B1941" s="24">
        <v>46178</v>
      </c>
      <c r="C1941" s="27" t="s">
        <v>5797</v>
      </c>
      <c r="D1941" s="27" t="s">
        <v>3228</v>
      </c>
      <c r="E1941" t="s">
        <v>2356</v>
      </c>
      <c r="F1941" t="s">
        <v>104</v>
      </c>
      <c r="H1941" t="s">
        <v>5762</v>
      </c>
    </row>
    <row r="1942" spans="1:8">
      <c r="A1942" t="s">
        <v>4992</v>
      </c>
      <c r="B1942" s="24">
        <v>46181</v>
      </c>
      <c r="C1942" s="27" t="s">
        <v>5797</v>
      </c>
      <c r="D1942" s="27" t="s">
        <v>3228</v>
      </c>
      <c r="E1942" t="s">
        <v>2357</v>
      </c>
      <c r="F1942" t="s">
        <v>104</v>
      </c>
      <c r="H1942" t="s">
        <v>5762</v>
      </c>
    </row>
    <row r="1943" spans="1:8">
      <c r="A1943" t="s">
        <v>4993</v>
      </c>
      <c r="B1943" s="24">
        <v>46182</v>
      </c>
      <c r="C1943" s="27" t="s">
        <v>5797</v>
      </c>
      <c r="D1943" s="27" t="s">
        <v>3228</v>
      </c>
      <c r="E1943" t="s">
        <v>2358</v>
      </c>
      <c r="F1943" t="s">
        <v>104</v>
      </c>
      <c r="H1943" t="s">
        <v>5762</v>
      </c>
    </row>
    <row r="1944" spans="1:8">
      <c r="A1944" t="s">
        <v>4994</v>
      </c>
      <c r="B1944" s="24">
        <v>46183</v>
      </c>
      <c r="C1944" s="27" t="s">
        <v>5797</v>
      </c>
      <c r="D1944" s="27" t="s">
        <v>3228</v>
      </c>
      <c r="E1944" t="s">
        <v>2359</v>
      </c>
      <c r="F1944" t="s">
        <v>104</v>
      </c>
      <c r="H1944" t="s">
        <v>5762</v>
      </c>
    </row>
    <row r="1945" spans="1:8">
      <c r="A1945" t="s">
        <v>4995</v>
      </c>
      <c r="B1945" s="24">
        <v>46184</v>
      </c>
      <c r="C1945" s="27" t="s">
        <v>5797</v>
      </c>
      <c r="D1945" s="27" t="s">
        <v>3228</v>
      </c>
      <c r="E1945" t="s">
        <v>2360</v>
      </c>
      <c r="F1945" t="s">
        <v>104</v>
      </c>
      <c r="H1945" t="s">
        <v>5762</v>
      </c>
    </row>
    <row r="1946" spans="1:8">
      <c r="A1946" t="s">
        <v>4996</v>
      </c>
      <c r="B1946" s="24">
        <v>46185</v>
      </c>
      <c r="C1946" s="27" t="s">
        <v>5797</v>
      </c>
      <c r="D1946" s="27" t="s">
        <v>3228</v>
      </c>
      <c r="E1946" t="s">
        <v>2361</v>
      </c>
      <c r="F1946" t="s">
        <v>104</v>
      </c>
      <c r="H1946" t="s">
        <v>5762</v>
      </c>
    </row>
    <row r="1947" spans="1:8">
      <c r="A1947" t="s">
        <v>4997</v>
      </c>
      <c r="B1947" s="24">
        <v>46174</v>
      </c>
      <c r="C1947" s="27" t="s">
        <v>5797</v>
      </c>
      <c r="D1947" s="27" t="s">
        <v>3228</v>
      </c>
      <c r="E1947" t="s">
        <v>2362</v>
      </c>
      <c r="F1947" t="s">
        <v>104</v>
      </c>
      <c r="H1947" t="s">
        <v>5762</v>
      </c>
    </row>
    <row r="1948" spans="1:8">
      <c r="A1948" t="s">
        <v>4998</v>
      </c>
      <c r="B1948" s="24">
        <v>46175</v>
      </c>
      <c r="C1948" s="27" t="s">
        <v>5797</v>
      </c>
      <c r="D1948" s="27" t="s">
        <v>3228</v>
      </c>
      <c r="E1948" t="s">
        <v>2363</v>
      </c>
      <c r="F1948" t="s">
        <v>104</v>
      </c>
      <c r="H1948" t="s">
        <v>5762</v>
      </c>
    </row>
    <row r="1949" spans="1:8">
      <c r="A1949" t="s">
        <v>4999</v>
      </c>
      <c r="B1949" s="24">
        <v>46176</v>
      </c>
      <c r="C1949" s="27" t="s">
        <v>5797</v>
      </c>
      <c r="D1949" s="27" t="s">
        <v>3228</v>
      </c>
      <c r="E1949" t="s">
        <v>2364</v>
      </c>
      <c r="F1949" t="s">
        <v>104</v>
      </c>
      <c r="H1949" t="s">
        <v>5762</v>
      </c>
    </row>
    <row r="1950" spans="1:8">
      <c r="A1950" t="s">
        <v>5000</v>
      </c>
      <c r="B1950" s="24">
        <v>46177</v>
      </c>
      <c r="C1950" s="27" t="s">
        <v>5797</v>
      </c>
      <c r="D1950" s="27" t="s">
        <v>3228</v>
      </c>
      <c r="E1950" t="s">
        <v>2365</v>
      </c>
      <c r="F1950" t="s">
        <v>104</v>
      </c>
      <c r="H1950" t="s">
        <v>5762</v>
      </c>
    </row>
    <row r="1951" spans="1:8">
      <c r="A1951" t="s">
        <v>5001</v>
      </c>
      <c r="B1951" s="24">
        <v>46178</v>
      </c>
      <c r="C1951" s="27" t="s">
        <v>5797</v>
      </c>
      <c r="D1951" s="27" t="s">
        <v>3228</v>
      </c>
      <c r="E1951" t="s">
        <v>2366</v>
      </c>
      <c r="F1951" t="s">
        <v>104</v>
      </c>
      <c r="H1951" t="s">
        <v>5762</v>
      </c>
    </row>
    <row r="1952" spans="1:8">
      <c r="A1952" t="s">
        <v>5002</v>
      </c>
      <c r="B1952" s="24">
        <v>46181</v>
      </c>
      <c r="C1952" s="27" t="s">
        <v>5797</v>
      </c>
      <c r="D1952" s="27" t="s">
        <v>3228</v>
      </c>
      <c r="E1952" t="s">
        <v>2367</v>
      </c>
      <c r="F1952" t="s">
        <v>104</v>
      </c>
      <c r="H1952" t="s">
        <v>5762</v>
      </c>
    </row>
    <row r="1953" spans="1:8">
      <c r="A1953" t="s">
        <v>5003</v>
      </c>
      <c r="B1953" s="24">
        <v>46182</v>
      </c>
      <c r="C1953" s="27" t="s">
        <v>5797</v>
      </c>
      <c r="D1953" s="27" t="s">
        <v>3228</v>
      </c>
      <c r="E1953" t="s">
        <v>2368</v>
      </c>
      <c r="F1953" t="s">
        <v>104</v>
      </c>
      <c r="H1953" t="s">
        <v>5762</v>
      </c>
    </row>
    <row r="1954" spans="1:8">
      <c r="A1954" t="s">
        <v>5004</v>
      </c>
      <c r="B1954" s="24">
        <v>46183</v>
      </c>
      <c r="C1954" s="27" t="s">
        <v>5797</v>
      </c>
      <c r="D1954" s="27" t="s">
        <v>3228</v>
      </c>
      <c r="E1954" t="s">
        <v>2369</v>
      </c>
      <c r="F1954" t="s">
        <v>104</v>
      </c>
      <c r="H1954" t="s">
        <v>5762</v>
      </c>
    </row>
    <row r="1955" spans="1:8">
      <c r="A1955" t="s">
        <v>5005</v>
      </c>
      <c r="B1955" s="24">
        <v>46184</v>
      </c>
      <c r="C1955" s="27" t="s">
        <v>5797</v>
      </c>
      <c r="D1955" s="27" t="s">
        <v>3228</v>
      </c>
      <c r="E1955" t="s">
        <v>2370</v>
      </c>
      <c r="F1955" t="s">
        <v>104</v>
      </c>
      <c r="H1955" t="s">
        <v>5762</v>
      </c>
    </row>
    <row r="1956" spans="1:8">
      <c r="A1956" t="s">
        <v>5006</v>
      </c>
      <c r="B1956" s="24">
        <v>46185</v>
      </c>
      <c r="C1956" s="27" t="s">
        <v>5797</v>
      </c>
      <c r="D1956" s="27" t="s">
        <v>3228</v>
      </c>
      <c r="E1956" t="s">
        <v>2371</v>
      </c>
      <c r="F1956" t="s">
        <v>104</v>
      </c>
      <c r="H1956" t="s">
        <v>5762</v>
      </c>
    </row>
    <row r="1957" spans="1:8">
      <c r="A1957" t="s">
        <v>5007</v>
      </c>
      <c r="B1957" s="24">
        <v>46174</v>
      </c>
      <c r="C1957" s="27" t="s">
        <v>5797</v>
      </c>
      <c r="D1957" s="27" t="s">
        <v>3228</v>
      </c>
      <c r="E1957" t="s">
        <v>2372</v>
      </c>
      <c r="F1957" t="s">
        <v>104</v>
      </c>
      <c r="H1957" t="s">
        <v>5762</v>
      </c>
    </row>
    <row r="1958" spans="1:8">
      <c r="A1958" t="s">
        <v>5008</v>
      </c>
      <c r="B1958" s="24">
        <v>46175</v>
      </c>
      <c r="C1958" s="27" t="s">
        <v>5797</v>
      </c>
      <c r="D1958" s="27" t="s">
        <v>3228</v>
      </c>
      <c r="E1958" t="s">
        <v>2373</v>
      </c>
      <c r="F1958" t="s">
        <v>104</v>
      </c>
      <c r="H1958" t="s">
        <v>5762</v>
      </c>
    </row>
    <row r="1959" spans="1:8">
      <c r="A1959" t="s">
        <v>5009</v>
      </c>
      <c r="B1959" s="24">
        <v>46176</v>
      </c>
      <c r="C1959" s="27" t="s">
        <v>5797</v>
      </c>
      <c r="D1959" s="27" t="s">
        <v>3228</v>
      </c>
      <c r="E1959" t="s">
        <v>2374</v>
      </c>
      <c r="F1959" t="s">
        <v>104</v>
      </c>
      <c r="H1959" t="s">
        <v>5762</v>
      </c>
    </row>
    <row r="1960" spans="1:8">
      <c r="A1960" t="s">
        <v>5010</v>
      </c>
      <c r="B1960" s="24">
        <v>46177</v>
      </c>
      <c r="C1960" s="27" t="s">
        <v>5797</v>
      </c>
      <c r="D1960" s="27" t="s">
        <v>3228</v>
      </c>
      <c r="E1960" t="s">
        <v>2375</v>
      </c>
      <c r="F1960" t="s">
        <v>104</v>
      </c>
      <c r="H1960" t="s">
        <v>5762</v>
      </c>
    </row>
    <row r="1961" spans="1:8">
      <c r="A1961" t="s">
        <v>5011</v>
      </c>
      <c r="B1961" s="24">
        <v>46178</v>
      </c>
      <c r="C1961" s="27" t="s">
        <v>5797</v>
      </c>
      <c r="D1961" s="27" t="s">
        <v>3228</v>
      </c>
      <c r="E1961" t="s">
        <v>2376</v>
      </c>
      <c r="F1961" t="s">
        <v>104</v>
      </c>
      <c r="H1961" t="s">
        <v>5762</v>
      </c>
    </row>
    <row r="1962" spans="1:8">
      <c r="A1962" t="s">
        <v>5012</v>
      </c>
      <c r="B1962" s="24">
        <v>46181</v>
      </c>
      <c r="C1962" s="27" t="s">
        <v>5797</v>
      </c>
      <c r="D1962" s="27" t="s">
        <v>3228</v>
      </c>
      <c r="E1962" t="s">
        <v>2377</v>
      </c>
      <c r="F1962" t="s">
        <v>104</v>
      </c>
      <c r="H1962" t="s">
        <v>5762</v>
      </c>
    </row>
    <row r="1963" spans="1:8">
      <c r="A1963" t="s">
        <v>5013</v>
      </c>
      <c r="B1963" s="24">
        <v>46182</v>
      </c>
      <c r="C1963" s="27" t="s">
        <v>5797</v>
      </c>
      <c r="D1963" s="27" t="s">
        <v>3228</v>
      </c>
      <c r="E1963" t="s">
        <v>2378</v>
      </c>
      <c r="F1963" t="s">
        <v>104</v>
      </c>
      <c r="H1963" t="s">
        <v>5762</v>
      </c>
    </row>
    <row r="1964" spans="1:8">
      <c r="A1964" t="s">
        <v>5014</v>
      </c>
      <c r="B1964" s="24">
        <v>46183</v>
      </c>
      <c r="C1964" s="27" t="s">
        <v>5797</v>
      </c>
      <c r="D1964" s="27" t="s">
        <v>3228</v>
      </c>
      <c r="E1964" t="s">
        <v>2379</v>
      </c>
      <c r="F1964" t="s">
        <v>104</v>
      </c>
      <c r="H1964" t="s">
        <v>5762</v>
      </c>
    </row>
    <row r="1965" spans="1:8">
      <c r="A1965" t="s">
        <v>5015</v>
      </c>
      <c r="B1965" s="24">
        <v>46184</v>
      </c>
      <c r="C1965" s="27" t="s">
        <v>5797</v>
      </c>
      <c r="D1965" s="27" t="s">
        <v>3228</v>
      </c>
      <c r="E1965" t="s">
        <v>2380</v>
      </c>
      <c r="F1965" t="s">
        <v>104</v>
      </c>
      <c r="H1965" t="s">
        <v>5762</v>
      </c>
    </row>
    <row r="1966" spans="1:8">
      <c r="A1966" t="s">
        <v>5016</v>
      </c>
      <c r="B1966" s="24">
        <v>46185</v>
      </c>
      <c r="C1966" s="27" t="s">
        <v>5797</v>
      </c>
      <c r="D1966" s="27" t="s">
        <v>3228</v>
      </c>
      <c r="E1966" t="s">
        <v>2381</v>
      </c>
      <c r="F1966" t="s">
        <v>104</v>
      </c>
      <c r="H1966" t="s">
        <v>5762</v>
      </c>
    </row>
    <row r="1967" spans="1:8">
      <c r="A1967" t="s">
        <v>5017</v>
      </c>
      <c r="B1967" s="24">
        <v>46174</v>
      </c>
      <c r="C1967" s="27" t="s">
        <v>5797</v>
      </c>
      <c r="D1967" s="27" t="s">
        <v>3228</v>
      </c>
      <c r="E1967" t="s">
        <v>2382</v>
      </c>
      <c r="F1967" t="s">
        <v>104</v>
      </c>
      <c r="H1967" t="s">
        <v>5762</v>
      </c>
    </row>
    <row r="1968" spans="1:8">
      <c r="A1968" t="s">
        <v>5018</v>
      </c>
      <c r="B1968" s="24">
        <v>46175</v>
      </c>
      <c r="C1968" s="27" t="s">
        <v>5797</v>
      </c>
      <c r="D1968" s="27" t="s">
        <v>3228</v>
      </c>
      <c r="E1968" t="s">
        <v>2383</v>
      </c>
      <c r="F1968" t="s">
        <v>104</v>
      </c>
      <c r="H1968" t="s">
        <v>5762</v>
      </c>
    </row>
    <row r="1969" spans="1:8">
      <c r="A1969" t="s">
        <v>5019</v>
      </c>
      <c r="B1969" s="24">
        <v>46176</v>
      </c>
      <c r="C1969" s="27" t="s">
        <v>5797</v>
      </c>
      <c r="D1969" s="27" t="s">
        <v>3228</v>
      </c>
      <c r="E1969" t="s">
        <v>2384</v>
      </c>
      <c r="F1969" t="s">
        <v>104</v>
      </c>
      <c r="H1969" t="s">
        <v>5762</v>
      </c>
    </row>
    <row r="1970" spans="1:8">
      <c r="A1970" t="s">
        <v>5020</v>
      </c>
      <c r="B1970" s="24">
        <v>46177</v>
      </c>
      <c r="C1970" s="27" t="s">
        <v>5797</v>
      </c>
      <c r="D1970" s="27" t="s">
        <v>3228</v>
      </c>
      <c r="E1970" t="s">
        <v>2385</v>
      </c>
      <c r="F1970" t="s">
        <v>104</v>
      </c>
      <c r="H1970" t="s">
        <v>5762</v>
      </c>
    </row>
    <row r="1971" spans="1:8">
      <c r="A1971" t="s">
        <v>5021</v>
      </c>
      <c r="B1971" s="24">
        <v>46178</v>
      </c>
      <c r="C1971" s="27" t="s">
        <v>5797</v>
      </c>
      <c r="D1971" s="27" t="s">
        <v>3228</v>
      </c>
      <c r="E1971" t="s">
        <v>2386</v>
      </c>
      <c r="F1971" t="s">
        <v>104</v>
      </c>
      <c r="H1971" t="s">
        <v>5762</v>
      </c>
    </row>
    <row r="1972" spans="1:8">
      <c r="A1972" t="s">
        <v>5022</v>
      </c>
      <c r="B1972" s="24">
        <v>46181</v>
      </c>
      <c r="C1972" s="27" t="s">
        <v>5797</v>
      </c>
      <c r="D1972" s="27" t="s">
        <v>3228</v>
      </c>
      <c r="E1972" t="s">
        <v>2387</v>
      </c>
      <c r="F1972" t="s">
        <v>104</v>
      </c>
      <c r="H1972" t="s">
        <v>5762</v>
      </c>
    </row>
    <row r="1973" spans="1:8">
      <c r="A1973" t="s">
        <v>5023</v>
      </c>
      <c r="B1973" s="24">
        <v>46182</v>
      </c>
      <c r="C1973" s="27" t="s">
        <v>5797</v>
      </c>
      <c r="D1973" s="27" t="s">
        <v>3228</v>
      </c>
      <c r="E1973" t="s">
        <v>2388</v>
      </c>
      <c r="F1973" t="s">
        <v>104</v>
      </c>
      <c r="H1973" t="s">
        <v>5762</v>
      </c>
    </row>
    <row r="1974" spans="1:8">
      <c r="A1974" t="s">
        <v>5024</v>
      </c>
      <c r="B1974" s="24">
        <v>46183</v>
      </c>
      <c r="C1974" s="27" t="s">
        <v>5797</v>
      </c>
      <c r="D1974" s="27" t="s">
        <v>3228</v>
      </c>
      <c r="E1974" t="s">
        <v>2389</v>
      </c>
      <c r="F1974" t="s">
        <v>104</v>
      </c>
      <c r="H1974" t="s">
        <v>5762</v>
      </c>
    </row>
    <row r="1975" spans="1:8">
      <c r="A1975" t="s">
        <v>5025</v>
      </c>
      <c r="B1975" s="24">
        <v>46184</v>
      </c>
      <c r="C1975" s="27" t="s">
        <v>5797</v>
      </c>
      <c r="D1975" s="27" t="s">
        <v>3228</v>
      </c>
      <c r="E1975" t="s">
        <v>2390</v>
      </c>
      <c r="F1975" t="s">
        <v>104</v>
      </c>
      <c r="H1975" t="s">
        <v>5762</v>
      </c>
    </row>
    <row r="1976" spans="1:8">
      <c r="A1976" t="s">
        <v>5026</v>
      </c>
      <c r="B1976" s="24">
        <v>46185</v>
      </c>
      <c r="C1976" s="27" t="s">
        <v>5797</v>
      </c>
      <c r="D1976" s="27" t="s">
        <v>3228</v>
      </c>
      <c r="E1976" t="s">
        <v>2391</v>
      </c>
      <c r="F1976" t="s">
        <v>104</v>
      </c>
      <c r="H1976" t="s">
        <v>5762</v>
      </c>
    </row>
    <row r="1977" spans="1:8">
      <c r="A1977" t="s">
        <v>5027</v>
      </c>
      <c r="B1977" s="24">
        <v>46174</v>
      </c>
      <c r="C1977" s="27" t="s">
        <v>5797</v>
      </c>
      <c r="D1977" s="27" t="s">
        <v>3228</v>
      </c>
      <c r="E1977" t="s">
        <v>2392</v>
      </c>
      <c r="F1977" t="s">
        <v>104</v>
      </c>
      <c r="H1977" t="s">
        <v>5762</v>
      </c>
    </row>
    <row r="1978" spans="1:8">
      <c r="A1978" t="s">
        <v>5028</v>
      </c>
      <c r="B1978" s="24">
        <v>46175</v>
      </c>
      <c r="C1978" s="27" t="s">
        <v>5797</v>
      </c>
      <c r="D1978" s="27" t="s">
        <v>3228</v>
      </c>
      <c r="E1978" t="s">
        <v>2393</v>
      </c>
      <c r="F1978" t="s">
        <v>104</v>
      </c>
      <c r="H1978" t="s">
        <v>5762</v>
      </c>
    </row>
    <row r="1979" spans="1:8">
      <c r="A1979" t="s">
        <v>5029</v>
      </c>
      <c r="B1979" s="24">
        <v>46176</v>
      </c>
      <c r="C1979" s="27" t="s">
        <v>5797</v>
      </c>
      <c r="D1979" s="27" t="s">
        <v>3228</v>
      </c>
      <c r="E1979" t="s">
        <v>2394</v>
      </c>
      <c r="F1979" t="s">
        <v>104</v>
      </c>
      <c r="H1979" t="s">
        <v>5762</v>
      </c>
    </row>
    <row r="1980" spans="1:8">
      <c r="A1980" t="s">
        <v>5030</v>
      </c>
      <c r="B1980" s="24">
        <v>46177</v>
      </c>
      <c r="C1980" s="27" t="s">
        <v>5797</v>
      </c>
      <c r="D1980" s="27" t="s">
        <v>3228</v>
      </c>
      <c r="E1980" t="s">
        <v>2395</v>
      </c>
      <c r="F1980" t="s">
        <v>104</v>
      </c>
      <c r="H1980" t="s">
        <v>5762</v>
      </c>
    </row>
    <row r="1981" spans="1:8">
      <c r="A1981" t="s">
        <v>5031</v>
      </c>
      <c r="B1981" s="24">
        <v>46178</v>
      </c>
      <c r="C1981" s="27" t="s">
        <v>5797</v>
      </c>
      <c r="D1981" s="27" t="s">
        <v>3228</v>
      </c>
      <c r="E1981" t="s">
        <v>2396</v>
      </c>
      <c r="F1981" t="s">
        <v>104</v>
      </c>
      <c r="H1981" t="s">
        <v>5762</v>
      </c>
    </row>
    <row r="1982" spans="1:8">
      <c r="A1982" t="s">
        <v>5032</v>
      </c>
      <c r="B1982" s="24">
        <v>46181</v>
      </c>
      <c r="C1982" s="27" t="s">
        <v>5797</v>
      </c>
      <c r="D1982" s="27" t="s">
        <v>3228</v>
      </c>
      <c r="E1982" t="s">
        <v>2397</v>
      </c>
      <c r="F1982" t="s">
        <v>104</v>
      </c>
      <c r="H1982" t="s">
        <v>5762</v>
      </c>
    </row>
    <row r="1983" spans="1:8">
      <c r="A1983" t="s">
        <v>5033</v>
      </c>
      <c r="B1983" s="24">
        <v>46182</v>
      </c>
      <c r="C1983" s="27" t="s">
        <v>5797</v>
      </c>
      <c r="D1983" s="27" t="s">
        <v>3228</v>
      </c>
      <c r="E1983" t="s">
        <v>2398</v>
      </c>
      <c r="F1983" t="s">
        <v>104</v>
      </c>
      <c r="H1983" t="s">
        <v>5762</v>
      </c>
    </row>
    <row r="1984" spans="1:8">
      <c r="A1984" t="s">
        <v>5034</v>
      </c>
      <c r="B1984" s="24">
        <v>46183</v>
      </c>
      <c r="C1984" s="27" t="s">
        <v>5797</v>
      </c>
      <c r="D1984" s="27" t="s">
        <v>3228</v>
      </c>
      <c r="E1984" t="s">
        <v>2399</v>
      </c>
      <c r="F1984" t="s">
        <v>104</v>
      </c>
      <c r="H1984" t="s">
        <v>5762</v>
      </c>
    </row>
    <row r="1985" spans="1:8">
      <c r="A1985" t="s">
        <v>5035</v>
      </c>
      <c r="B1985" s="24">
        <v>46184</v>
      </c>
      <c r="C1985" s="27" t="s">
        <v>5797</v>
      </c>
      <c r="D1985" s="27" t="s">
        <v>3228</v>
      </c>
      <c r="E1985" t="s">
        <v>2400</v>
      </c>
      <c r="F1985" t="s">
        <v>104</v>
      </c>
      <c r="H1985" t="s">
        <v>5762</v>
      </c>
    </row>
    <row r="1986" spans="1:8">
      <c r="A1986" t="s">
        <v>5036</v>
      </c>
      <c r="B1986" s="24">
        <v>46185</v>
      </c>
      <c r="C1986" s="27" t="s">
        <v>5797</v>
      </c>
      <c r="D1986" s="27" t="s">
        <v>3228</v>
      </c>
      <c r="E1986" t="s">
        <v>2401</v>
      </c>
      <c r="F1986" t="s">
        <v>104</v>
      </c>
      <c r="H1986" t="s">
        <v>5762</v>
      </c>
    </row>
    <row r="1987" spans="1:8">
      <c r="A1987" t="s">
        <v>5037</v>
      </c>
      <c r="B1987" s="24">
        <v>46174</v>
      </c>
      <c r="C1987" s="27" t="s">
        <v>5797</v>
      </c>
      <c r="D1987" s="27" t="s">
        <v>3228</v>
      </c>
      <c r="E1987" t="s">
        <v>2402</v>
      </c>
      <c r="F1987" t="s">
        <v>104</v>
      </c>
      <c r="H1987" t="s">
        <v>5762</v>
      </c>
    </row>
    <row r="1988" spans="1:8">
      <c r="A1988" t="s">
        <v>5038</v>
      </c>
      <c r="B1988" s="24">
        <v>46175</v>
      </c>
      <c r="C1988" s="27" t="s">
        <v>5797</v>
      </c>
      <c r="D1988" s="27" t="s">
        <v>3228</v>
      </c>
      <c r="E1988" t="s">
        <v>2403</v>
      </c>
      <c r="F1988" t="s">
        <v>104</v>
      </c>
      <c r="H1988" t="s">
        <v>5762</v>
      </c>
    </row>
    <row r="1989" spans="1:8">
      <c r="A1989" t="s">
        <v>5039</v>
      </c>
      <c r="B1989" s="24">
        <v>46176</v>
      </c>
      <c r="C1989" s="27" t="s">
        <v>5797</v>
      </c>
      <c r="D1989" s="27" t="s">
        <v>3228</v>
      </c>
      <c r="E1989" t="s">
        <v>2404</v>
      </c>
      <c r="F1989" t="s">
        <v>104</v>
      </c>
      <c r="H1989" t="s">
        <v>5762</v>
      </c>
    </row>
    <row r="1990" spans="1:8">
      <c r="A1990" t="s">
        <v>5040</v>
      </c>
      <c r="B1990" s="24">
        <v>46177</v>
      </c>
      <c r="C1990" s="27" t="s">
        <v>5797</v>
      </c>
      <c r="D1990" s="27" t="s">
        <v>3228</v>
      </c>
      <c r="E1990" t="s">
        <v>2405</v>
      </c>
      <c r="F1990" t="s">
        <v>104</v>
      </c>
      <c r="H1990" t="s">
        <v>5762</v>
      </c>
    </row>
    <row r="1991" spans="1:8">
      <c r="A1991" t="s">
        <v>5041</v>
      </c>
      <c r="B1991" s="24">
        <v>46178</v>
      </c>
      <c r="C1991" s="27" t="s">
        <v>5797</v>
      </c>
      <c r="D1991" s="27" t="s">
        <v>3228</v>
      </c>
      <c r="E1991" t="s">
        <v>2406</v>
      </c>
      <c r="F1991" t="s">
        <v>104</v>
      </c>
      <c r="H1991" t="s">
        <v>5762</v>
      </c>
    </row>
    <row r="1992" spans="1:8">
      <c r="A1992" t="s">
        <v>5042</v>
      </c>
      <c r="B1992" s="24">
        <v>46181</v>
      </c>
      <c r="C1992" s="27" t="s">
        <v>5797</v>
      </c>
      <c r="D1992" s="27" t="s">
        <v>3228</v>
      </c>
      <c r="E1992" t="s">
        <v>2407</v>
      </c>
      <c r="F1992" t="s">
        <v>104</v>
      </c>
      <c r="H1992" t="s">
        <v>5762</v>
      </c>
    </row>
    <row r="1993" spans="1:8">
      <c r="A1993" t="s">
        <v>5043</v>
      </c>
      <c r="B1993" s="24">
        <v>46182</v>
      </c>
      <c r="C1993" s="27" t="s">
        <v>5797</v>
      </c>
      <c r="D1993" s="27" t="s">
        <v>3228</v>
      </c>
      <c r="E1993" t="s">
        <v>2408</v>
      </c>
      <c r="F1993" t="s">
        <v>104</v>
      </c>
      <c r="H1993" t="s">
        <v>5762</v>
      </c>
    </row>
    <row r="1994" spans="1:8">
      <c r="A1994" t="s">
        <v>5044</v>
      </c>
      <c r="B1994" s="24">
        <v>46183</v>
      </c>
      <c r="C1994" s="27" t="s">
        <v>5797</v>
      </c>
      <c r="D1994" s="27" t="s">
        <v>3228</v>
      </c>
      <c r="E1994" t="s">
        <v>2409</v>
      </c>
      <c r="F1994" t="s">
        <v>104</v>
      </c>
      <c r="H1994" t="s">
        <v>5762</v>
      </c>
    </row>
    <row r="1995" spans="1:8">
      <c r="A1995" t="s">
        <v>5045</v>
      </c>
      <c r="B1995" s="24">
        <v>46184</v>
      </c>
      <c r="C1995" s="27" t="s">
        <v>5797</v>
      </c>
      <c r="D1995" s="27" t="s">
        <v>3228</v>
      </c>
      <c r="E1995" t="s">
        <v>2410</v>
      </c>
      <c r="F1995" t="s">
        <v>104</v>
      </c>
      <c r="H1995" t="s">
        <v>5762</v>
      </c>
    </row>
    <row r="1996" spans="1:8">
      <c r="A1996" t="s">
        <v>5046</v>
      </c>
      <c r="B1996" s="24">
        <v>46185</v>
      </c>
      <c r="C1996" s="27" t="s">
        <v>5797</v>
      </c>
      <c r="D1996" s="27" t="s">
        <v>3228</v>
      </c>
      <c r="E1996" t="s">
        <v>2411</v>
      </c>
      <c r="F1996" t="s">
        <v>104</v>
      </c>
      <c r="H1996" t="s">
        <v>5762</v>
      </c>
    </row>
    <row r="1997" spans="1:8">
      <c r="A1997" t="s">
        <v>5047</v>
      </c>
      <c r="B1997" s="24">
        <v>46174</v>
      </c>
      <c r="C1997" s="27" t="s">
        <v>5797</v>
      </c>
      <c r="D1997" s="27" t="s">
        <v>3228</v>
      </c>
      <c r="E1997" t="s">
        <v>2412</v>
      </c>
      <c r="F1997" t="s">
        <v>104</v>
      </c>
      <c r="H1997" t="s">
        <v>5762</v>
      </c>
    </row>
    <row r="1998" spans="1:8">
      <c r="A1998" t="s">
        <v>5048</v>
      </c>
      <c r="B1998" s="24">
        <v>46175</v>
      </c>
      <c r="C1998" s="27" t="s">
        <v>5797</v>
      </c>
      <c r="D1998" s="27" t="s">
        <v>3228</v>
      </c>
      <c r="E1998" t="s">
        <v>2413</v>
      </c>
      <c r="F1998" t="s">
        <v>104</v>
      </c>
      <c r="H1998" t="s">
        <v>5762</v>
      </c>
    </row>
    <row r="1999" spans="1:8">
      <c r="A1999" t="s">
        <v>5049</v>
      </c>
      <c r="B1999" s="24">
        <v>46176</v>
      </c>
      <c r="C1999" s="27" t="s">
        <v>5797</v>
      </c>
      <c r="D1999" s="27" t="s">
        <v>3228</v>
      </c>
      <c r="E1999" t="s">
        <v>2414</v>
      </c>
      <c r="F1999" t="s">
        <v>104</v>
      </c>
      <c r="H1999" t="s">
        <v>5762</v>
      </c>
    </row>
    <row r="2000" spans="1:8">
      <c r="A2000" t="s">
        <v>5050</v>
      </c>
      <c r="B2000" s="24">
        <v>46177</v>
      </c>
      <c r="C2000" s="27" t="s">
        <v>5797</v>
      </c>
      <c r="D2000" s="27" t="s">
        <v>3228</v>
      </c>
      <c r="E2000" t="s">
        <v>2415</v>
      </c>
      <c r="F2000" t="s">
        <v>104</v>
      </c>
      <c r="H2000" t="s">
        <v>5762</v>
      </c>
    </row>
    <row r="2001" spans="1:8">
      <c r="A2001" t="s">
        <v>5051</v>
      </c>
      <c r="B2001" s="24">
        <v>46178</v>
      </c>
      <c r="C2001" s="27" t="s">
        <v>5797</v>
      </c>
      <c r="D2001" s="27" t="s">
        <v>3228</v>
      </c>
      <c r="E2001" t="s">
        <v>2416</v>
      </c>
      <c r="F2001" t="s">
        <v>104</v>
      </c>
      <c r="H2001" t="s">
        <v>5762</v>
      </c>
    </row>
    <row r="2002" spans="1:8">
      <c r="A2002" t="s">
        <v>286</v>
      </c>
      <c r="B2002" s="24">
        <v>46181</v>
      </c>
      <c r="C2002" s="27" t="s">
        <v>5797</v>
      </c>
      <c r="D2002" s="27" t="s">
        <v>3228</v>
      </c>
      <c r="E2002" t="s">
        <v>2417</v>
      </c>
      <c r="F2002" t="s">
        <v>104</v>
      </c>
      <c r="H2002" t="s">
        <v>5762</v>
      </c>
    </row>
    <row r="2003" spans="1:8">
      <c r="A2003" t="s">
        <v>287</v>
      </c>
      <c r="B2003" s="24">
        <v>46182</v>
      </c>
      <c r="C2003" s="27" t="s">
        <v>5797</v>
      </c>
      <c r="D2003" s="27" t="s">
        <v>3228</v>
      </c>
      <c r="E2003" t="s">
        <v>2418</v>
      </c>
      <c r="F2003" t="s">
        <v>104</v>
      </c>
      <c r="H2003" t="s">
        <v>5762</v>
      </c>
    </row>
    <row r="2004" spans="1:8">
      <c r="A2004" t="s">
        <v>288</v>
      </c>
      <c r="B2004" s="24">
        <v>46183</v>
      </c>
      <c r="C2004" s="27" t="s">
        <v>5797</v>
      </c>
      <c r="D2004" s="27" t="s">
        <v>3228</v>
      </c>
      <c r="E2004" t="s">
        <v>2419</v>
      </c>
      <c r="F2004" t="s">
        <v>104</v>
      </c>
      <c r="H2004" t="s">
        <v>5762</v>
      </c>
    </row>
    <row r="2005" spans="1:8">
      <c r="A2005" t="s">
        <v>289</v>
      </c>
      <c r="B2005" s="24">
        <v>46184</v>
      </c>
      <c r="C2005" s="27" t="s">
        <v>5797</v>
      </c>
      <c r="D2005" s="27" t="s">
        <v>3228</v>
      </c>
      <c r="E2005" t="s">
        <v>2420</v>
      </c>
      <c r="F2005" t="s">
        <v>104</v>
      </c>
      <c r="H2005" t="s">
        <v>5762</v>
      </c>
    </row>
    <row r="2006" spans="1:8">
      <c r="A2006" t="s">
        <v>290</v>
      </c>
      <c r="B2006" s="24">
        <v>46185</v>
      </c>
      <c r="C2006" s="27" t="s">
        <v>5797</v>
      </c>
      <c r="D2006" s="27" t="s">
        <v>3228</v>
      </c>
      <c r="E2006" t="s">
        <v>2421</v>
      </c>
      <c r="F2006" t="s">
        <v>104</v>
      </c>
      <c r="H2006" t="s">
        <v>5762</v>
      </c>
    </row>
    <row r="2007" spans="1:8">
      <c r="A2007" t="s">
        <v>291</v>
      </c>
      <c r="B2007" s="24">
        <v>46174</v>
      </c>
      <c r="C2007" s="27" t="s">
        <v>5797</v>
      </c>
      <c r="D2007" s="27" t="s">
        <v>3228</v>
      </c>
      <c r="E2007" t="s">
        <v>2422</v>
      </c>
      <c r="F2007" t="s">
        <v>104</v>
      </c>
      <c r="H2007" t="s">
        <v>5762</v>
      </c>
    </row>
    <row r="2008" spans="1:8">
      <c r="A2008" t="s">
        <v>292</v>
      </c>
      <c r="B2008" s="24">
        <v>46175</v>
      </c>
      <c r="C2008" s="27" t="s">
        <v>5797</v>
      </c>
      <c r="D2008" s="27" t="s">
        <v>3228</v>
      </c>
      <c r="E2008" t="s">
        <v>2423</v>
      </c>
      <c r="F2008" t="s">
        <v>104</v>
      </c>
      <c r="H2008" t="s">
        <v>5762</v>
      </c>
    </row>
    <row r="2009" spans="1:8">
      <c r="A2009" t="s">
        <v>293</v>
      </c>
      <c r="B2009" s="24">
        <v>46176</v>
      </c>
      <c r="C2009" s="27" t="s">
        <v>5797</v>
      </c>
      <c r="D2009" s="27" t="s">
        <v>3228</v>
      </c>
      <c r="E2009" t="s">
        <v>2424</v>
      </c>
      <c r="F2009" t="s">
        <v>104</v>
      </c>
      <c r="H2009" t="s">
        <v>5762</v>
      </c>
    </row>
    <row r="2010" spans="1:8">
      <c r="A2010" t="s">
        <v>294</v>
      </c>
      <c r="B2010" s="24">
        <v>46177</v>
      </c>
      <c r="C2010" s="27" t="s">
        <v>5797</v>
      </c>
      <c r="D2010" s="27" t="s">
        <v>3228</v>
      </c>
      <c r="E2010" t="s">
        <v>2425</v>
      </c>
      <c r="F2010" t="s">
        <v>104</v>
      </c>
      <c r="H2010" t="s">
        <v>5762</v>
      </c>
    </row>
    <row r="2011" spans="1:8">
      <c r="A2011" t="s">
        <v>295</v>
      </c>
      <c r="B2011" s="24">
        <v>46178</v>
      </c>
      <c r="C2011" s="27" t="s">
        <v>5797</v>
      </c>
      <c r="D2011" s="27" t="s">
        <v>3228</v>
      </c>
      <c r="E2011" t="s">
        <v>2426</v>
      </c>
      <c r="F2011" t="s">
        <v>104</v>
      </c>
      <c r="H2011" t="s">
        <v>5762</v>
      </c>
    </row>
    <row r="2012" spans="1:8">
      <c r="A2012" t="s">
        <v>296</v>
      </c>
      <c r="B2012" s="24">
        <v>46181</v>
      </c>
      <c r="C2012" s="27" t="s">
        <v>5797</v>
      </c>
      <c r="D2012" s="27" t="s">
        <v>3228</v>
      </c>
      <c r="E2012" t="s">
        <v>2427</v>
      </c>
      <c r="F2012" t="s">
        <v>104</v>
      </c>
      <c r="H2012" t="s">
        <v>5762</v>
      </c>
    </row>
    <row r="2013" spans="1:8">
      <c r="A2013" t="s">
        <v>297</v>
      </c>
      <c r="B2013" s="24">
        <v>46182</v>
      </c>
      <c r="C2013" s="27" t="s">
        <v>5797</v>
      </c>
      <c r="D2013" s="27" t="s">
        <v>3228</v>
      </c>
      <c r="E2013" t="s">
        <v>2428</v>
      </c>
      <c r="F2013" t="s">
        <v>104</v>
      </c>
      <c r="H2013" t="s">
        <v>5762</v>
      </c>
    </row>
    <row r="2014" spans="1:8">
      <c r="A2014" t="s">
        <v>298</v>
      </c>
      <c r="B2014" s="24">
        <v>46183</v>
      </c>
      <c r="C2014" s="27" t="s">
        <v>5797</v>
      </c>
      <c r="D2014" s="27" t="s">
        <v>3228</v>
      </c>
      <c r="E2014" t="s">
        <v>2429</v>
      </c>
      <c r="F2014" t="s">
        <v>104</v>
      </c>
      <c r="H2014" t="s">
        <v>5762</v>
      </c>
    </row>
    <row r="2015" spans="1:8">
      <c r="A2015" t="s">
        <v>299</v>
      </c>
      <c r="B2015" s="24">
        <v>46184</v>
      </c>
      <c r="C2015" s="27" t="s">
        <v>5797</v>
      </c>
      <c r="D2015" s="27" t="s">
        <v>3228</v>
      </c>
      <c r="E2015" t="s">
        <v>2430</v>
      </c>
      <c r="F2015" t="s">
        <v>104</v>
      </c>
      <c r="H2015" t="s">
        <v>5762</v>
      </c>
    </row>
    <row r="2016" spans="1:8">
      <c r="A2016" t="s">
        <v>300</v>
      </c>
      <c r="B2016" s="24">
        <v>46185</v>
      </c>
      <c r="C2016" s="27" t="s">
        <v>5797</v>
      </c>
      <c r="D2016" s="27" t="s">
        <v>3228</v>
      </c>
      <c r="E2016" t="s">
        <v>2431</v>
      </c>
      <c r="F2016" t="s">
        <v>104</v>
      </c>
      <c r="H2016" t="s">
        <v>5762</v>
      </c>
    </row>
    <row r="2017" spans="1:8">
      <c r="A2017" t="s">
        <v>301</v>
      </c>
      <c r="B2017" s="24">
        <v>46174</v>
      </c>
      <c r="C2017" s="27" t="s">
        <v>5797</v>
      </c>
      <c r="D2017" s="27" t="s">
        <v>3228</v>
      </c>
      <c r="E2017" t="s">
        <v>2432</v>
      </c>
      <c r="F2017" t="s">
        <v>104</v>
      </c>
      <c r="H2017" t="s">
        <v>5762</v>
      </c>
    </row>
    <row r="2018" spans="1:8">
      <c r="A2018" t="s">
        <v>302</v>
      </c>
      <c r="B2018" s="24">
        <v>46175</v>
      </c>
      <c r="C2018" s="27" t="s">
        <v>5797</v>
      </c>
      <c r="D2018" s="27" t="s">
        <v>3228</v>
      </c>
      <c r="E2018" t="s">
        <v>2433</v>
      </c>
      <c r="F2018" t="s">
        <v>104</v>
      </c>
      <c r="H2018" t="s">
        <v>5762</v>
      </c>
    </row>
    <row r="2019" spans="1:8">
      <c r="A2019" t="s">
        <v>303</v>
      </c>
      <c r="B2019" s="24">
        <v>46176</v>
      </c>
      <c r="C2019" s="27" t="s">
        <v>5797</v>
      </c>
      <c r="D2019" s="27" t="s">
        <v>3228</v>
      </c>
      <c r="E2019" t="s">
        <v>2434</v>
      </c>
      <c r="F2019" t="s">
        <v>104</v>
      </c>
      <c r="H2019" t="s">
        <v>5762</v>
      </c>
    </row>
    <row r="2020" spans="1:8">
      <c r="A2020" t="s">
        <v>304</v>
      </c>
      <c r="B2020" s="24">
        <v>46177</v>
      </c>
      <c r="C2020" s="27" t="s">
        <v>5797</v>
      </c>
      <c r="D2020" s="27" t="s">
        <v>3227</v>
      </c>
      <c r="E2020" t="s">
        <v>2435</v>
      </c>
      <c r="F2020" t="s">
        <v>104</v>
      </c>
      <c r="H2020" t="s">
        <v>5762</v>
      </c>
    </row>
    <row r="2021" spans="1:8">
      <c r="A2021" t="s">
        <v>305</v>
      </c>
      <c r="B2021" s="24">
        <v>46178</v>
      </c>
      <c r="C2021" s="27" t="s">
        <v>5797</v>
      </c>
      <c r="D2021" s="27" t="s">
        <v>3227</v>
      </c>
      <c r="E2021" t="s">
        <v>2436</v>
      </c>
      <c r="F2021" t="s">
        <v>104</v>
      </c>
      <c r="H2021" t="s">
        <v>5762</v>
      </c>
    </row>
    <row r="2022" spans="1:8">
      <c r="A2022" t="s">
        <v>306</v>
      </c>
      <c r="B2022" s="24">
        <v>46181</v>
      </c>
      <c r="C2022" s="27" t="s">
        <v>5797</v>
      </c>
      <c r="D2022" s="27" t="s">
        <v>3227</v>
      </c>
      <c r="E2022" t="s">
        <v>2437</v>
      </c>
      <c r="F2022" t="s">
        <v>104</v>
      </c>
      <c r="H2022" t="s">
        <v>5762</v>
      </c>
    </row>
    <row r="2023" spans="1:8">
      <c r="A2023" t="s">
        <v>307</v>
      </c>
      <c r="B2023" s="24">
        <v>46182</v>
      </c>
      <c r="C2023" s="27" t="s">
        <v>5797</v>
      </c>
      <c r="D2023" s="27" t="s">
        <v>3227</v>
      </c>
      <c r="E2023" t="s">
        <v>2438</v>
      </c>
      <c r="F2023" t="s">
        <v>104</v>
      </c>
      <c r="H2023" t="s">
        <v>5762</v>
      </c>
    </row>
    <row r="2024" spans="1:8">
      <c r="A2024" t="s">
        <v>308</v>
      </c>
      <c r="B2024" s="24">
        <v>46183</v>
      </c>
      <c r="C2024" s="27" t="s">
        <v>5797</v>
      </c>
      <c r="D2024" s="27" t="s">
        <v>3227</v>
      </c>
      <c r="E2024" t="s">
        <v>2439</v>
      </c>
      <c r="F2024" t="s">
        <v>104</v>
      </c>
      <c r="H2024" t="s">
        <v>5762</v>
      </c>
    </row>
    <row r="2025" spans="1:8">
      <c r="A2025" t="s">
        <v>309</v>
      </c>
      <c r="B2025" s="24">
        <v>46184</v>
      </c>
      <c r="C2025" s="27" t="s">
        <v>5797</v>
      </c>
      <c r="D2025" s="27" t="s">
        <v>3227</v>
      </c>
      <c r="E2025" t="s">
        <v>2440</v>
      </c>
      <c r="F2025" t="s">
        <v>104</v>
      </c>
      <c r="H2025" t="s">
        <v>5762</v>
      </c>
    </row>
    <row r="2026" spans="1:8">
      <c r="A2026" t="s">
        <v>310</v>
      </c>
      <c r="B2026" s="24">
        <v>46185</v>
      </c>
      <c r="C2026" s="27" t="s">
        <v>5797</v>
      </c>
      <c r="D2026" s="27" t="s">
        <v>3227</v>
      </c>
      <c r="E2026" t="s">
        <v>2441</v>
      </c>
      <c r="F2026" t="s">
        <v>104</v>
      </c>
      <c r="H2026" t="s">
        <v>5762</v>
      </c>
    </row>
    <row r="2027" spans="1:8">
      <c r="A2027" t="s">
        <v>311</v>
      </c>
      <c r="B2027" s="24">
        <v>46174</v>
      </c>
      <c r="C2027" s="27" t="s">
        <v>5797</v>
      </c>
      <c r="D2027" s="27" t="s">
        <v>3227</v>
      </c>
      <c r="E2027" t="s">
        <v>2442</v>
      </c>
      <c r="F2027" t="s">
        <v>104</v>
      </c>
      <c r="H2027" t="s">
        <v>5762</v>
      </c>
    </row>
    <row r="2028" spans="1:8">
      <c r="A2028" t="s">
        <v>312</v>
      </c>
      <c r="B2028" s="24">
        <v>46175</v>
      </c>
      <c r="C2028" s="27" t="s">
        <v>5797</v>
      </c>
      <c r="D2028" s="27" t="s">
        <v>3227</v>
      </c>
      <c r="E2028" t="s">
        <v>2443</v>
      </c>
      <c r="F2028" t="s">
        <v>104</v>
      </c>
      <c r="G2028" t="s">
        <v>105</v>
      </c>
      <c r="H2028">
        <v>0</v>
      </c>
    </row>
    <row r="2029" spans="1:8">
      <c r="A2029" t="s">
        <v>313</v>
      </c>
      <c r="B2029" s="24">
        <v>46176</v>
      </c>
      <c r="C2029" s="27" t="s">
        <v>5797</v>
      </c>
      <c r="D2029" s="27" t="s">
        <v>3227</v>
      </c>
      <c r="E2029" t="s">
        <v>2444</v>
      </c>
      <c r="F2029" t="s">
        <v>104</v>
      </c>
      <c r="G2029" t="s">
        <v>105</v>
      </c>
      <c r="H2029">
        <v>0</v>
      </c>
    </row>
    <row r="2030" spans="1:8">
      <c r="A2030" t="s">
        <v>314</v>
      </c>
      <c r="B2030" s="24">
        <v>46177</v>
      </c>
      <c r="C2030" s="27" t="s">
        <v>5797</v>
      </c>
      <c r="D2030" s="27" t="s">
        <v>3227</v>
      </c>
      <c r="E2030" t="s">
        <v>2445</v>
      </c>
      <c r="F2030" t="s">
        <v>104</v>
      </c>
      <c r="G2030" t="s">
        <v>105</v>
      </c>
      <c r="H2030">
        <v>0</v>
      </c>
    </row>
    <row r="2031" spans="1:8">
      <c r="A2031" t="s">
        <v>315</v>
      </c>
      <c r="B2031" s="24">
        <v>46178</v>
      </c>
      <c r="C2031" s="27" t="s">
        <v>5797</v>
      </c>
      <c r="D2031" s="27" t="s">
        <v>3227</v>
      </c>
      <c r="E2031" t="s">
        <v>2446</v>
      </c>
      <c r="F2031" t="s">
        <v>104</v>
      </c>
      <c r="G2031" t="s">
        <v>105</v>
      </c>
      <c r="H2031">
        <v>0</v>
      </c>
    </row>
    <row r="2032" spans="1:8">
      <c r="A2032" t="s">
        <v>316</v>
      </c>
      <c r="B2032" s="24">
        <v>46181</v>
      </c>
      <c r="C2032" s="27" t="s">
        <v>5797</v>
      </c>
      <c r="D2032" s="27" t="s">
        <v>3227</v>
      </c>
      <c r="E2032" t="s">
        <v>2447</v>
      </c>
      <c r="F2032" t="s">
        <v>104</v>
      </c>
      <c r="G2032" t="s">
        <v>105</v>
      </c>
      <c r="H2032">
        <v>0</v>
      </c>
    </row>
    <row r="2033" spans="1:8">
      <c r="A2033" t="s">
        <v>317</v>
      </c>
      <c r="B2033" s="24">
        <v>46182</v>
      </c>
      <c r="C2033" s="27" t="s">
        <v>5797</v>
      </c>
      <c r="D2033" s="27" t="s">
        <v>3227</v>
      </c>
      <c r="E2033" t="s">
        <v>2448</v>
      </c>
      <c r="F2033" t="s">
        <v>104</v>
      </c>
      <c r="G2033" t="s">
        <v>105</v>
      </c>
      <c r="H2033">
        <v>0</v>
      </c>
    </row>
    <row r="2034" spans="1:8">
      <c r="A2034" t="s">
        <v>318</v>
      </c>
      <c r="B2034" s="24">
        <v>46183</v>
      </c>
      <c r="C2034" s="27" t="s">
        <v>5797</v>
      </c>
      <c r="D2034" s="27" t="s">
        <v>3227</v>
      </c>
      <c r="E2034" t="s">
        <v>2449</v>
      </c>
      <c r="F2034" t="s">
        <v>104</v>
      </c>
      <c r="G2034" t="s">
        <v>105</v>
      </c>
      <c r="H2034">
        <v>0</v>
      </c>
    </row>
    <row r="2035" spans="1:8">
      <c r="A2035" t="s">
        <v>319</v>
      </c>
      <c r="B2035" s="24">
        <v>46184</v>
      </c>
      <c r="C2035" s="27" t="s">
        <v>5797</v>
      </c>
      <c r="D2035" s="27" t="s">
        <v>3227</v>
      </c>
      <c r="E2035" t="s">
        <v>2450</v>
      </c>
      <c r="F2035" t="s">
        <v>104</v>
      </c>
      <c r="G2035" t="s">
        <v>105</v>
      </c>
      <c r="H2035">
        <v>0</v>
      </c>
    </row>
    <row r="2036" spans="1:8">
      <c r="A2036" t="s">
        <v>320</v>
      </c>
      <c r="B2036" s="24">
        <v>46185</v>
      </c>
      <c r="C2036" s="27" t="s">
        <v>5797</v>
      </c>
      <c r="D2036" s="27" t="s">
        <v>3227</v>
      </c>
      <c r="E2036" t="s">
        <v>2451</v>
      </c>
      <c r="F2036" t="s">
        <v>104</v>
      </c>
      <c r="G2036" t="s">
        <v>105</v>
      </c>
      <c r="H2036">
        <v>0</v>
      </c>
    </row>
    <row r="2037" spans="1:8">
      <c r="A2037" t="s">
        <v>321</v>
      </c>
      <c r="B2037" s="24">
        <v>46174</v>
      </c>
      <c r="C2037" s="27" t="s">
        <v>5797</v>
      </c>
      <c r="D2037" s="27" t="s">
        <v>3227</v>
      </c>
      <c r="E2037" t="s">
        <v>2452</v>
      </c>
      <c r="F2037" t="s">
        <v>104</v>
      </c>
      <c r="G2037" t="s">
        <v>105</v>
      </c>
      <c r="H2037">
        <v>0</v>
      </c>
    </row>
    <row r="2038" spans="1:8">
      <c r="A2038" t="s">
        <v>322</v>
      </c>
      <c r="B2038" s="24">
        <v>46175</v>
      </c>
      <c r="C2038" s="27" t="s">
        <v>5797</v>
      </c>
      <c r="D2038" s="27" t="s">
        <v>3227</v>
      </c>
      <c r="E2038" t="s">
        <v>2453</v>
      </c>
      <c r="F2038" t="s">
        <v>104</v>
      </c>
      <c r="G2038" t="s">
        <v>105</v>
      </c>
      <c r="H2038">
        <v>0</v>
      </c>
    </row>
    <row r="2039" spans="1:8">
      <c r="A2039" t="s">
        <v>323</v>
      </c>
      <c r="B2039" s="24">
        <v>46176</v>
      </c>
      <c r="C2039" s="27" t="s">
        <v>5797</v>
      </c>
      <c r="D2039" s="27" t="s">
        <v>3227</v>
      </c>
      <c r="E2039" t="s">
        <v>2454</v>
      </c>
      <c r="F2039" t="s">
        <v>104</v>
      </c>
      <c r="G2039" t="s">
        <v>105</v>
      </c>
      <c r="H2039">
        <v>0</v>
      </c>
    </row>
    <row r="2040" spans="1:8">
      <c r="A2040" t="s">
        <v>324</v>
      </c>
      <c r="B2040" s="24">
        <v>46177</v>
      </c>
      <c r="C2040" s="27" t="s">
        <v>5797</v>
      </c>
      <c r="D2040" s="27" t="s">
        <v>3227</v>
      </c>
      <c r="E2040" t="s">
        <v>2455</v>
      </c>
      <c r="F2040" t="s">
        <v>104</v>
      </c>
      <c r="G2040" t="s">
        <v>105</v>
      </c>
      <c r="H2040">
        <v>0</v>
      </c>
    </row>
    <row r="2041" spans="1:8">
      <c r="A2041" t="s">
        <v>325</v>
      </c>
      <c r="B2041" s="24">
        <v>46178</v>
      </c>
      <c r="C2041" s="27" t="s">
        <v>5797</v>
      </c>
      <c r="D2041" s="27" t="s">
        <v>3227</v>
      </c>
      <c r="E2041" t="s">
        <v>2456</v>
      </c>
      <c r="F2041" t="s">
        <v>104</v>
      </c>
      <c r="G2041" t="s">
        <v>105</v>
      </c>
      <c r="H2041">
        <v>0</v>
      </c>
    </row>
    <row r="2042" spans="1:8">
      <c r="A2042" t="s">
        <v>326</v>
      </c>
      <c r="B2042" s="24">
        <v>46181</v>
      </c>
      <c r="C2042" s="27" t="s">
        <v>5797</v>
      </c>
      <c r="D2042" s="27" t="s">
        <v>3227</v>
      </c>
      <c r="E2042" t="s">
        <v>2457</v>
      </c>
      <c r="F2042" t="s">
        <v>104</v>
      </c>
      <c r="G2042" t="s">
        <v>105</v>
      </c>
      <c r="H2042">
        <v>0</v>
      </c>
    </row>
    <row r="2043" spans="1:8">
      <c r="A2043" t="s">
        <v>327</v>
      </c>
      <c r="B2043" s="24">
        <v>46182</v>
      </c>
      <c r="C2043" s="27" t="s">
        <v>5797</v>
      </c>
      <c r="D2043" s="27" t="s">
        <v>3227</v>
      </c>
      <c r="E2043" t="s">
        <v>2458</v>
      </c>
      <c r="F2043" t="s">
        <v>104</v>
      </c>
      <c r="G2043" t="s">
        <v>105</v>
      </c>
      <c r="H2043">
        <v>0</v>
      </c>
    </row>
    <row r="2044" spans="1:8">
      <c r="A2044" t="s">
        <v>328</v>
      </c>
      <c r="B2044" s="24">
        <v>46183</v>
      </c>
      <c r="C2044" s="27" t="s">
        <v>5797</v>
      </c>
      <c r="D2044" s="27" t="s">
        <v>3227</v>
      </c>
      <c r="E2044" t="s">
        <v>2459</v>
      </c>
      <c r="F2044" t="s">
        <v>104</v>
      </c>
      <c r="G2044" t="s">
        <v>105</v>
      </c>
      <c r="H2044">
        <v>0</v>
      </c>
    </row>
    <row r="2045" spans="1:8">
      <c r="A2045" t="s">
        <v>329</v>
      </c>
      <c r="B2045" s="24">
        <v>46184</v>
      </c>
      <c r="C2045" s="27" t="s">
        <v>5797</v>
      </c>
      <c r="D2045" s="27" t="s">
        <v>3227</v>
      </c>
      <c r="E2045" t="s">
        <v>2460</v>
      </c>
      <c r="F2045" t="s">
        <v>104</v>
      </c>
      <c r="G2045" t="s">
        <v>105</v>
      </c>
      <c r="H2045">
        <v>0</v>
      </c>
    </row>
    <row r="2046" spans="1:8">
      <c r="A2046" t="s">
        <v>330</v>
      </c>
      <c r="B2046" s="24">
        <v>46185</v>
      </c>
      <c r="C2046" s="27" t="s">
        <v>5797</v>
      </c>
      <c r="D2046" s="27" t="s">
        <v>3227</v>
      </c>
      <c r="E2046" t="s">
        <v>2461</v>
      </c>
      <c r="F2046" t="s">
        <v>104</v>
      </c>
      <c r="G2046" t="s">
        <v>105</v>
      </c>
      <c r="H2046">
        <v>0</v>
      </c>
    </row>
    <row r="2047" spans="1:8">
      <c r="A2047" t="s">
        <v>331</v>
      </c>
      <c r="B2047" s="24">
        <v>46174</v>
      </c>
      <c r="C2047" s="27" t="s">
        <v>5797</v>
      </c>
      <c r="D2047" s="27" t="s">
        <v>3227</v>
      </c>
      <c r="E2047" t="s">
        <v>2462</v>
      </c>
      <c r="F2047" t="s">
        <v>104</v>
      </c>
      <c r="G2047" t="s">
        <v>105</v>
      </c>
      <c r="H2047">
        <v>0</v>
      </c>
    </row>
    <row r="2048" spans="1:8">
      <c r="A2048" t="s">
        <v>332</v>
      </c>
      <c r="B2048" s="24">
        <v>46175</v>
      </c>
      <c r="C2048" s="27" t="s">
        <v>5797</v>
      </c>
      <c r="D2048" s="27" t="s">
        <v>3227</v>
      </c>
      <c r="E2048" t="s">
        <v>2463</v>
      </c>
      <c r="F2048" t="s">
        <v>104</v>
      </c>
      <c r="G2048" t="s">
        <v>105</v>
      </c>
      <c r="H2048">
        <v>0</v>
      </c>
    </row>
    <row r="2049" spans="1:8">
      <c r="A2049" t="s">
        <v>333</v>
      </c>
      <c r="B2049" s="24">
        <v>46176</v>
      </c>
      <c r="C2049" s="27" t="s">
        <v>5797</v>
      </c>
      <c r="D2049" s="27" t="s">
        <v>3227</v>
      </c>
      <c r="E2049" t="s">
        <v>2464</v>
      </c>
      <c r="F2049" t="s">
        <v>104</v>
      </c>
      <c r="G2049" t="s">
        <v>105</v>
      </c>
      <c r="H2049">
        <v>0</v>
      </c>
    </row>
    <row r="2050" spans="1:8">
      <c r="A2050" t="s">
        <v>334</v>
      </c>
      <c r="B2050" s="24">
        <v>46177</v>
      </c>
      <c r="C2050" s="27" t="s">
        <v>5797</v>
      </c>
      <c r="D2050" s="27" t="s">
        <v>3227</v>
      </c>
      <c r="E2050" t="s">
        <v>2465</v>
      </c>
      <c r="F2050" t="s">
        <v>104</v>
      </c>
      <c r="G2050" t="s">
        <v>105</v>
      </c>
      <c r="H2050">
        <v>0</v>
      </c>
    </row>
    <row r="2051" spans="1:8">
      <c r="A2051" t="s">
        <v>335</v>
      </c>
      <c r="B2051" s="24">
        <v>46178</v>
      </c>
      <c r="C2051" s="27" t="s">
        <v>5797</v>
      </c>
      <c r="D2051" s="27" t="s">
        <v>3227</v>
      </c>
      <c r="E2051" t="s">
        <v>2466</v>
      </c>
      <c r="F2051" t="s">
        <v>104</v>
      </c>
      <c r="G2051" t="s">
        <v>105</v>
      </c>
      <c r="H2051">
        <v>0</v>
      </c>
    </row>
    <row r="2052" spans="1:8">
      <c r="A2052" t="s">
        <v>336</v>
      </c>
      <c r="B2052" s="24">
        <v>46181</v>
      </c>
      <c r="C2052" s="27" t="s">
        <v>5797</v>
      </c>
      <c r="D2052" s="27" t="s">
        <v>3227</v>
      </c>
      <c r="E2052" t="s">
        <v>2467</v>
      </c>
      <c r="F2052" t="s">
        <v>104</v>
      </c>
      <c r="G2052" t="s">
        <v>105</v>
      </c>
      <c r="H2052">
        <v>0</v>
      </c>
    </row>
    <row r="2053" spans="1:8">
      <c r="A2053" t="s">
        <v>337</v>
      </c>
      <c r="B2053" s="24">
        <v>46182</v>
      </c>
      <c r="C2053" s="27" t="s">
        <v>5797</v>
      </c>
      <c r="D2053" s="27" t="s">
        <v>3227</v>
      </c>
      <c r="E2053" t="s">
        <v>2468</v>
      </c>
      <c r="F2053" t="s">
        <v>104</v>
      </c>
      <c r="G2053" t="s">
        <v>105</v>
      </c>
      <c r="H2053">
        <v>0</v>
      </c>
    </row>
    <row r="2054" spans="1:8">
      <c r="A2054" t="s">
        <v>338</v>
      </c>
      <c r="B2054" s="24">
        <v>46183</v>
      </c>
      <c r="C2054" s="27" t="s">
        <v>5797</v>
      </c>
      <c r="D2054" s="27" t="s">
        <v>3227</v>
      </c>
      <c r="E2054" t="s">
        <v>2469</v>
      </c>
      <c r="F2054" t="s">
        <v>104</v>
      </c>
      <c r="G2054" t="s">
        <v>105</v>
      </c>
      <c r="H2054">
        <v>0</v>
      </c>
    </row>
    <row r="2055" spans="1:8">
      <c r="A2055" t="s">
        <v>339</v>
      </c>
      <c r="B2055" s="24">
        <v>46184</v>
      </c>
      <c r="C2055" s="27" t="s">
        <v>5797</v>
      </c>
      <c r="D2055" s="27" t="s">
        <v>3227</v>
      </c>
      <c r="E2055" t="s">
        <v>2470</v>
      </c>
      <c r="F2055" t="s">
        <v>104</v>
      </c>
      <c r="G2055" t="s">
        <v>105</v>
      </c>
      <c r="H2055">
        <v>0</v>
      </c>
    </row>
    <row r="2056" spans="1:8">
      <c r="A2056" t="s">
        <v>340</v>
      </c>
      <c r="B2056" s="24">
        <v>46185</v>
      </c>
      <c r="C2056" s="27" t="s">
        <v>5797</v>
      </c>
      <c r="D2056" s="27" t="s">
        <v>3227</v>
      </c>
      <c r="E2056" t="s">
        <v>2471</v>
      </c>
      <c r="F2056" t="s">
        <v>104</v>
      </c>
      <c r="G2056" t="s">
        <v>105</v>
      </c>
      <c r="H2056">
        <v>0</v>
      </c>
    </row>
    <row r="2057" spans="1:8">
      <c r="A2057" t="s">
        <v>341</v>
      </c>
      <c r="B2057" s="24">
        <v>46174</v>
      </c>
      <c r="C2057" s="27" t="s">
        <v>5797</v>
      </c>
      <c r="D2057" s="27" t="s">
        <v>3227</v>
      </c>
      <c r="E2057" t="s">
        <v>2472</v>
      </c>
      <c r="F2057" t="s">
        <v>104</v>
      </c>
      <c r="G2057" t="s">
        <v>105</v>
      </c>
      <c r="H2057">
        <v>0</v>
      </c>
    </row>
    <row r="2058" spans="1:8">
      <c r="A2058" t="s">
        <v>342</v>
      </c>
      <c r="B2058" s="24">
        <v>46175</v>
      </c>
      <c r="C2058" s="27" t="s">
        <v>5797</v>
      </c>
      <c r="D2058" s="27" t="s">
        <v>3227</v>
      </c>
      <c r="E2058" t="s">
        <v>2473</v>
      </c>
      <c r="F2058" t="s">
        <v>104</v>
      </c>
      <c r="G2058" t="s">
        <v>105</v>
      </c>
      <c r="H2058">
        <v>0</v>
      </c>
    </row>
    <row r="2059" spans="1:8">
      <c r="A2059" t="s">
        <v>343</v>
      </c>
      <c r="B2059" s="24">
        <v>46176</v>
      </c>
      <c r="C2059" s="27" t="s">
        <v>5797</v>
      </c>
      <c r="D2059" s="27" t="s">
        <v>3227</v>
      </c>
      <c r="E2059" t="s">
        <v>2474</v>
      </c>
      <c r="F2059" t="s">
        <v>104</v>
      </c>
      <c r="G2059" t="s">
        <v>105</v>
      </c>
      <c r="H2059">
        <v>0</v>
      </c>
    </row>
    <row r="2060" spans="1:8">
      <c r="A2060" t="s">
        <v>344</v>
      </c>
      <c r="B2060" s="24">
        <v>46177</v>
      </c>
      <c r="C2060" s="27" t="s">
        <v>5797</v>
      </c>
      <c r="D2060" s="27" t="s">
        <v>3227</v>
      </c>
      <c r="E2060" t="s">
        <v>2475</v>
      </c>
      <c r="F2060" t="s">
        <v>104</v>
      </c>
      <c r="G2060" t="s">
        <v>105</v>
      </c>
      <c r="H2060">
        <v>0</v>
      </c>
    </row>
    <row r="2061" spans="1:8">
      <c r="A2061" t="s">
        <v>345</v>
      </c>
      <c r="B2061" s="24">
        <v>46178</v>
      </c>
      <c r="C2061" s="27" t="s">
        <v>5797</v>
      </c>
      <c r="D2061" s="27" t="s">
        <v>3227</v>
      </c>
      <c r="E2061" t="s">
        <v>2476</v>
      </c>
      <c r="F2061" t="s">
        <v>104</v>
      </c>
      <c r="G2061" t="s">
        <v>105</v>
      </c>
      <c r="H2061">
        <v>0</v>
      </c>
    </row>
    <row r="2062" spans="1:8">
      <c r="A2062" t="s">
        <v>346</v>
      </c>
      <c r="B2062" s="24">
        <v>46181</v>
      </c>
      <c r="C2062" s="27" t="s">
        <v>5797</v>
      </c>
      <c r="D2062" s="27" t="s">
        <v>3227</v>
      </c>
      <c r="E2062" t="s">
        <v>2477</v>
      </c>
      <c r="F2062" t="s">
        <v>104</v>
      </c>
      <c r="G2062" t="s">
        <v>105</v>
      </c>
      <c r="H2062">
        <v>0</v>
      </c>
    </row>
    <row r="2063" spans="1:8">
      <c r="A2063" t="s">
        <v>347</v>
      </c>
      <c r="B2063" s="24">
        <v>46182</v>
      </c>
      <c r="C2063" s="27" t="s">
        <v>5797</v>
      </c>
      <c r="D2063" s="27" t="s">
        <v>3227</v>
      </c>
      <c r="E2063" t="s">
        <v>2478</v>
      </c>
      <c r="F2063" t="s">
        <v>104</v>
      </c>
      <c r="G2063" t="s">
        <v>105</v>
      </c>
      <c r="H2063">
        <v>0</v>
      </c>
    </row>
    <row r="2064" spans="1:8">
      <c r="A2064" t="s">
        <v>348</v>
      </c>
      <c r="B2064" s="24">
        <v>46183</v>
      </c>
      <c r="C2064" s="27" t="s">
        <v>5797</v>
      </c>
      <c r="D2064" s="27" t="s">
        <v>3227</v>
      </c>
      <c r="E2064" t="s">
        <v>2479</v>
      </c>
      <c r="F2064" t="s">
        <v>104</v>
      </c>
      <c r="G2064" t="s">
        <v>105</v>
      </c>
      <c r="H2064">
        <v>0</v>
      </c>
    </row>
    <row r="2065" spans="1:8">
      <c r="A2065" t="s">
        <v>349</v>
      </c>
      <c r="B2065" s="24">
        <v>46184</v>
      </c>
      <c r="C2065" s="27" t="s">
        <v>5797</v>
      </c>
      <c r="D2065" s="27" t="s">
        <v>3227</v>
      </c>
      <c r="E2065" t="s">
        <v>2480</v>
      </c>
      <c r="F2065" t="s">
        <v>104</v>
      </c>
      <c r="G2065" t="s">
        <v>105</v>
      </c>
      <c r="H2065">
        <v>0</v>
      </c>
    </row>
    <row r="2066" spans="1:8">
      <c r="A2066" t="s">
        <v>350</v>
      </c>
      <c r="B2066" s="24">
        <v>46185</v>
      </c>
      <c r="C2066" s="27" t="s">
        <v>5797</v>
      </c>
      <c r="D2066" s="27" t="s">
        <v>3227</v>
      </c>
      <c r="E2066" t="s">
        <v>2481</v>
      </c>
      <c r="F2066" t="s">
        <v>104</v>
      </c>
      <c r="G2066" t="s">
        <v>105</v>
      </c>
      <c r="H2066">
        <v>0</v>
      </c>
    </row>
    <row r="2067" spans="1:8">
      <c r="A2067" t="s">
        <v>351</v>
      </c>
      <c r="B2067" s="24">
        <v>46174</v>
      </c>
      <c r="C2067" s="27" t="s">
        <v>5797</v>
      </c>
      <c r="D2067" s="27" t="s">
        <v>3227</v>
      </c>
      <c r="E2067" t="s">
        <v>2482</v>
      </c>
      <c r="F2067" t="s">
        <v>104</v>
      </c>
      <c r="G2067" t="s">
        <v>105</v>
      </c>
      <c r="H2067">
        <v>0</v>
      </c>
    </row>
    <row r="2068" spans="1:8">
      <c r="A2068" t="s">
        <v>352</v>
      </c>
      <c r="B2068" s="24">
        <v>46175</v>
      </c>
      <c r="C2068" s="27" t="s">
        <v>5797</v>
      </c>
      <c r="D2068" s="27" t="s">
        <v>3227</v>
      </c>
      <c r="E2068" t="s">
        <v>2483</v>
      </c>
      <c r="F2068" t="s">
        <v>104</v>
      </c>
      <c r="G2068" t="s">
        <v>105</v>
      </c>
      <c r="H2068">
        <v>0</v>
      </c>
    </row>
    <row r="2069" spans="1:8">
      <c r="A2069" t="s">
        <v>353</v>
      </c>
      <c r="B2069" s="24">
        <v>46176</v>
      </c>
      <c r="C2069" s="27" t="s">
        <v>5797</v>
      </c>
      <c r="D2069" s="27" t="s">
        <v>3227</v>
      </c>
      <c r="E2069" t="s">
        <v>2484</v>
      </c>
      <c r="F2069" t="s">
        <v>104</v>
      </c>
      <c r="G2069" t="s">
        <v>105</v>
      </c>
      <c r="H2069">
        <v>0</v>
      </c>
    </row>
    <row r="2070" spans="1:8">
      <c r="A2070" t="s">
        <v>354</v>
      </c>
      <c r="B2070" s="24">
        <v>46177</v>
      </c>
      <c r="C2070" s="27" t="s">
        <v>5797</v>
      </c>
      <c r="D2070" s="27" t="s">
        <v>3227</v>
      </c>
      <c r="E2070" t="s">
        <v>2485</v>
      </c>
      <c r="F2070" t="s">
        <v>104</v>
      </c>
      <c r="G2070" t="s">
        <v>105</v>
      </c>
      <c r="H2070">
        <v>0</v>
      </c>
    </row>
    <row r="2071" spans="1:8">
      <c r="A2071" t="s">
        <v>355</v>
      </c>
      <c r="B2071" s="24">
        <v>46178</v>
      </c>
      <c r="C2071" s="27" t="s">
        <v>5797</v>
      </c>
      <c r="D2071" s="27" t="s">
        <v>3227</v>
      </c>
      <c r="E2071" t="s">
        <v>2486</v>
      </c>
      <c r="F2071" t="s">
        <v>104</v>
      </c>
      <c r="G2071" t="s">
        <v>105</v>
      </c>
      <c r="H2071">
        <v>0</v>
      </c>
    </row>
    <row r="2072" spans="1:8">
      <c r="A2072" t="s">
        <v>356</v>
      </c>
      <c r="B2072" s="24">
        <v>46181</v>
      </c>
      <c r="C2072" s="27" t="s">
        <v>5797</v>
      </c>
      <c r="D2072" s="27" t="s">
        <v>3227</v>
      </c>
      <c r="E2072" t="s">
        <v>2487</v>
      </c>
      <c r="F2072" t="s">
        <v>104</v>
      </c>
      <c r="G2072" t="s">
        <v>105</v>
      </c>
      <c r="H2072">
        <v>0</v>
      </c>
    </row>
    <row r="2073" spans="1:8">
      <c r="A2073" t="s">
        <v>357</v>
      </c>
      <c r="B2073" s="24">
        <v>46182</v>
      </c>
      <c r="C2073" s="27" t="s">
        <v>5797</v>
      </c>
      <c r="D2073" s="27" t="s">
        <v>3227</v>
      </c>
      <c r="E2073" t="s">
        <v>2488</v>
      </c>
      <c r="F2073" t="s">
        <v>104</v>
      </c>
      <c r="G2073" t="s">
        <v>105</v>
      </c>
      <c r="H2073">
        <v>0</v>
      </c>
    </row>
    <row r="2074" spans="1:8">
      <c r="A2074" t="s">
        <v>358</v>
      </c>
      <c r="B2074" s="24">
        <v>46183</v>
      </c>
      <c r="C2074" s="27" t="s">
        <v>5797</v>
      </c>
      <c r="D2074" s="27" t="s">
        <v>3227</v>
      </c>
      <c r="E2074" t="s">
        <v>2489</v>
      </c>
      <c r="F2074" t="s">
        <v>104</v>
      </c>
      <c r="G2074" t="s">
        <v>105</v>
      </c>
      <c r="H2074">
        <v>0</v>
      </c>
    </row>
    <row r="2075" spans="1:8">
      <c r="A2075" t="s">
        <v>359</v>
      </c>
      <c r="B2075" s="24">
        <v>46184</v>
      </c>
      <c r="C2075" s="27" t="s">
        <v>5797</v>
      </c>
      <c r="D2075" s="27" t="s">
        <v>3227</v>
      </c>
      <c r="E2075" t="s">
        <v>2490</v>
      </c>
      <c r="F2075" t="s">
        <v>104</v>
      </c>
      <c r="G2075" t="s">
        <v>105</v>
      </c>
      <c r="H2075">
        <v>0</v>
      </c>
    </row>
    <row r="2076" spans="1:8">
      <c r="A2076" t="s">
        <v>360</v>
      </c>
      <c r="B2076" s="24">
        <v>46185</v>
      </c>
      <c r="C2076" s="27" t="s">
        <v>5797</v>
      </c>
      <c r="D2076" s="27" t="s">
        <v>3227</v>
      </c>
      <c r="E2076" t="s">
        <v>2491</v>
      </c>
      <c r="F2076" t="s">
        <v>104</v>
      </c>
      <c r="G2076" t="s">
        <v>105</v>
      </c>
      <c r="H2076">
        <v>0</v>
      </c>
    </row>
    <row r="2077" spans="1:8">
      <c r="A2077" t="s">
        <v>361</v>
      </c>
      <c r="B2077" s="24">
        <v>46174</v>
      </c>
      <c r="C2077" s="27" t="s">
        <v>5797</v>
      </c>
      <c r="D2077" s="27" t="s">
        <v>3227</v>
      </c>
      <c r="E2077" t="s">
        <v>2492</v>
      </c>
      <c r="F2077" t="s">
        <v>104</v>
      </c>
      <c r="G2077" t="s">
        <v>105</v>
      </c>
      <c r="H2077">
        <v>0</v>
      </c>
    </row>
    <row r="2078" spans="1:8">
      <c r="A2078" t="s">
        <v>362</v>
      </c>
      <c r="B2078" s="24">
        <v>46175</v>
      </c>
      <c r="C2078" s="27" t="s">
        <v>5797</v>
      </c>
      <c r="D2078" s="27" t="s">
        <v>3227</v>
      </c>
      <c r="E2078" t="s">
        <v>2493</v>
      </c>
      <c r="F2078" t="s">
        <v>104</v>
      </c>
      <c r="G2078" t="s">
        <v>105</v>
      </c>
      <c r="H2078">
        <v>0</v>
      </c>
    </row>
    <row r="2079" spans="1:8">
      <c r="A2079" t="s">
        <v>363</v>
      </c>
      <c r="B2079" s="24">
        <v>46176</v>
      </c>
      <c r="C2079" s="27" t="s">
        <v>5797</v>
      </c>
      <c r="D2079" s="27" t="s">
        <v>3227</v>
      </c>
      <c r="E2079" t="s">
        <v>2494</v>
      </c>
      <c r="F2079" t="s">
        <v>104</v>
      </c>
      <c r="G2079" t="s">
        <v>105</v>
      </c>
      <c r="H2079">
        <v>0</v>
      </c>
    </row>
    <row r="2080" spans="1:8">
      <c r="A2080" t="s">
        <v>364</v>
      </c>
      <c r="B2080" s="24">
        <v>46177</v>
      </c>
      <c r="C2080" s="27" t="s">
        <v>5797</v>
      </c>
      <c r="D2080" s="27" t="s">
        <v>3227</v>
      </c>
      <c r="E2080" t="s">
        <v>2495</v>
      </c>
      <c r="F2080" t="s">
        <v>104</v>
      </c>
      <c r="G2080" t="s">
        <v>105</v>
      </c>
      <c r="H2080">
        <v>0</v>
      </c>
    </row>
    <row r="2081" spans="1:8">
      <c r="A2081" t="s">
        <v>365</v>
      </c>
      <c r="B2081" s="24">
        <v>46178</v>
      </c>
      <c r="C2081" s="27" t="s">
        <v>5797</v>
      </c>
      <c r="D2081" s="27" t="s">
        <v>3227</v>
      </c>
      <c r="E2081" t="s">
        <v>2496</v>
      </c>
      <c r="F2081" t="s">
        <v>104</v>
      </c>
      <c r="G2081" t="s">
        <v>105</v>
      </c>
      <c r="H2081">
        <v>0</v>
      </c>
    </row>
    <row r="2082" spans="1:8">
      <c r="A2082" t="s">
        <v>366</v>
      </c>
      <c r="B2082" s="24">
        <v>46181</v>
      </c>
      <c r="C2082" s="27" t="s">
        <v>5797</v>
      </c>
      <c r="D2082" s="27" t="s">
        <v>3227</v>
      </c>
      <c r="E2082" t="s">
        <v>2497</v>
      </c>
      <c r="F2082" t="s">
        <v>104</v>
      </c>
      <c r="G2082" t="s">
        <v>105</v>
      </c>
      <c r="H2082">
        <v>0</v>
      </c>
    </row>
    <row r="2083" spans="1:8">
      <c r="A2083" t="s">
        <v>367</v>
      </c>
      <c r="B2083" s="24">
        <v>46182</v>
      </c>
      <c r="C2083" s="27" t="s">
        <v>5797</v>
      </c>
      <c r="D2083" s="27" t="s">
        <v>3227</v>
      </c>
      <c r="E2083" t="s">
        <v>2498</v>
      </c>
      <c r="F2083" t="s">
        <v>104</v>
      </c>
      <c r="G2083" t="s">
        <v>105</v>
      </c>
      <c r="H2083">
        <v>0</v>
      </c>
    </row>
    <row r="2084" spans="1:8">
      <c r="A2084" t="s">
        <v>368</v>
      </c>
      <c r="B2084" s="24">
        <v>46183</v>
      </c>
      <c r="C2084" s="27" t="s">
        <v>5797</v>
      </c>
      <c r="D2084" s="27" t="s">
        <v>3227</v>
      </c>
      <c r="E2084" t="s">
        <v>2499</v>
      </c>
      <c r="F2084" t="s">
        <v>104</v>
      </c>
      <c r="G2084" t="s">
        <v>105</v>
      </c>
      <c r="H2084">
        <v>0</v>
      </c>
    </row>
    <row r="2085" spans="1:8">
      <c r="A2085" t="s">
        <v>369</v>
      </c>
      <c r="B2085" s="24">
        <v>46184</v>
      </c>
      <c r="C2085" s="27" t="s">
        <v>5797</v>
      </c>
      <c r="D2085" s="27" t="s">
        <v>3227</v>
      </c>
      <c r="E2085" t="s">
        <v>2500</v>
      </c>
      <c r="F2085" t="s">
        <v>104</v>
      </c>
      <c r="G2085" t="s">
        <v>105</v>
      </c>
      <c r="H2085">
        <v>0</v>
      </c>
    </row>
    <row r="2086" spans="1:8">
      <c r="A2086" t="s">
        <v>370</v>
      </c>
      <c r="B2086" s="24">
        <v>46185</v>
      </c>
      <c r="C2086" s="27" t="s">
        <v>5797</v>
      </c>
      <c r="D2086" s="27" t="s">
        <v>3227</v>
      </c>
      <c r="E2086" t="s">
        <v>2501</v>
      </c>
      <c r="F2086" t="s">
        <v>104</v>
      </c>
      <c r="G2086" t="s">
        <v>105</v>
      </c>
      <c r="H2086">
        <v>0</v>
      </c>
    </row>
    <row r="2087" spans="1:8">
      <c r="A2087" t="s">
        <v>371</v>
      </c>
      <c r="B2087" s="24">
        <v>46174</v>
      </c>
      <c r="C2087" s="27" t="s">
        <v>5797</v>
      </c>
      <c r="D2087" s="27" t="s">
        <v>3227</v>
      </c>
      <c r="E2087" t="s">
        <v>2502</v>
      </c>
      <c r="F2087" t="s">
        <v>104</v>
      </c>
      <c r="G2087" t="s">
        <v>105</v>
      </c>
      <c r="H2087">
        <v>0</v>
      </c>
    </row>
    <row r="2088" spans="1:8">
      <c r="A2088" t="s">
        <v>372</v>
      </c>
      <c r="B2088" s="24">
        <v>46175</v>
      </c>
      <c r="C2088" s="27" t="s">
        <v>5797</v>
      </c>
      <c r="D2088" s="27" t="s">
        <v>3227</v>
      </c>
      <c r="E2088" t="s">
        <v>2503</v>
      </c>
      <c r="F2088" t="s">
        <v>104</v>
      </c>
      <c r="G2088" t="s">
        <v>105</v>
      </c>
      <c r="H2088">
        <v>0</v>
      </c>
    </row>
    <row r="2089" spans="1:8">
      <c r="A2089" t="s">
        <v>373</v>
      </c>
      <c r="B2089" s="24">
        <v>46176</v>
      </c>
      <c r="C2089" s="27" t="s">
        <v>5797</v>
      </c>
      <c r="D2089" s="27" t="s">
        <v>3227</v>
      </c>
      <c r="E2089" t="s">
        <v>2504</v>
      </c>
      <c r="F2089" t="s">
        <v>104</v>
      </c>
      <c r="G2089" t="s">
        <v>105</v>
      </c>
      <c r="H2089">
        <v>0</v>
      </c>
    </row>
    <row r="2090" spans="1:8">
      <c r="A2090" t="s">
        <v>374</v>
      </c>
      <c r="B2090" s="24">
        <v>46177</v>
      </c>
      <c r="C2090" s="27" t="s">
        <v>5797</v>
      </c>
      <c r="D2090" s="27" t="s">
        <v>3227</v>
      </c>
      <c r="E2090" t="s">
        <v>2505</v>
      </c>
      <c r="F2090" t="s">
        <v>104</v>
      </c>
      <c r="G2090" t="s">
        <v>105</v>
      </c>
      <c r="H2090">
        <v>0</v>
      </c>
    </row>
    <row r="2091" spans="1:8">
      <c r="A2091" t="s">
        <v>375</v>
      </c>
      <c r="B2091" s="24">
        <v>46178</v>
      </c>
      <c r="C2091" s="27" t="s">
        <v>5797</v>
      </c>
      <c r="D2091" s="27" t="s">
        <v>3227</v>
      </c>
      <c r="E2091" t="s">
        <v>2506</v>
      </c>
      <c r="F2091" t="s">
        <v>104</v>
      </c>
      <c r="G2091" t="s">
        <v>105</v>
      </c>
      <c r="H2091">
        <v>0</v>
      </c>
    </row>
    <row r="2092" spans="1:8">
      <c r="A2092" t="s">
        <v>5052</v>
      </c>
      <c r="B2092" s="24">
        <v>46181</v>
      </c>
      <c r="C2092" s="27" t="s">
        <v>5797</v>
      </c>
      <c r="D2092" s="27" t="s">
        <v>3227</v>
      </c>
      <c r="E2092" t="s">
        <v>2507</v>
      </c>
      <c r="F2092" t="s">
        <v>104</v>
      </c>
      <c r="G2092" t="s">
        <v>105</v>
      </c>
      <c r="H2092">
        <v>0</v>
      </c>
    </row>
    <row r="2093" spans="1:8">
      <c r="A2093" t="s">
        <v>5053</v>
      </c>
      <c r="B2093" s="24">
        <v>46182</v>
      </c>
      <c r="C2093" s="27" t="s">
        <v>5797</v>
      </c>
      <c r="D2093" s="27" t="s">
        <v>3227</v>
      </c>
      <c r="E2093" t="s">
        <v>2508</v>
      </c>
      <c r="F2093" t="s">
        <v>104</v>
      </c>
      <c r="G2093" t="s">
        <v>105</v>
      </c>
      <c r="H2093">
        <v>0</v>
      </c>
    </row>
    <row r="2094" spans="1:8">
      <c r="A2094" t="s">
        <v>5054</v>
      </c>
      <c r="B2094" s="24">
        <v>46183</v>
      </c>
      <c r="C2094" s="27" t="s">
        <v>5797</v>
      </c>
      <c r="D2094" s="27" t="s">
        <v>3227</v>
      </c>
      <c r="E2094" t="s">
        <v>2509</v>
      </c>
      <c r="F2094" t="s">
        <v>104</v>
      </c>
      <c r="G2094" t="s">
        <v>105</v>
      </c>
      <c r="H2094">
        <v>0</v>
      </c>
    </row>
    <row r="2095" spans="1:8">
      <c r="A2095" t="s">
        <v>5055</v>
      </c>
      <c r="B2095" s="24">
        <v>46184</v>
      </c>
      <c r="C2095" s="27" t="s">
        <v>5797</v>
      </c>
      <c r="D2095" s="27" t="s">
        <v>3227</v>
      </c>
      <c r="E2095" t="s">
        <v>2510</v>
      </c>
      <c r="F2095" t="s">
        <v>104</v>
      </c>
      <c r="G2095" t="s">
        <v>105</v>
      </c>
      <c r="H2095">
        <v>0</v>
      </c>
    </row>
    <row r="2096" spans="1:8">
      <c r="A2096" t="s">
        <v>5056</v>
      </c>
      <c r="B2096" s="24">
        <v>46185</v>
      </c>
      <c r="C2096" s="27" t="s">
        <v>5797</v>
      </c>
      <c r="D2096" s="27" t="s">
        <v>3227</v>
      </c>
      <c r="E2096" t="s">
        <v>2511</v>
      </c>
      <c r="F2096" t="s">
        <v>104</v>
      </c>
      <c r="G2096" t="s">
        <v>105</v>
      </c>
      <c r="H2096">
        <v>0</v>
      </c>
    </row>
    <row r="2097" spans="1:8">
      <c r="A2097" t="s">
        <v>5057</v>
      </c>
      <c r="B2097" s="24">
        <v>46174</v>
      </c>
      <c r="C2097" s="27" t="s">
        <v>5797</v>
      </c>
      <c r="D2097" s="27" t="s">
        <v>3227</v>
      </c>
      <c r="E2097" t="s">
        <v>2512</v>
      </c>
      <c r="F2097" t="s">
        <v>104</v>
      </c>
      <c r="G2097" t="s">
        <v>105</v>
      </c>
      <c r="H2097">
        <v>0</v>
      </c>
    </row>
    <row r="2098" spans="1:8">
      <c r="A2098" t="s">
        <v>5058</v>
      </c>
      <c r="B2098" s="24">
        <v>46175</v>
      </c>
      <c r="C2098" s="27" t="s">
        <v>5797</v>
      </c>
      <c r="D2098" s="27" t="s">
        <v>3227</v>
      </c>
      <c r="E2098" t="s">
        <v>2513</v>
      </c>
      <c r="F2098" t="s">
        <v>104</v>
      </c>
      <c r="G2098" t="s">
        <v>105</v>
      </c>
      <c r="H2098">
        <v>0</v>
      </c>
    </row>
    <row r="2099" spans="1:8">
      <c r="A2099" t="s">
        <v>5059</v>
      </c>
      <c r="B2099" s="24">
        <v>46176</v>
      </c>
      <c r="C2099" s="27" t="s">
        <v>5797</v>
      </c>
      <c r="D2099" s="27" t="s">
        <v>3227</v>
      </c>
      <c r="E2099" t="s">
        <v>2514</v>
      </c>
      <c r="F2099" t="s">
        <v>104</v>
      </c>
      <c r="G2099" t="s">
        <v>105</v>
      </c>
      <c r="H2099">
        <v>0</v>
      </c>
    </row>
    <row r="2100" spans="1:8">
      <c r="A2100" t="s">
        <v>5060</v>
      </c>
      <c r="B2100" s="24">
        <v>46177</v>
      </c>
      <c r="C2100" s="27" t="s">
        <v>5797</v>
      </c>
      <c r="D2100" s="27" t="s">
        <v>3227</v>
      </c>
      <c r="E2100" t="s">
        <v>2515</v>
      </c>
      <c r="F2100" t="s">
        <v>104</v>
      </c>
      <c r="G2100" t="s">
        <v>105</v>
      </c>
      <c r="H2100">
        <v>0</v>
      </c>
    </row>
    <row r="2101" spans="1:8">
      <c r="A2101" t="s">
        <v>5061</v>
      </c>
      <c r="B2101" s="24">
        <v>46178</v>
      </c>
      <c r="C2101" s="27" t="s">
        <v>5797</v>
      </c>
      <c r="D2101" s="27" t="s">
        <v>3227</v>
      </c>
      <c r="E2101" t="s">
        <v>2516</v>
      </c>
      <c r="F2101" t="s">
        <v>104</v>
      </c>
      <c r="G2101" t="s">
        <v>105</v>
      </c>
      <c r="H2101">
        <v>0</v>
      </c>
    </row>
    <row r="2102" spans="1:8">
      <c r="A2102" t="s">
        <v>5062</v>
      </c>
      <c r="B2102" s="24">
        <v>46181</v>
      </c>
      <c r="C2102" s="27" t="s">
        <v>5797</v>
      </c>
      <c r="D2102" s="27" t="s">
        <v>3227</v>
      </c>
      <c r="E2102" t="s">
        <v>2517</v>
      </c>
      <c r="F2102" t="s">
        <v>104</v>
      </c>
      <c r="G2102" t="s">
        <v>105</v>
      </c>
      <c r="H2102">
        <v>0</v>
      </c>
    </row>
    <row r="2103" spans="1:8">
      <c r="A2103" t="s">
        <v>5063</v>
      </c>
      <c r="B2103" s="24">
        <v>46182</v>
      </c>
      <c r="C2103" s="27" t="s">
        <v>5797</v>
      </c>
      <c r="D2103" s="27" t="s">
        <v>3227</v>
      </c>
      <c r="E2103" t="s">
        <v>2518</v>
      </c>
      <c r="F2103" t="s">
        <v>104</v>
      </c>
      <c r="G2103" t="s">
        <v>105</v>
      </c>
      <c r="H2103">
        <v>0</v>
      </c>
    </row>
    <row r="2104" spans="1:8">
      <c r="A2104" t="s">
        <v>5064</v>
      </c>
      <c r="B2104" s="24">
        <v>46183</v>
      </c>
      <c r="C2104" s="27" t="s">
        <v>5797</v>
      </c>
      <c r="D2104" s="27" t="s">
        <v>3227</v>
      </c>
      <c r="E2104" t="s">
        <v>2519</v>
      </c>
      <c r="F2104" t="s">
        <v>104</v>
      </c>
      <c r="G2104" t="s">
        <v>105</v>
      </c>
      <c r="H2104">
        <v>0</v>
      </c>
    </row>
    <row r="2105" spans="1:8">
      <c r="A2105" t="s">
        <v>5065</v>
      </c>
      <c r="B2105" s="24">
        <v>46184</v>
      </c>
      <c r="C2105" s="27" t="s">
        <v>5797</v>
      </c>
      <c r="D2105" s="27" t="s">
        <v>3227</v>
      </c>
      <c r="E2105" t="s">
        <v>2520</v>
      </c>
      <c r="F2105" t="s">
        <v>104</v>
      </c>
      <c r="G2105" t="s">
        <v>105</v>
      </c>
      <c r="H2105">
        <v>0</v>
      </c>
    </row>
    <row r="2106" spans="1:8">
      <c r="A2106" t="s">
        <v>5066</v>
      </c>
      <c r="B2106" s="24">
        <v>46185</v>
      </c>
      <c r="C2106" s="27" t="s">
        <v>5797</v>
      </c>
      <c r="D2106" s="27" t="s">
        <v>3227</v>
      </c>
      <c r="E2106" t="s">
        <v>2521</v>
      </c>
      <c r="F2106" t="s">
        <v>104</v>
      </c>
      <c r="G2106" t="s">
        <v>105</v>
      </c>
      <c r="H2106">
        <v>0</v>
      </c>
    </row>
    <row r="2107" spans="1:8">
      <c r="A2107" t="s">
        <v>5067</v>
      </c>
      <c r="B2107" s="24">
        <v>46174</v>
      </c>
      <c r="C2107" s="27" t="s">
        <v>5797</v>
      </c>
      <c r="D2107" s="27" t="s">
        <v>3227</v>
      </c>
      <c r="E2107" t="s">
        <v>2522</v>
      </c>
      <c r="F2107" t="s">
        <v>104</v>
      </c>
      <c r="G2107" t="s">
        <v>105</v>
      </c>
      <c r="H2107">
        <v>0</v>
      </c>
    </row>
    <row r="2108" spans="1:8">
      <c r="A2108" t="s">
        <v>5068</v>
      </c>
      <c r="B2108" s="24">
        <v>46175</v>
      </c>
      <c r="C2108" s="27" t="s">
        <v>5797</v>
      </c>
      <c r="D2108" s="27" t="s">
        <v>3227</v>
      </c>
      <c r="E2108" t="s">
        <v>2523</v>
      </c>
      <c r="F2108" t="s">
        <v>104</v>
      </c>
      <c r="G2108" t="s">
        <v>105</v>
      </c>
      <c r="H2108">
        <v>0</v>
      </c>
    </row>
    <row r="2109" spans="1:8">
      <c r="A2109" t="s">
        <v>5069</v>
      </c>
      <c r="B2109" s="24">
        <v>46176</v>
      </c>
      <c r="C2109" s="27" t="s">
        <v>5797</v>
      </c>
      <c r="D2109" s="27" t="s">
        <v>3227</v>
      </c>
      <c r="E2109" t="s">
        <v>2524</v>
      </c>
      <c r="F2109" t="s">
        <v>104</v>
      </c>
      <c r="G2109" t="s">
        <v>105</v>
      </c>
      <c r="H2109">
        <v>0</v>
      </c>
    </row>
    <row r="2110" spans="1:8">
      <c r="A2110" t="s">
        <v>5070</v>
      </c>
      <c r="B2110" s="24">
        <v>46177</v>
      </c>
      <c r="C2110" s="27" t="s">
        <v>5797</v>
      </c>
      <c r="D2110" s="27" t="s">
        <v>3227</v>
      </c>
      <c r="E2110" t="s">
        <v>2525</v>
      </c>
      <c r="F2110" t="s">
        <v>104</v>
      </c>
      <c r="G2110" t="s">
        <v>105</v>
      </c>
      <c r="H2110">
        <v>0</v>
      </c>
    </row>
    <row r="2111" spans="1:8">
      <c r="A2111" t="s">
        <v>5071</v>
      </c>
      <c r="B2111" s="24">
        <v>46178</v>
      </c>
      <c r="C2111" s="27" t="s">
        <v>5797</v>
      </c>
      <c r="D2111" s="27" t="s">
        <v>3227</v>
      </c>
      <c r="E2111" t="s">
        <v>2526</v>
      </c>
      <c r="F2111" t="s">
        <v>104</v>
      </c>
      <c r="G2111" t="s">
        <v>105</v>
      </c>
      <c r="H2111">
        <v>0</v>
      </c>
    </row>
    <row r="2112" spans="1:8">
      <c r="A2112" t="s">
        <v>5072</v>
      </c>
      <c r="B2112" s="24">
        <v>46181</v>
      </c>
      <c r="C2112" s="27" t="s">
        <v>5797</v>
      </c>
      <c r="D2112" s="27" t="s">
        <v>3227</v>
      </c>
      <c r="E2112" t="s">
        <v>2527</v>
      </c>
      <c r="F2112" t="s">
        <v>104</v>
      </c>
      <c r="G2112" t="s">
        <v>105</v>
      </c>
      <c r="H2112">
        <v>0</v>
      </c>
    </row>
    <row r="2113" spans="1:8">
      <c r="A2113" t="s">
        <v>5073</v>
      </c>
      <c r="B2113" s="24">
        <v>46182</v>
      </c>
      <c r="C2113" s="27" t="s">
        <v>5797</v>
      </c>
      <c r="D2113" s="27" t="s">
        <v>3227</v>
      </c>
      <c r="E2113" t="s">
        <v>2528</v>
      </c>
      <c r="F2113" t="s">
        <v>104</v>
      </c>
      <c r="G2113" t="s">
        <v>105</v>
      </c>
      <c r="H2113">
        <v>0</v>
      </c>
    </row>
    <row r="2114" spans="1:8">
      <c r="A2114" t="s">
        <v>5074</v>
      </c>
      <c r="B2114" s="24">
        <v>46183</v>
      </c>
      <c r="C2114" s="27" t="s">
        <v>5797</v>
      </c>
      <c r="D2114" s="27" t="s">
        <v>3227</v>
      </c>
      <c r="E2114" t="s">
        <v>2529</v>
      </c>
      <c r="F2114" t="s">
        <v>104</v>
      </c>
      <c r="G2114" t="s">
        <v>105</v>
      </c>
      <c r="H2114">
        <v>0</v>
      </c>
    </row>
    <row r="2115" spans="1:8">
      <c r="A2115" t="s">
        <v>5075</v>
      </c>
      <c r="B2115" s="24">
        <v>46184</v>
      </c>
      <c r="C2115" s="27" t="s">
        <v>5797</v>
      </c>
      <c r="D2115" s="27" t="s">
        <v>3227</v>
      </c>
      <c r="E2115" t="s">
        <v>2530</v>
      </c>
      <c r="F2115" t="s">
        <v>104</v>
      </c>
      <c r="G2115" t="s">
        <v>105</v>
      </c>
      <c r="H2115">
        <v>0</v>
      </c>
    </row>
    <row r="2116" spans="1:8">
      <c r="A2116" t="s">
        <v>5076</v>
      </c>
      <c r="B2116" s="24">
        <v>46185</v>
      </c>
      <c r="C2116" s="27" t="s">
        <v>5797</v>
      </c>
      <c r="D2116" s="27" t="s">
        <v>3227</v>
      </c>
      <c r="E2116" t="s">
        <v>2531</v>
      </c>
      <c r="F2116" t="s">
        <v>104</v>
      </c>
      <c r="G2116" t="s">
        <v>105</v>
      </c>
      <c r="H2116">
        <v>0</v>
      </c>
    </row>
    <row r="2117" spans="1:8">
      <c r="A2117" t="s">
        <v>5077</v>
      </c>
      <c r="B2117" s="24">
        <v>46174</v>
      </c>
      <c r="C2117" s="27" t="s">
        <v>5797</v>
      </c>
      <c r="D2117" s="27" t="s">
        <v>3227</v>
      </c>
      <c r="E2117" t="s">
        <v>2532</v>
      </c>
      <c r="F2117" t="s">
        <v>104</v>
      </c>
      <c r="G2117" t="s">
        <v>105</v>
      </c>
      <c r="H2117">
        <v>0</v>
      </c>
    </row>
    <row r="2118" spans="1:8">
      <c r="A2118" t="s">
        <v>5078</v>
      </c>
      <c r="B2118" s="24">
        <v>46175</v>
      </c>
      <c r="C2118" s="27" t="s">
        <v>5797</v>
      </c>
      <c r="D2118" s="27" t="s">
        <v>3227</v>
      </c>
      <c r="E2118" t="s">
        <v>2533</v>
      </c>
      <c r="F2118" t="s">
        <v>104</v>
      </c>
      <c r="G2118" t="s">
        <v>105</v>
      </c>
      <c r="H2118">
        <v>0</v>
      </c>
    </row>
    <row r="2119" spans="1:8">
      <c r="A2119" t="s">
        <v>5079</v>
      </c>
      <c r="B2119" s="24">
        <v>46176</v>
      </c>
      <c r="C2119" s="27" t="s">
        <v>5797</v>
      </c>
      <c r="D2119" s="27" t="s">
        <v>3227</v>
      </c>
      <c r="E2119" t="s">
        <v>2534</v>
      </c>
      <c r="F2119" t="s">
        <v>104</v>
      </c>
      <c r="G2119" t="s">
        <v>105</v>
      </c>
      <c r="H2119">
        <v>0</v>
      </c>
    </row>
    <row r="2120" spans="1:8">
      <c r="A2120" t="s">
        <v>5080</v>
      </c>
      <c r="B2120" s="24">
        <v>46177</v>
      </c>
      <c r="C2120" s="27" t="s">
        <v>5797</v>
      </c>
      <c r="D2120" s="27" t="s">
        <v>3227</v>
      </c>
      <c r="E2120" t="s">
        <v>2535</v>
      </c>
      <c r="F2120" t="s">
        <v>104</v>
      </c>
      <c r="G2120" t="s">
        <v>105</v>
      </c>
      <c r="H2120">
        <v>0</v>
      </c>
    </row>
    <row r="2121" spans="1:8">
      <c r="A2121" t="s">
        <v>5081</v>
      </c>
      <c r="B2121" s="24">
        <v>46178</v>
      </c>
      <c r="C2121" s="27" t="s">
        <v>5797</v>
      </c>
      <c r="D2121" s="27" t="s">
        <v>3227</v>
      </c>
      <c r="E2121" t="s">
        <v>2536</v>
      </c>
      <c r="F2121" t="s">
        <v>104</v>
      </c>
      <c r="G2121" t="s">
        <v>105</v>
      </c>
      <c r="H2121">
        <v>0</v>
      </c>
    </row>
    <row r="2122" spans="1:8">
      <c r="A2122" t="s">
        <v>5082</v>
      </c>
      <c r="B2122" s="24">
        <v>46181</v>
      </c>
      <c r="C2122" s="27" t="s">
        <v>5797</v>
      </c>
      <c r="D2122" s="27" t="s">
        <v>3227</v>
      </c>
      <c r="E2122" t="s">
        <v>2537</v>
      </c>
      <c r="F2122" t="s">
        <v>104</v>
      </c>
      <c r="G2122" t="s">
        <v>105</v>
      </c>
      <c r="H2122">
        <v>0</v>
      </c>
    </row>
    <row r="2123" spans="1:8">
      <c r="A2123" t="s">
        <v>5083</v>
      </c>
      <c r="B2123" s="24">
        <v>46182</v>
      </c>
      <c r="C2123" s="27" t="s">
        <v>5797</v>
      </c>
      <c r="D2123" s="27" t="s">
        <v>3227</v>
      </c>
      <c r="E2123" t="s">
        <v>2538</v>
      </c>
      <c r="F2123" t="s">
        <v>104</v>
      </c>
      <c r="G2123" t="s">
        <v>105</v>
      </c>
      <c r="H2123">
        <v>0</v>
      </c>
    </row>
    <row r="2124" spans="1:8">
      <c r="A2124" t="s">
        <v>5084</v>
      </c>
      <c r="B2124" s="24">
        <v>46183</v>
      </c>
      <c r="C2124" s="27" t="s">
        <v>5797</v>
      </c>
      <c r="D2124" s="27" t="s">
        <v>3227</v>
      </c>
      <c r="E2124" t="s">
        <v>2539</v>
      </c>
      <c r="F2124" t="s">
        <v>104</v>
      </c>
      <c r="G2124" t="s">
        <v>105</v>
      </c>
      <c r="H2124">
        <v>0</v>
      </c>
    </row>
    <row r="2125" spans="1:8">
      <c r="A2125" t="s">
        <v>5085</v>
      </c>
      <c r="B2125" s="24">
        <v>46184</v>
      </c>
      <c r="C2125" s="27" t="s">
        <v>5797</v>
      </c>
      <c r="D2125" s="27" t="s">
        <v>3227</v>
      </c>
      <c r="E2125" t="s">
        <v>2540</v>
      </c>
      <c r="F2125" t="s">
        <v>104</v>
      </c>
      <c r="G2125" t="s">
        <v>105</v>
      </c>
      <c r="H2125">
        <v>0</v>
      </c>
    </row>
    <row r="2126" spans="1:8">
      <c r="A2126" t="s">
        <v>5086</v>
      </c>
      <c r="B2126" s="24">
        <v>46185</v>
      </c>
      <c r="C2126" s="27" t="s">
        <v>5797</v>
      </c>
      <c r="D2126" s="27" t="s">
        <v>3227</v>
      </c>
      <c r="E2126" t="s">
        <v>2541</v>
      </c>
      <c r="F2126" t="s">
        <v>104</v>
      </c>
      <c r="G2126" t="s">
        <v>105</v>
      </c>
      <c r="H2126">
        <v>0</v>
      </c>
    </row>
    <row r="2127" spans="1:8">
      <c r="A2127" t="s">
        <v>5087</v>
      </c>
      <c r="B2127" s="24">
        <v>46174</v>
      </c>
      <c r="C2127" s="27" t="s">
        <v>5797</v>
      </c>
      <c r="D2127" s="27" t="s">
        <v>3227</v>
      </c>
      <c r="E2127" t="s">
        <v>2542</v>
      </c>
      <c r="F2127" t="s">
        <v>104</v>
      </c>
      <c r="H2127" t="s">
        <v>5762</v>
      </c>
    </row>
    <row r="2128" spans="1:8">
      <c r="A2128" t="s">
        <v>5088</v>
      </c>
      <c r="B2128" s="24">
        <v>46175</v>
      </c>
      <c r="C2128" s="27" t="s">
        <v>5797</v>
      </c>
      <c r="D2128" s="27" t="s">
        <v>3227</v>
      </c>
      <c r="E2128" t="s">
        <v>2543</v>
      </c>
      <c r="F2128" t="s">
        <v>104</v>
      </c>
      <c r="H2128" t="s">
        <v>5762</v>
      </c>
    </row>
    <row r="2129" spans="1:8">
      <c r="A2129" t="s">
        <v>5089</v>
      </c>
      <c r="B2129" s="24">
        <v>46176</v>
      </c>
      <c r="C2129" s="27" t="s">
        <v>5797</v>
      </c>
      <c r="D2129" s="27" t="s">
        <v>3227</v>
      </c>
      <c r="E2129" t="s">
        <v>2544</v>
      </c>
      <c r="F2129" t="s">
        <v>104</v>
      </c>
      <c r="H2129" t="s">
        <v>5762</v>
      </c>
    </row>
    <row r="2130" spans="1:8">
      <c r="A2130" t="s">
        <v>5090</v>
      </c>
      <c r="B2130" s="24">
        <v>46177</v>
      </c>
      <c r="C2130" s="27" t="s">
        <v>5797</v>
      </c>
      <c r="D2130" s="27" t="s">
        <v>3227</v>
      </c>
      <c r="E2130" t="s">
        <v>2545</v>
      </c>
      <c r="F2130" t="s">
        <v>104</v>
      </c>
      <c r="H2130" t="s">
        <v>5762</v>
      </c>
    </row>
    <row r="2131" spans="1:8">
      <c r="A2131" t="s">
        <v>5091</v>
      </c>
      <c r="B2131" s="24">
        <v>46178</v>
      </c>
      <c r="C2131" s="27" t="s">
        <v>5797</v>
      </c>
      <c r="D2131" s="27" t="s">
        <v>3227</v>
      </c>
      <c r="E2131" t="s">
        <v>2546</v>
      </c>
      <c r="F2131" t="s">
        <v>104</v>
      </c>
      <c r="H2131" t="s">
        <v>5762</v>
      </c>
    </row>
    <row r="2132" spans="1:8">
      <c r="A2132" t="s">
        <v>5092</v>
      </c>
      <c r="B2132" s="24">
        <v>46181</v>
      </c>
      <c r="C2132" s="27" t="s">
        <v>5797</v>
      </c>
      <c r="D2132" s="27" t="s">
        <v>3227</v>
      </c>
      <c r="E2132" t="s">
        <v>2547</v>
      </c>
      <c r="F2132" t="s">
        <v>104</v>
      </c>
      <c r="H2132" t="s">
        <v>5762</v>
      </c>
    </row>
    <row r="2133" spans="1:8">
      <c r="A2133" t="s">
        <v>5093</v>
      </c>
      <c r="B2133" s="24">
        <v>46182</v>
      </c>
      <c r="C2133" s="27" t="s">
        <v>5797</v>
      </c>
      <c r="D2133" s="27" t="s">
        <v>3227</v>
      </c>
      <c r="E2133" t="s">
        <v>2548</v>
      </c>
      <c r="F2133" t="s">
        <v>104</v>
      </c>
      <c r="H2133" t="s">
        <v>5762</v>
      </c>
    </row>
    <row r="2134" spans="1:8">
      <c r="A2134" t="s">
        <v>5094</v>
      </c>
      <c r="B2134" s="24">
        <v>46183</v>
      </c>
      <c r="C2134" s="27" t="s">
        <v>5797</v>
      </c>
      <c r="D2134" s="27" t="s">
        <v>3227</v>
      </c>
      <c r="E2134" t="s">
        <v>2549</v>
      </c>
      <c r="F2134" t="s">
        <v>104</v>
      </c>
      <c r="H2134" t="s">
        <v>5762</v>
      </c>
    </row>
    <row r="2135" spans="1:8">
      <c r="A2135" t="s">
        <v>5095</v>
      </c>
      <c r="B2135" s="24">
        <v>46184</v>
      </c>
      <c r="C2135" s="27" t="s">
        <v>5797</v>
      </c>
      <c r="D2135" s="27" t="s">
        <v>3227</v>
      </c>
      <c r="E2135" t="s">
        <v>2550</v>
      </c>
      <c r="F2135" t="s">
        <v>104</v>
      </c>
      <c r="H2135" t="s">
        <v>5762</v>
      </c>
    </row>
    <row r="2136" spans="1:8">
      <c r="A2136" t="s">
        <v>5096</v>
      </c>
      <c r="B2136" s="24">
        <v>46185</v>
      </c>
      <c r="C2136" s="27" t="s">
        <v>5797</v>
      </c>
      <c r="D2136" s="27" t="s">
        <v>3227</v>
      </c>
      <c r="E2136" t="s">
        <v>2551</v>
      </c>
      <c r="F2136" t="s">
        <v>104</v>
      </c>
      <c r="H2136" t="s">
        <v>5762</v>
      </c>
    </row>
    <row r="2137" spans="1:8">
      <c r="A2137" t="s">
        <v>5097</v>
      </c>
      <c r="B2137" s="24">
        <v>46174</v>
      </c>
      <c r="C2137" s="27" t="s">
        <v>5797</v>
      </c>
      <c r="D2137" s="27" t="s">
        <v>3227</v>
      </c>
      <c r="E2137" t="s">
        <v>2552</v>
      </c>
      <c r="F2137" t="s">
        <v>104</v>
      </c>
      <c r="H2137" t="s">
        <v>5762</v>
      </c>
    </row>
    <row r="2138" spans="1:8">
      <c r="A2138" t="s">
        <v>5098</v>
      </c>
      <c r="B2138" s="24">
        <v>46175</v>
      </c>
      <c r="C2138" s="27" t="s">
        <v>5797</v>
      </c>
      <c r="D2138" s="27" t="s">
        <v>3227</v>
      </c>
      <c r="E2138" t="s">
        <v>2553</v>
      </c>
      <c r="F2138" t="s">
        <v>104</v>
      </c>
      <c r="H2138" t="s">
        <v>5762</v>
      </c>
    </row>
    <row r="2139" spans="1:8">
      <c r="A2139" t="s">
        <v>5099</v>
      </c>
      <c r="B2139" s="24">
        <v>46176</v>
      </c>
      <c r="C2139" s="27" t="s">
        <v>5797</v>
      </c>
      <c r="D2139" s="27" t="s">
        <v>3227</v>
      </c>
      <c r="E2139" t="s">
        <v>2554</v>
      </c>
      <c r="F2139" t="s">
        <v>104</v>
      </c>
      <c r="H2139" t="s">
        <v>5762</v>
      </c>
    </row>
    <row r="2140" spans="1:8">
      <c r="A2140" t="s">
        <v>5100</v>
      </c>
      <c r="B2140" s="24">
        <v>46177</v>
      </c>
      <c r="C2140" s="27" t="s">
        <v>5797</v>
      </c>
      <c r="D2140" s="27" t="s">
        <v>3227</v>
      </c>
      <c r="E2140" t="s">
        <v>2555</v>
      </c>
      <c r="F2140" t="s">
        <v>104</v>
      </c>
      <c r="H2140" t="s">
        <v>5762</v>
      </c>
    </row>
    <row r="2141" spans="1:8">
      <c r="A2141" t="s">
        <v>5101</v>
      </c>
      <c r="B2141" s="24">
        <v>46178</v>
      </c>
      <c r="C2141" s="27" t="s">
        <v>5797</v>
      </c>
      <c r="D2141" s="27" t="s">
        <v>3227</v>
      </c>
      <c r="E2141" t="s">
        <v>2556</v>
      </c>
      <c r="F2141" t="s">
        <v>104</v>
      </c>
      <c r="H2141" t="s">
        <v>5762</v>
      </c>
    </row>
    <row r="2142" spans="1:8">
      <c r="A2142" t="s">
        <v>5102</v>
      </c>
      <c r="B2142" s="24">
        <v>46181</v>
      </c>
      <c r="C2142" s="27" t="s">
        <v>5797</v>
      </c>
      <c r="D2142" s="27" t="s">
        <v>3227</v>
      </c>
      <c r="E2142" t="s">
        <v>2557</v>
      </c>
      <c r="F2142" t="s">
        <v>104</v>
      </c>
      <c r="H2142" t="s">
        <v>5762</v>
      </c>
    </row>
    <row r="2143" spans="1:8">
      <c r="A2143" t="s">
        <v>5103</v>
      </c>
      <c r="B2143" s="24">
        <v>46182</v>
      </c>
      <c r="C2143" s="27" t="s">
        <v>5797</v>
      </c>
      <c r="D2143" s="27" t="s">
        <v>3227</v>
      </c>
      <c r="E2143" t="s">
        <v>2558</v>
      </c>
      <c r="F2143" t="s">
        <v>104</v>
      </c>
      <c r="H2143" t="s">
        <v>5762</v>
      </c>
    </row>
    <row r="2144" spans="1:8">
      <c r="A2144" t="s">
        <v>5104</v>
      </c>
      <c r="B2144" s="24">
        <v>46183</v>
      </c>
      <c r="C2144" s="27" t="s">
        <v>5797</v>
      </c>
      <c r="D2144" s="27" t="s">
        <v>3227</v>
      </c>
      <c r="E2144" t="s">
        <v>2559</v>
      </c>
      <c r="F2144" t="s">
        <v>104</v>
      </c>
      <c r="H2144" t="s">
        <v>5762</v>
      </c>
    </row>
    <row r="2145" spans="1:8">
      <c r="A2145" t="s">
        <v>5105</v>
      </c>
      <c r="B2145" s="24">
        <v>46184</v>
      </c>
      <c r="C2145" s="27" t="s">
        <v>5797</v>
      </c>
      <c r="D2145" s="27" t="s">
        <v>3227</v>
      </c>
      <c r="E2145" t="s">
        <v>2560</v>
      </c>
      <c r="F2145" t="s">
        <v>104</v>
      </c>
      <c r="H2145" t="s">
        <v>5762</v>
      </c>
    </row>
    <row r="2146" spans="1:8">
      <c r="A2146" t="s">
        <v>5106</v>
      </c>
      <c r="B2146" s="24">
        <v>46185</v>
      </c>
      <c r="C2146" s="27" t="s">
        <v>5797</v>
      </c>
      <c r="D2146" s="27" t="s">
        <v>3227</v>
      </c>
      <c r="E2146" t="s">
        <v>2561</v>
      </c>
      <c r="F2146" t="s">
        <v>104</v>
      </c>
      <c r="H2146" t="s">
        <v>5762</v>
      </c>
    </row>
    <row r="2147" spans="1:8">
      <c r="A2147" t="s">
        <v>5107</v>
      </c>
      <c r="B2147" s="24">
        <v>46174</v>
      </c>
      <c r="C2147" s="27" t="s">
        <v>5797</v>
      </c>
      <c r="D2147" s="27" t="s">
        <v>3227</v>
      </c>
      <c r="E2147" t="s">
        <v>2562</v>
      </c>
      <c r="F2147" t="s">
        <v>104</v>
      </c>
      <c r="H2147" t="s">
        <v>5762</v>
      </c>
    </row>
    <row r="2148" spans="1:8">
      <c r="A2148" t="s">
        <v>5108</v>
      </c>
      <c r="B2148" s="24">
        <v>46175</v>
      </c>
      <c r="C2148" s="27" t="s">
        <v>5797</v>
      </c>
      <c r="D2148" s="27" t="s">
        <v>3227</v>
      </c>
      <c r="E2148" t="s">
        <v>2563</v>
      </c>
      <c r="F2148" t="s">
        <v>104</v>
      </c>
      <c r="H2148" t="s">
        <v>5762</v>
      </c>
    </row>
    <row r="2149" spans="1:8">
      <c r="A2149" t="s">
        <v>5109</v>
      </c>
      <c r="B2149" s="24">
        <v>46176</v>
      </c>
      <c r="C2149" s="27" t="s">
        <v>5797</v>
      </c>
      <c r="D2149" s="27" t="s">
        <v>3227</v>
      </c>
      <c r="E2149" t="s">
        <v>2564</v>
      </c>
      <c r="F2149" t="s">
        <v>104</v>
      </c>
      <c r="H2149" t="s">
        <v>5762</v>
      </c>
    </row>
    <row r="2150" spans="1:8">
      <c r="A2150" t="s">
        <v>5110</v>
      </c>
      <c r="B2150" s="24">
        <v>46177</v>
      </c>
      <c r="C2150" s="27" t="s">
        <v>5797</v>
      </c>
      <c r="D2150" s="27" t="s">
        <v>3227</v>
      </c>
      <c r="E2150" t="s">
        <v>2565</v>
      </c>
      <c r="F2150" t="s">
        <v>104</v>
      </c>
      <c r="H2150" t="s">
        <v>5762</v>
      </c>
    </row>
    <row r="2151" spans="1:8">
      <c r="A2151" t="s">
        <v>5111</v>
      </c>
      <c r="B2151" s="24">
        <v>46178</v>
      </c>
      <c r="C2151" s="27" t="s">
        <v>5797</v>
      </c>
      <c r="D2151" s="27" t="s">
        <v>3227</v>
      </c>
      <c r="E2151" t="s">
        <v>2566</v>
      </c>
      <c r="F2151" t="s">
        <v>104</v>
      </c>
      <c r="H2151" t="s">
        <v>5762</v>
      </c>
    </row>
    <row r="2152" spans="1:8">
      <c r="A2152" t="s">
        <v>5112</v>
      </c>
      <c r="B2152" s="24">
        <v>46181</v>
      </c>
      <c r="C2152" s="27" t="s">
        <v>5797</v>
      </c>
      <c r="D2152" s="27" t="s">
        <v>3227</v>
      </c>
      <c r="E2152" t="s">
        <v>2567</v>
      </c>
      <c r="F2152" t="s">
        <v>104</v>
      </c>
      <c r="H2152" t="s">
        <v>5762</v>
      </c>
    </row>
    <row r="2153" spans="1:8">
      <c r="A2153" t="s">
        <v>5113</v>
      </c>
      <c r="B2153" s="24">
        <v>46182</v>
      </c>
      <c r="C2153" s="27" t="s">
        <v>5797</v>
      </c>
      <c r="D2153" s="27" t="s">
        <v>3227</v>
      </c>
      <c r="E2153" t="s">
        <v>2568</v>
      </c>
      <c r="F2153" t="s">
        <v>104</v>
      </c>
      <c r="H2153" t="s">
        <v>5762</v>
      </c>
    </row>
    <row r="2154" spans="1:8">
      <c r="A2154" t="s">
        <v>5114</v>
      </c>
      <c r="B2154" s="24">
        <v>46183</v>
      </c>
      <c r="C2154" s="27" t="s">
        <v>5797</v>
      </c>
      <c r="D2154" s="27" t="s">
        <v>3227</v>
      </c>
      <c r="E2154" t="s">
        <v>2569</v>
      </c>
      <c r="F2154" t="s">
        <v>104</v>
      </c>
      <c r="H2154" t="s">
        <v>5762</v>
      </c>
    </row>
    <row r="2155" spans="1:8">
      <c r="A2155" t="s">
        <v>5115</v>
      </c>
      <c r="B2155" s="24">
        <v>46184</v>
      </c>
      <c r="C2155" s="27" t="s">
        <v>5797</v>
      </c>
      <c r="D2155" s="27" t="s">
        <v>3227</v>
      </c>
      <c r="E2155" t="s">
        <v>2570</v>
      </c>
      <c r="F2155" t="s">
        <v>104</v>
      </c>
      <c r="H2155" t="s">
        <v>5762</v>
      </c>
    </row>
    <row r="2156" spans="1:8">
      <c r="A2156" t="s">
        <v>5116</v>
      </c>
      <c r="B2156" s="24">
        <v>46185</v>
      </c>
      <c r="C2156" s="27" t="s">
        <v>5797</v>
      </c>
      <c r="D2156" s="27" t="s">
        <v>3227</v>
      </c>
      <c r="E2156" t="s">
        <v>2571</v>
      </c>
      <c r="F2156" t="s">
        <v>104</v>
      </c>
      <c r="H2156" t="s">
        <v>5762</v>
      </c>
    </row>
    <row r="2157" spans="1:8">
      <c r="A2157" t="s">
        <v>5117</v>
      </c>
      <c r="B2157" s="24">
        <v>46174</v>
      </c>
      <c r="C2157" s="27" t="s">
        <v>5797</v>
      </c>
      <c r="D2157" s="27" t="s">
        <v>3227</v>
      </c>
      <c r="E2157" t="s">
        <v>2572</v>
      </c>
      <c r="F2157" t="s">
        <v>104</v>
      </c>
      <c r="H2157" t="s">
        <v>5762</v>
      </c>
    </row>
    <row r="2158" spans="1:8">
      <c r="A2158" t="s">
        <v>5118</v>
      </c>
      <c r="B2158" s="24">
        <v>46175</v>
      </c>
      <c r="C2158" s="27" t="s">
        <v>5797</v>
      </c>
      <c r="D2158" s="27" t="s">
        <v>3227</v>
      </c>
      <c r="E2158" t="s">
        <v>2573</v>
      </c>
      <c r="F2158" t="s">
        <v>104</v>
      </c>
      <c r="H2158" t="s">
        <v>5762</v>
      </c>
    </row>
    <row r="2159" spans="1:8">
      <c r="A2159" t="s">
        <v>5119</v>
      </c>
      <c r="B2159" s="24">
        <v>46176</v>
      </c>
      <c r="C2159" s="27" t="s">
        <v>5797</v>
      </c>
      <c r="D2159" s="27" t="s">
        <v>3227</v>
      </c>
      <c r="E2159" t="s">
        <v>2574</v>
      </c>
      <c r="F2159" t="s">
        <v>104</v>
      </c>
      <c r="H2159" t="s">
        <v>5762</v>
      </c>
    </row>
    <row r="2160" spans="1:8">
      <c r="A2160" t="s">
        <v>5120</v>
      </c>
      <c r="B2160" s="24">
        <v>46177</v>
      </c>
      <c r="C2160" s="27" t="s">
        <v>5797</v>
      </c>
      <c r="D2160" s="27" t="s">
        <v>3227</v>
      </c>
      <c r="E2160" t="s">
        <v>2575</v>
      </c>
      <c r="F2160" t="s">
        <v>104</v>
      </c>
      <c r="H2160" t="s">
        <v>5762</v>
      </c>
    </row>
    <row r="2161" spans="1:8">
      <c r="A2161" t="s">
        <v>5121</v>
      </c>
      <c r="B2161" s="24">
        <v>46178</v>
      </c>
      <c r="C2161" s="27" t="s">
        <v>5797</v>
      </c>
      <c r="D2161" s="27" t="s">
        <v>3227</v>
      </c>
      <c r="E2161" t="s">
        <v>2576</v>
      </c>
      <c r="F2161" t="s">
        <v>104</v>
      </c>
      <c r="H2161" t="s">
        <v>5762</v>
      </c>
    </row>
    <row r="2162" spans="1:8">
      <c r="A2162" t="s">
        <v>5122</v>
      </c>
      <c r="B2162" s="24">
        <v>46181</v>
      </c>
      <c r="C2162" s="27" t="s">
        <v>5797</v>
      </c>
      <c r="D2162" s="27" t="s">
        <v>3227</v>
      </c>
      <c r="E2162" t="s">
        <v>2577</v>
      </c>
      <c r="F2162" t="s">
        <v>104</v>
      </c>
      <c r="H2162" t="s">
        <v>5762</v>
      </c>
    </row>
    <row r="2163" spans="1:8">
      <c r="A2163" t="s">
        <v>5123</v>
      </c>
      <c r="B2163" s="24">
        <v>46182</v>
      </c>
      <c r="C2163" s="27" t="s">
        <v>5797</v>
      </c>
      <c r="D2163" s="27" t="s">
        <v>3227</v>
      </c>
      <c r="E2163" t="s">
        <v>2578</v>
      </c>
      <c r="F2163" t="s">
        <v>104</v>
      </c>
      <c r="H2163" t="s">
        <v>5762</v>
      </c>
    </row>
    <row r="2164" spans="1:8">
      <c r="A2164" t="s">
        <v>5124</v>
      </c>
      <c r="B2164" s="24">
        <v>46183</v>
      </c>
      <c r="C2164" s="27" t="s">
        <v>5797</v>
      </c>
      <c r="D2164" s="27" t="s">
        <v>3227</v>
      </c>
      <c r="E2164" t="s">
        <v>2579</v>
      </c>
      <c r="F2164" t="s">
        <v>104</v>
      </c>
      <c r="H2164" t="s">
        <v>5762</v>
      </c>
    </row>
    <row r="2165" spans="1:8">
      <c r="A2165" t="s">
        <v>5125</v>
      </c>
      <c r="B2165" s="24">
        <v>46184</v>
      </c>
      <c r="C2165" s="27" t="s">
        <v>5797</v>
      </c>
      <c r="D2165" s="27" t="s">
        <v>3227</v>
      </c>
      <c r="E2165" t="s">
        <v>2580</v>
      </c>
      <c r="F2165" t="s">
        <v>104</v>
      </c>
      <c r="H2165" t="s">
        <v>5762</v>
      </c>
    </row>
    <row r="2166" spans="1:8">
      <c r="A2166" t="s">
        <v>5126</v>
      </c>
      <c r="B2166" s="24">
        <v>46185</v>
      </c>
      <c r="C2166" s="27" t="s">
        <v>5797</v>
      </c>
      <c r="D2166" s="27" t="s">
        <v>3227</v>
      </c>
      <c r="E2166" t="s">
        <v>2581</v>
      </c>
      <c r="F2166" t="s">
        <v>104</v>
      </c>
      <c r="H2166" t="s">
        <v>5762</v>
      </c>
    </row>
    <row r="2167" spans="1:8">
      <c r="A2167" t="s">
        <v>5127</v>
      </c>
      <c r="B2167" s="24">
        <v>46174</v>
      </c>
      <c r="C2167" s="27" t="s">
        <v>5797</v>
      </c>
      <c r="D2167" s="27" t="s">
        <v>3227</v>
      </c>
      <c r="E2167" t="s">
        <v>2582</v>
      </c>
      <c r="F2167" t="s">
        <v>104</v>
      </c>
      <c r="H2167" t="s">
        <v>5762</v>
      </c>
    </row>
    <row r="2168" spans="1:8">
      <c r="A2168" t="s">
        <v>5128</v>
      </c>
      <c r="B2168" s="24">
        <v>46175</v>
      </c>
      <c r="C2168" s="27" t="s">
        <v>5797</v>
      </c>
      <c r="D2168" s="27" t="s">
        <v>3227</v>
      </c>
      <c r="E2168" t="s">
        <v>2583</v>
      </c>
      <c r="F2168" t="s">
        <v>104</v>
      </c>
      <c r="H2168" t="s">
        <v>5762</v>
      </c>
    </row>
    <row r="2169" spans="1:8">
      <c r="A2169" t="s">
        <v>5129</v>
      </c>
      <c r="B2169" s="24">
        <v>46176</v>
      </c>
      <c r="C2169" s="27" t="s">
        <v>5797</v>
      </c>
      <c r="D2169" s="27" t="s">
        <v>3227</v>
      </c>
      <c r="E2169" t="s">
        <v>2584</v>
      </c>
      <c r="F2169" t="s">
        <v>104</v>
      </c>
      <c r="H2169" t="s">
        <v>5762</v>
      </c>
    </row>
    <row r="2170" spans="1:8">
      <c r="A2170" t="s">
        <v>5130</v>
      </c>
      <c r="B2170" s="24">
        <v>46177</v>
      </c>
      <c r="C2170" s="27" t="s">
        <v>5797</v>
      </c>
      <c r="D2170" s="27" t="s">
        <v>3227</v>
      </c>
      <c r="E2170" t="s">
        <v>2585</v>
      </c>
      <c r="F2170" t="s">
        <v>104</v>
      </c>
      <c r="H2170" t="s">
        <v>5762</v>
      </c>
    </row>
    <row r="2171" spans="1:8">
      <c r="A2171" t="s">
        <v>5131</v>
      </c>
      <c r="B2171" s="24">
        <v>46178</v>
      </c>
      <c r="C2171" s="27" t="s">
        <v>5797</v>
      </c>
      <c r="D2171" s="27" t="s">
        <v>3227</v>
      </c>
      <c r="E2171" t="s">
        <v>2586</v>
      </c>
      <c r="F2171" t="s">
        <v>104</v>
      </c>
      <c r="H2171" t="s">
        <v>5762</v>
      </c>
    </row>
    <row r="2172" spans="1:8">
      <c r="A2172" t="s">
        <v>5132</v>
      </c>
      <c r="B2172" s="24">
        <v>46181</v>
      </c>
      <c r="C2172" s="27" t="s">
        <v>5797</v>
      </c>
      <c r="D2172" s="27" t="s">
        <v>3227</v>
      </c>
      <c r="E2172" t="s">
        <v>2587</v>
      </c>
      <c r="F2172" t="s">
        <v>104</v>
      </c>
      <c r="H2172" t="s">
        <v>5762</v>
      </c>
    </row>
    <row r="2173" spans="1:8">
      <c r="A2173" t="s">
        <v>5133</v>
      </c>
      <c r="B2173" s="24">
        <v>46182</v>
      </c>
      <c r="C2173" s="27" t="s">
        <v>5797</v>
      </c>
      <c r="D2173" s="27" t="s">
        <v>3227</v>
      </c>
      <c r="E2173" t="s">
        <v>2588</v>
      </c>
      <c r="F2173" t="s">
        <v>104</v>
      </c>
      <c r="H2173" t="s">
        <v>5762</v>
      </c>
    </row>
    <row r="2174" spans="1:8">
      <c r="A2174" t="s">
        <v>5134</v>
      </c>
      <c r="B2174" s="24">
        <v>46183</v>
      </c>
      <c r="C2174" s="27" t="s">
        <v>5797</v>
      </c>
      <c r="D2174" s="27" t="s">
        <v>3227</v>
      </c>
      <c r="E2174" t="s">
        <v>2589</v>
      </c>
      <c r="F2174" t="s">
        <v>104</v>
      </c>
      <c r="H2174" t="s">
        <v>5762</v>
      </c>
    </row>
    <row r="2175" spans="1:8">
      <c r="A2175" t="s">
        <v>5135</v>
      </c>
      <c r="B2175" s="24">
        <v>46184</v>
      </c>
      <c r="C2175" s="27" t="s">
        <v>5797</v>
      </c>
      <c r="D2175" s="27" t="s">
        <v>3227</v>
      </c>
      <c r="E2175" t="s">
        <v>2590</v>
      </c>
      <c r="F2175" t="s">
        <v>104</v>
      </c>
      <c r="H2175" t="s">
        <v>5762</v>
      </c>
    </row>
    <row r="2176" spans="1:8">
      <c r="A2176" t="s">
        <v>5136</v>
      </c>
      <c r="B2176" s="24">
        <v>46185</v>
      </c>
      <c r="C2176" s="27" t="s">
        <v>5797</v>
      </c>
      <c r="D2176" s="27" t="s">
        <v>3227</v>
      </c>
      <c r="E2176" t="s">
        <v>2591</v>
      </c>
      <c r="F2176" t="s">
        <v>104</v>
      </c>
      <c r="H2176" t="s">
        <v>5762</v>
      </c>
    </row>
    <row r="2177" spans="1:8">
      <c r="A2177" t="s">
        <v>5137</v>
      </c>
      <c r="B2177" s="24">
        <v>46186</v>
      </c>
      <c r="C2177" s="27" t="s">
        <v>5797</v>
      </c>
      <c r="D2177" s="27" t="s">
        <v>3227</v>
      </c>
      <c r="E2177" t="s">
        <v>2592</v>
      </c>
      <c r="F2177" t="s">
        <v>104</v>
      </c>
      <c r="H2177" t="s">
        <v>5762</v>
      </c>
    </row>
    <row r="2178" spans="1:8">
      <c r="A2178" t="s">
        <v>5138</v>
      </c>
      <c r="B2178" s="24">
        <v>46187</v>
      </c>
      <c r="C2178" s="27" t="s">
        <v>5797</v>
      </c>
      <c r="D2178" s="27" t="s">
        <v>3227</v>
      </c>
      <c r="E2178" t="s">
        <v>2593</v>
      </c>
      <c r="F2178" t="s">
        <v>104</v>
      </c>
      <c r="H2178" t="s">
        <v>5762</v>
      </c>
    </row>
    <row r="2179" spans="1:8">
      <c r="A2179" t="s">
        <v>5139</v>
      </c>
      <c r="B2179" s="24">
        <v>46188</v>
      </c>
      <c r="C2179" s="27" t="s">
        <v>5797</v>
      </c>
      <c r="D2179" s="27" t="s">
        <v>3227</v>
      </c>
      <c r="E2179" t="s">
        <v>2594</v>
      </c>
      <c r="F2179" t="s">
        <v>104</v>
      </c>
      <c r="H2179" t="s">
        <v>5762</v>
      </c>
    </row>
    <row r="2180" spans="1:8">
      <c r="A2180" t="s">
        <v>5140</v>
      </c>
      <c r="B2180" s="24">
        <v>46189</v>
      </c>
      <c r="C2180" s="27" t="s">
        <v>5797</v>
      </c>
      <c r="D2180" s="27" t="s">
        <v>3227</v>
      </c>
      <c r="E2180" t="s">
        <v>2595</v>
      </c>
      <c r="F2180" t="s">
        <v>104</v>
      </c>
      <c r="H2180" t="s">
        <v>5762</v>
      </c>
    </row>
    <row r="2181" spans="1:8">
      <c r="A2181" t="s">
        <v>5141</v>
      </c>
      <c r="B2181" s="24">
        <v>46190</v>
      </c>
      <c r="C2181" s="27" t="s">
        <v>5797</v>
      </c>
      <c r="D2181" s="27" t="s">
        <v>3227</v>
      </c>
      <c r="E2181" t="s">
        <v>2596</v>
      </c>
      <c r="F2181" t="s">
        <v>104</v>
      </c>
      <c r="H2181" t="s">
        <v>5762</v>
      </c>
    </row>
    <row r="2182" spans="1:8">
      <c r="A2182" t="s">
        <v>5142</v>
      </c>
      <c r="B2182" s="24">
        <v>46174</v>
      </c>
      <c r="C2182" s="27" t="s">
        <v>5797</v>
      </c>
      <c r="D2182" s="27" t="s">
        <v>3227</v>
      </c>
      <c r="E2182" t="s">
        <v>2597</v>
      </c>
      <c r="F2182" t="s">
        <v>104</v>
      </c>
      <c r="H2182" t="s">
        <v>5762</v>
      </c>
    </row>
    <row r="2183" spans="1:8">
      <c r="A2183" t="s">
        <v>5143</v>
      </c>
      <c r="B2183" s="24">
        <v>46175</v>
      </c>
      <c r="C2183" s="27" t="s">
        <v>5797</v>
      </c>
      <c r="D2183" s="27" t="s">
        <v>3227</v>
      </c>
      <c r="E2183" t="s">
        <v>2598</v>
      </c>
      <c r="F2183" t="s">
        <v>104</v>
      </c>
      <c r="H2183" t="s">
        <v>5762</v>
      </c>
    </row>
    <row r="2184" spans="1:8">
      <c r="A2184" t="s">
        <v>5144</v>
      </c>
      <c r="B2184" s="24">
        <v>46176</v>
      </c>
      <c r="C2184" s="27" t="s">
        <v>5797</v>
      </c>
      <c r="D2184" s="27" t="s">
        <v>3227</v>
      </c>
      <c r="E2184" t="s">
        <v>2599</v>
      </c>
      <c r="F2184" t="s">
        <v>104</v>
      </c>
      <c r="H2184" t="s">
        <v>5762</v>
      </c>
    </row>
    <row r="2185" spans="1:8">
      <c r="A2185" t="s">
        <v>5145</v>
      </c>
      <c r="B2185" s="24">
        <v>46177</v>
      </c>
      <c r="C2185" s="27" t="s">
        <v>5797</v>
      </c>
      <c r="D2185" s="27" t="s">
        <v>3227</v>
      </c>
      <c r="E2185" t="s">
        <v>2600</v>
      </c>
      <c r="F2185" t="s">
        <v>104</v>
      </c>
      <c r="H2185" t="s">
        <v>5762</v>
      </c>
    </row>
    <row r="2186" spans="1:8">
      <c r="A2186" t="s">
        <v>5146</v>
      </c>
      <c r="B2186" s="24">
        <v>46178</v>
      </c>
      <c r="C2186" s="27" t="s">
        <v>5797</v>
      </c>
      <c r="D2186" s="27" t="s">
        <v>3227</v>
      </c>
      <c r="E2186" t="s">
        <v>2601</v>
      </c>
      <c r="F2186" t="s">
        <v>104</v>
      </c>
      <c r="H2186" t="s">
        <v>5762</v>
      </c>
    </row>
    <row r="2187" spans="1:8">
      <c r="A2187" t="s">
        <v>5147</v>
      </c>
      <c r="B2187" s="24">
        <v>46181</v>
      </c>
      <c r="C2187" s="27" t="s">
        <v>5797</v>
      </c>
      <c r="D2187" s="27" t="s">
        <v>3227</v>
      </c>
      <c r="E2187" t="s">
        <v>2602</v>
      </c>
      <c r="F2187" t="s">
        <v>104</v>
      </c>
      <c r="H2187" t="s">
        <v>5762</v>
      </c>
    </row>
    <row r="2188" spans="1:8">
      <c r="A2188" t="s">
        <v>5148</v>
      </c>
      <c r="B2188" s="24">
        <v>46182</v>
      </c>
      <c r="C2188" s="27" t="s">
        <v>5797</v>
      </c>
      <c r="D2188" s="27" t="s">
        <v>3227</v>
      </c>
      <c r="E2188" t="s">
        <v>2603</v>
      </c>
      <c r="F2188" t="s">
        <v>104</v>
      </c>
      <c r="H2188" t="s">
        <v>5762</v>
      </c>
    </row>
    <row r="2189" spans="1:8">
      <c r="A2189" t="s">
        <v>5149</v>
      </c>
      <c r="B2189" s="24">
        <v>46183</v>
      </c>
      <c r="C2189" s="27" t="s">
        <v>5797</v>
      </c>
      <c r="D2189" s="27" t="s">
        <v>3227</v>
      </c>
      <c r="E2189" t="s">
        <v>2604</v>
      </c>
      <c r="F2189" t="s">
        <v>104</v>
      </c>
      <c r="H2189" t="s">
        <v>5762</v>
      </c>
    </row>
    <row r="2190" spans="1:8">
      <c r="A2190" t="s">
        <v>5150</v>
      </c>
      <c r="B2190" s="24">
        <v>46184</v>
      </c>
      <c r="C2190" s="27" t="s">
        <v>5797</v>
      </c>
      <c r="D2190" s="27" t="s">
        <v>3227</v>
      </c>
      <c r="E2190" t="s">
        <v>2605</v>
      </c>
      <c r="F2190" t="s">
        <v>104</v>
      </c>
      <c r="H2190" t="s">
        <v>5762</v>
      </c>
    </row>
    <row r="2191" spans="1:8">
      <c r="A2191" t="s">
        <v>5151</v>
      </c>
      <c r="B2191" s="24">
        <v>46185</v>
      </c>
      <c r="C2191" s="27" t="s">
        <v>5797</v>
      </c>
      <c r="D2191" s="27" t="s">
        <v>3227</v>
      </c>
      <c r="E2191" t="s">
        <v>2606</v>
      </c>
      <c r="F2191" t="s">
        <v>104</v>
      </c>
      <c r="H2191" t="s">
        <v>5762</v>
      </c>
    </row>
    <row r="2192" spans="1:8">
      <c r="A2192" t="s">
        <v>5152</v>
      </c>
      <c r="B2192" s="24">
        <v>46174</v>
      </c>
      <c r="C2192" s="27" t="s">
        <v>5797</v>
      </c>
      <c r="D2192" s="27" t="s">
        <v>3227</v>
      </c>
      <c r="E2192" t="s">
        <v>2607</v>
      </c>
      <c r="F2192" t="s">
        <v>104</v>
      </c>
      <c r="H2192" t="s">
        <v>5762</v>
      </c>
    </row>
    <row r="2193" spans="1:8">
      <c r="A2193" t="s">
        <v>5153</v>
      </c>
      <c r="B2193" s="24">
        <v>46175</v>
      </c>
      <c r="C2193" s="27" t="s">
        <v>5797</v>
      </c>
      <c r="D2193" s="27" t="s">
        <v>3227</v>
      </c>
      <c r="E2193" t="s">
        <v>2608</v>
      </c>
      <c r="F2193" t="s">
        <v>104</v>
      </c>
      <c r="H2193" t="s">
        <v>5762</v>
      </c>
    </row>
    <row r="2194" spans="1:8">
      <c r="A2194" t="s">
        <v>5154</v>
      </c>
      <c r="B2194" s="24">
        <v>46176</v>
      </c>
      <c r="C2194" s="27" t="s">
        <v>5797</v>
      </c>
      <c r="D2194" s="27" t="s">
        <v>3227</v>
      </c>
      <c r="E2194" t="s">
        <v>2609</v>
      </c>
      <c r="F2194" t="s">
        <v>104</v>
      </c>
      <c r="H2194" t="s">
        <v>5762</v>
      </c>
    </row>
    <row r="2195" spans="1:8">
      <c r="A2195" t="s">
        <v>5155</v>
      </c>
      <c r="B2195" s="24">
        <v>46177</v>
      </c>
      <c r="C2195" s="27" t="s">
        <v>5797</v>
      </c>
      <c r="D2195" s="27" t="s">
        <v>3227</v>
      </c>
      <c r="E2195" t="s">
        <v>2610</v>
      </c>
      <c r="F2195" t="s">
        <v>104</v>
      </c>
      <c r="H2195" t="s">
        <v>5762</v>
      </c>
    </row>
    <row r="2196" spans="1:8">
      <c r="A2196" t="s">
        <v>5156</v>
      </c>
      <c r="B2196" s="24">
        <v>46178</v>
      </c>
      <c r="C2196" s="27" t="s">
        <v>5797</v>
      </c>
      <c r="D2196" s="27" t="s">
        <v>3227</v>
      </c>
      <c r="E2196" t="s">
        <v>2611</v>
      </c>
      <c r="F2196" t="s">
        <v>104</v>
      </c>
      <c r="H2196" t="s">
        <v>5762</v>
      </c>
    </row>
    <row r="2197" spans="1:8">
      <c r="A2197" t="s">
        <v>5157</v>
      </c>
      <c r="B2197" s="24">
        <v>46181</v>
      </c>
      <c r="C2197" s="27" t="s">
        <v>5797</v>
      </c>
      <c r="D2197" s="27" t="s">
        <v>3227</v>
      </c>
      <c r="E2197" t="s">
        <v>2612</v>
      </c>
      <c r="F2197" t="s">
        <v>104</v>
      </c>
      <c r="H2197" t="s">
        <v>5762</v>
      </c>
    </row>
    <row r="2198" spans="1:8">
      <c r="A2198" t="s">
        <v>5158</v>
      </c>
      <c r="B2198" s="24">
        <v>46182</v>
      </c>
      <c r="C2198" s="27" t="s">
        <v>5797</v>
      </c>
      <c r="D2198" s="27" t="s">
        <v>3227</v>
      </c>
      <c r="E2198" t="s">
        <v>2613</v>
      </c>
      <c r="F2198" t="s">
        <v>104</v>
      </c>
      <c r="H2198" t="s">
        <v>5762</v>
      </c>
    </row>
    <row r="2199" spans="1:8">
      <c r="A2199" t="s">
        <v>5159</v>
      </c>
      <c r="B2199" s="24">
        <v>46183</v>
      </c>
      <c r="C2199" s="27" t="s">
        <v>5797</v>
      </c>
      <c r="D2199" s="27" t="s">
        <v>3227</v>
      </c>
      <c r="E2199" t="s">
        <v>2614</v>
      </c>
      <c r="F2199" t="s">
        <v>104</v>
      </c>
      <c r="H2199" t="s">
        <v>5762</v>
      </c>
    </row>
    <row r="2200" spans="1:8">
      <c r="A2200" t="s">
        <v>5160</v>
      </c>
      <c r="B2200" s="24">
        <v>46184</v>
      </c>
      <c r="C2200" s="27" t="s">
        <v>5797</v>
      </c>
      <c r="D2200" s="27" t="s">
        <v>3227</v>
      </c>
      <c r="E2200" t="s">
        <v>2615</v>
      </c>
      <c r="F2200" t="s">
        <v>104</v>
      </c>
      <c r="H2200" t="s">
        <v>5762</v>
      </c>
    </row>
    <row r="2201" spans="1:8">
      <c r="A2201" t="s">
        <v>5161</v>
      </c>
      <c r="B2201" s="24">
        <v>46185</v>
      </c>
      <c r="C2201" s="27" t="s">
        <v>5797</v>
      </c>
      <c r="D2201" s="27" t="s">
        <v>3227</v>
      </c>
      <c r="E2201" t="s">
        <v>2616</v>
      </c>
      <c r="F2201" t="s">
        <v>104</v>
      </c>
      <c r="H2201" t="s">
        <v>5762</v>
      </c>
    </row>
    <row r="2202" spans="1:8">
      <c r="A2202" t="s">
        <v>5162</v>
      </c>
      <c r="B2202" s="24">
        <v>46174</v>
      </c>
      <c r="C2202" s="27" t="s">
        <v>5797</v>
      </c>
      <c r="D2202" s="27" t="s">
        <v>3227</v>
      </c>
      <c r="E2202" t="s">
        <v>2617</v>
      </c>
      <c r="F2202" t="s">
        <v>104</v>
      </c>
      <c r="H2202" t="s">
        <v>5762</v>
      </c>
    </row>
    <row r="2203" spans="1:8">
      <c r="A2203" t="s">
        <v>5163</v>
      </c>
      <c r="B2203" s="24">
        <v>46175</v>
      </c>
      <c r="C2203" s="27" t="s">
        <v>5797</v>
      </c>
      <c r="D2203" s="27" t="s">
        <v>3227</v>
      </c>
      <c r="E2203" t="s">
        <v>2618</v>
      </c>
      <c r="F2203" t="s">
        <v>104</v>
      </c>
      <c r="H2203" t="s">
        <v>5762</v>
      </c>
    </row>
    <row r="2204" spans="1:8">
      <c r="A2204" t="s">
        <v>5164</v>
      </c>
      <c r="B2204" s="24">
        <v>46176</v>
      </c>
      <c r="C2204" s="27" t="s">
        <v>5797</v>
      </c>
      <c r="D2204" s="27" t="s">
        <v>3227</v>
      </c>
      <c r="E2204" t="s">
        <v>2619</v>
      </c>
      <c r="F2204" t="s">
        <v>104</v>
      </c>
      <c r="H2204" t="s">
        <v>5762</v>
      </c>
    </row>
    <row r="2205" spans="1:8">
      <c r="A2205" t="s">
        <v>5165</v>
      </c>
      <c r="B2205" s="24">
        <v>46177</v>
      </c>
      <c r="C2205" s="27" t="s">
        <v>5797</v>
      </c>
      <c r="D2205" s="27" t="s">
        <v>3227</v>
      </c>
      <c r="E2205" t="s">
        <v>2620</v>
      </c>
      <c r="F2205" t="s">
        <v>104</v>
      </c>
      <c r="H2205" t="s">
        <v>5762</v>
      </c>
    </row>
    <row r="2206" spans="1:8">
      <c r="A2206" t="s">
        <v>5166</v>
      </c>
      <c r="B2206" s="24">
        <v>46178</v>
      </c>
      <c r="C2206" s="27" t="s">
        <v>5797</v>
      </c>
      <c r="D2206" s="27" t="s">
        <v>3229</v>
      </c>
      <c r="E2206" t="s">
        <v>2621</v>
      </c>
      <c r="F2206" t="s">
        <v>104</v>
      </c>
      <c r="H2206" t="s">
        <v>5762</v>
      </c>
    </row>
    <row r="2207" spans="1:8">
      <c r="A2207" t="s">
        <v>5167</v>
      </c>
      <c r="B2207" s="24">
        <v>46181</v>
      </c>
      <c r="C2207" s="27" t="s">
        <v>5797</v>
      </c>
      <c r="D2207" s="27" t="s">
        <v>3229</v>
      </c>
      <c r="E2207" t="s">
        <v>2622</v>
      </c>
      <c r="F2207" t="s">
        <v>104</v>
      </c>
      <c r="H2207" t="s">
        <v>5762</v>
      </c>
    </row>
    <row r="2208" spans="1:8">
      <c r="A2208" t="s">
        <v>5168</v>
      </c>
      <c r="B2208" s="24">
        <v>46182</v>
      </c>
      <c r="C2208" s="27" t="s">
        <v>5797</v>
      </c>
      <c r="D2208" s="27" t="s">
        <v>3229</v>
      </c>
      <c r="E2208" t="s">
        <v>2623</v>
      </c>
      <c r="F2208" t="s">
        <v>104</v>
      </c>
      <c r="H2208" t="s">
        <v>5762</v>
      </c>
    </row>
    <row r="2209" spans="1:8">
      <c r="A2209" t="s">
        <v>5169</v>
      </c>
      <c r="B2209" s="24">
        <v>46183</v>
      </c>
      <c r="C2209" s="27" t="s">
        <v>5797</v>
      </c>
      <c r="D2209" s="27" t="s">
        <v>3229</v>
      </c>
      <c r="E2209" t="s">
        <v>2624</v>
      </c>
      <c r="F2209" t="s">
        <v>104</v>
      </c>
      <c r="H2209" t="s">
        <v>5762</v>
      </c>
    </row>
    <row r="2210" spans="1:8">
      <c r="A2210" t="s">
        <v>5170</v>
      </c>
      <c r="B2210" s="24">
        <v>46184</v>
      </c>
      <c r="C2210" s="27" t="s">
        <v>5797</v>
      </c>
      <c r="D2210" s="27" t="s">
        <v>3229</v>
      </c>
      <c r="E2210" t="s">
        <v>2625</v>
      </c>
      <c r="F2210" t="s">
        <v>104</v>
      </c>
      <c r="H2210" t="s">
        <v>5762</v>
      </c>
    </row>
    <row r="2211" spans="1:8">
      <c r="A2211" t="s">
        <v>5171</v>
      </c>
      <c r="B2211" s="24">
        <v>46185</v>
      </c>
      <c r="C2211" s="27" t="s">
        <v>5797</v>
      </c>
      <c r="D2211" s="27" t="s">
        <v>3229</v>
      </c>
      <c r="E2211" t="s">
        <v>2626</v>
      </c>
      <c r="F2211" t="s">
        <v>104</v>
      </c>
      <c r="H2211" t="s">
        <v>5762</v>
      </c>
    </row>
    <row r="2212" spans="1:8">
      <c r="A2212" t="s">
        <v>5172</v>
      </c>
      <c r="B2212" s="24">
        <v>46174</v>
      </c>
      <c r="C2212" s="27" t="s">
        <v>5797</v>
      </c>
      <c r="D2212" s="27" t="s">
        <v>3229</v>
      </c>
      <c r="E2212" t="s">
        <v>2627</v>
      </c>
      <c r="F2212" t="s">
        <v>104</v>
      </c>
      <c r="H2212" t="s">
        <v>5762</v>
      </c>
    </row>
    <row r="2213" spans="1:8">
      <c r="A2213" t="s">
        <v>5173</v>
      </c>
      <c r="B2213" s="24">
        <v>46175</v>
      </c>
      <c r="C2213" s="27" t="s">
        <v>5797</v>
      </c>
      <c r="D2213" s="27" t="s">
        <v>3229</v>
      </c>
      <c r="E2213" t="s">
        <v>2628</v>
      </c>
      <c r="F2213" t="s">
        <v>104</v>
      </c>
      <c r="H2213" t="s">
        <v>5762</v>
      </c>
    </row>
    <row r="2214" spans="1:8">
      <c r="A2214" t="s">
        <v>5174</v>
      </c>
      <c r="B2214" s="24">
        <v>46176</v>
      </c>
      <c r="C2214" s="27" t="s">
        <v>5797</v>
      </c>
      <c r="D2214" s="27" t="s">
        <v>3229</v>
      </c>
      <c r="E2214" t="s">
        <v>2629</v>
      </c>
      <c r="F2214" t="s">
        <v>104</v>
      </c>
      <c r="H2214" t="s">
        <v>5762</v>
      </c>
    </row>
    <row r="2215" spans="1:8">
      <c r="A2215" t="s">
        <v>5175</v>
      </c>
      <c r="B2215" s="24">
        <v>46177</v>
      </c>
      <c r="C2215" s="27" t="s">
        <v>5797</v>
      </c>
      <c r="D2215" s="27" t="s">
        <v>3229</v>
      </c>
      <c r="E2215" t="s">
        <v>2630</v>
      </c>
      <c r="F2215" t="s">
        <v>104</v>
      </c>
      <c r="H2215" t="s">
        <v>5762</v>
      </c>
    </row>
    <row r="2216" spans="1:8">
      <c r="A2216" t="s">
        <v>5176</v>
      </c>
      <c r="B2216" s="24">
        <v>46178</v>
      </c>
      <c r="C2216" s="27" t="s">
        <v>5797</v>
      </c>
      <c r="D2216" s="27" t="s">
        <v>3229</v>
      </c>
      <c r="E2216" t="s">
        <v>2631</v>
      </c>
      <c r="F2216" t="s">
        <v>104</v>
      </c>
      <c r="H2216" t="s">
        <v>5762</v>
      </c>
    </row>
    <row r="2217" spans="1:8">
      <c r="A2217" t="s">
        <v>5177</v>
      </c>
      <c r="B2217" s="24">
        <v>46181</v>
      </c>
      <c r="C2217" s="27" t="s">
        <v>5797</v>
      </c>
      <c r="D2217" s="27" t="s">
        <v>3229</v>
      </c>
      <c r="E2217" t="s">
        <v>2632</v>
      </c>
      <c r="F2217" t="s">
        <v>104</v>
      </c>
      <c r="H2217" t="s">
        <v>5762</v>
      </c>
    </row>
    <row r="2218" spans="1:8">
      <c r="A2218" t="s">
        <v>5178</v>
      </c>
      <c r="B2218" s="24">
        <v>46182</v>
      </c>
      <c r="C2218" s="27" t="s">
        <v>5797</v>
      </c>
      <c r="D2218" s="27" t="s">
        <v>3229</v>
      </c>
      <c r="E2218" t="s">
        <v>2633</v>
      </c>
      <c r="F2218" t="s">
        <v>104</v>
      </c>
      <c r="H2218" t="s">
        <v>5762</v>
      </c>
    </row>
    <row r="2219" spans="1:8">
      <c r="A2219" t="s">
        <v>5179</v>
      </c>
      <c r="B2219" s="24">
        <v>46183</v>
      </c>
      <c r="C2219" s="27" t="s">
        <v>5797</v>
      </c>
      <c r="D2219" s="27" t="s">
        <v>3229</v>
      </c>
      <c r="E2219" t="s">
        <v>2634</v>
      </c>
      <c r="F2219" t="s">
        <v>104</v>
      </c>
      <c r="H2219" t="s">
        <v>5762</v>
      </c>
    </row>
    <row r="2220" spans="1:8">
      <c r="A2220" t="s">
        <v>5180</v>
      </c>
      <c r="B2220" s="24">
        <v>46184</v>
      </c>
      <c r="C2220" s="27" t="s">
        <v>5797</v>
      </c>
      <c r="D2220" s="27" t="s">
        <v>3229</v>
      </c>
      <c r="E2220" t="s">
        <v>2635</v>
      </c>
      <c r="F2220" t="s">
        <v>104</v>
      </c>
      <c r="H2220" t="s">
        <v>5762</v>
      </c>
    </row>
    <row r="2221" spans="1:8">
      <c r="A2221" t="s">
        <v>5181</v>
      </c>
      <c r="B2221" s="24">
        <v>46185</v>
      </c>
      <c r="C2221" s="27" t="s">
        <v>5797</v>
      </c>
      <c r="D2221" s="27" t="s">
        <v>3229</v>
      </c>
      <c r="E2221" t="s">
        <v>2636</v>
      </c>
      <c r="F2221" t="s">
        <v>104</v>
      </c>
      <c r="H2221" t="s">
        <v>5762</v>
      </c>
    </row>
    <row r="2222" spans="1:8">
      <c r="A2222" t="s">
        <v>5182</v>
      </c>
      <c r="B2222" s="24">
        <v>46174</v>
      </c>
      <c r="C2222" s="27" t="s">
        <v>5797</v>
      </c>
      <c r="D2222" s="27" t="s">
        <v>3229</v>
      </c>
      <c r="E2222" t="s">
        <v>2637</v>
      </c>
      <c r="F2222" t="s">
        <v>104</v>
      </c>
      <c r="H2222" t="s">
        <v>5762</v>
      </c>
    </row>
    <row r="2223" spans="1:8">
      <c r="A2223" t="s">
        <v>5183</v>
      </c>
      <c r="B2223" s="24">
        <v>46175</v>
      </c>
      <c r="C2223" s="27" t="s">
        <v>5797</v>
      </c>
      <c r="D2223" s="27" t="s">
        <v>3229</v>
      </c>
      <c r="E2223" t="s">
        <v>2638</v>
      </c>
      <c r="F2223" t="s">
        <v>104</v>
      </c>
      <c r="H2223" t="s">
        <v>5762</v>
      </c>
    </row>
    <row r="2224" spans="1:8">
      <c r="A2224" t="s">
        <v>5184</v>
      </c>
      <c r="B2224" s="24">
        <v>46176</v>
      </c>
      <c r="C2224" s="27" t="s">
        <v>5797</v>
      </c>
      <c r="D2224" s="27" t="s">
        <v>3229</v>
      </c>
      <c r="E2224" t="s">
        <v>2639</v>
      </c>
      <c r="F2224" t="s">
        <v>104</v>
      </c>
      <c r="H2224" t="s">
        <v>5762</v>
      </c>
    </row>
    <row r="2225" spans="1:8">
      <c r="A2225" t="s">
        <v>5185</v>
      </c>
      <c r="B2225" s="24">
        <v>46177</v>
      </c>
      <c r="C2225" s="27" t="s">
        <v>5797</v>
      </c>
      <c r="D2225" s="27" t="s">
        <v>3229</v>
      </c>
      <c r="E2225" t="s">
        <v>2640</v>
      </c>
      <c r="F2225" t="s">
        <v>104</v>
      </c>
      <c r="G2225" t="s">
        <v>105</v>
      </c>
      <c r="H2225">
        <v>0</v>
      </c>
    </row>
    <row r="2226" spans="1:8">
      <c r="A2226" t="s">
        <v>5186</v>
      </c>
      <c r="B2226" s="24">
        <v>46178</v>
      </c>
      <c r="C2226" s="27" t="s">
        <v>5797</v>
      </c>
      <c r="D2226" s="27" t="s">
        <v>3229</v>
      </c>
      <c r="E2226" t="s">
        <v>2641</v>
      </c>
      <c r="F2226" t="s">
        <v>104</v>
      </c>
      <c r="G2226" t="s">
        <v>105</v>
      </c>
      <c r="H2226">
        <v>0</v>
      </c>
    </row>
    <row r="2227" spans="1:8">
      <c r="A2227" t="s">
        <v>5187</v>
      </c>
      <c r="B2227" s="24">
        <v>46181</v>
      </c>
      <c r="C2227" s="27" t="s">
        <v>5797</v>
      </c>
      <c r="D2227" s="27" t="s">
        <v>3229</v>
      </c>
      <c r="E2227" t="s">
        <v>2642</v>
      </c>
      <c r="F2227" t="s">
        <v>104</v>
      </c>
      <c r="G2227" t="s">
        <v>105</v>
      </c>
      <c r="H2227">
        <v>0</v>
      </c>
    </row>
    <row r="2228" spans="1:8">
      <c r="A2228" t="s">
        <v>5188</v>
      </c>
      <c r="B2228" s="24">
        <v>46182</v>
      </c>
      <c r="C2228" s="27" t="s">
        <v>5797</v>
      </c>
      <c r="D2228" s="27" t="s">
        <v>3229</v>
      </c>
      <c r="E2228" t="s">
        <v>2643</v>
      </c>
      <c r="F2228" t="s">
        <v>104</v>
      </c>
      <c r="G2228" t="s">
        <v>105</v>
      </c>
      <c r="H2228">
        <v>0</v>
      </c>
    </row>
    <row r="2229" spans="1:8">
      <c r="A2229" t="s">
        <v>5189</v>
      </c>
      <c r="B2229" s="24">
        <v>46183</v>
      </c>
      <c r="C2229" s="27" t="s">
        <v>5797</v>
      </c>
      <c r="D2229" s="27" t="s">
        <v>3229</v>
      </c>
      <c r="E2229" t="s">
        <v>2644</v>
      </c>
      <c r="F2229" t="s">
        <v>104</v>
      </c>
      <c r="G2229" t="s">
        <v>105</v>
      </c>
      <c r="H2229">
        <v>0</v>
      </c>
    </row>
    <row r="2230" spans="1:8">
      <c r="A2230" t="s">
        <v>5190</v>
      </c>
      <c r="B2230" s="24">
        <v>46184</v>
      </c>
      <c r="C2230" s="27" t="s">
        <v>5797</v>
      </c>
      <c r="D2230" s="27" t="s">
        <v>3229</v>
      </c>
      <c r="E2230" t="s">
        <v>2645</v>
      </c>
      <c r="F2230" t="s">
        <v>104</v>
      </c>
      <c r="G2230" t="s">
        <v>105</v>
      </c>
      <c r="H2230">
        <v>0</v>
      </c>
    </row>
    <row r="2231" spans="1:8">
      <c r="A2231" t="s">
        <v>5191</v>
      </c>
      <c r="B2231" s="24">
        <v>46185</v>
      </c>
      <c r="C2231" s="27" t="s">
        <v>5797</v>
      </c>
      <c r="D2231" s="27" t="s">
        <v>3229</v>
      </c>
      <c r="E2231" t="s">
        <v>2646</v>
      </c>
      <c r="F2231" t="s">
        <v>104</v>
      </c>
      <c r="G2231" t="s">
        <v>105</v>
      </c>
      <c r="H2231">
        <v>0</v>
      </c>
    </row>
    <row r="2232" spans="1:8">
      <c r="A2232" t="s">
        <v>5192</v>
      </c>
      <c r="B2232" s="24">
        <v>46174</v>
      </c>
      <c r="C2232" s="27" t="s">
        <v>5797</v>
      </c>
      <c r="D2232" s="27" t="s">
        <v>3229</v>
      </c>
      <c r="E2232" t="s">
        <v>2647</v>
      </c>
      <c r="F2232" t="s">
        <v>104</v>
      </c>
      <c r="G2232" t="s">
        <v>105</v>
      </c>
      <c r="H2232">
        <v>0</v>
      </c>
    </row>
    <row r="2233" spans="1:8">
      <c r="A2233" t="s">
        <v>5193</v>
      </c>
      <c r="B2233" s="24">
        <v>46175</v>
      </c>
      <c r="C2233" s="27" t="s">
        <v>5797</v>
      </c>
      <c r="D2233" s="27" t="s">
        <v>3229</v>
      </c>
      <c r="E2233" t="s">
        <v>2648</v>
      </c>
      <c r="F2233" t="s">
        <v>104</v>
      </c>
      <c r="G2233" t="s">
        <v>105</v>
      </c>
      <c r="H2233">
        <v>0</v>
      </c>
    </row>
    <row r="2234" spans="1:8">
      <c r="A2234" t="s">
        <v>5194</v>
      </c>
      <c r="B2234" s="24">
        <v>46176</v>
      </c>
      <c r="C2234" s="27" t="s">
        <v>5797</v>
      </c>
      <c r="D2234" s="27" t="s">
        <v>3229</v>
      </c>
      <c r="E2234" t="s">
        <v>2649</v>
      </c>
      <c r="F2234" t="s">
        <v>104</v>
      </c>
      <c r="G2234" t="s">
        <v>105</v>
      </c>
      <c r="H2234">
        <v>0</v>
      </c>
    </row>
    <row r="2235" spans="1:8">
      <c r="A2235" t="s">
        <v>5195</v>
      </c>
      <c r="B2235" s="24">
        <v>46177</v>
      </c>
      <c r="C2235" s="27" t="s">
        <v>5797</v>
      </c>
      <c r="D2235" s="27" t="s">
        <v>3229</v>
      </c>
      <c r="E2235" t="s">
        <v>2650</v>
      </c>
      <c r="F2235" t="s">
        <v>104</v>
      </c>
      <c r="G2235" t="s">
        <v>105</v>
      </c>
      <c r="H2235">
        <v>0</v>
      </c>
    </row>
    <row r="2236" spans="1:8">
      <c r="A2236" t="s">
        <v>5196</v>
      </c>
      <c r="B2236" s="24">
        <v>46178</v>
      </c>
      <c r="C2236" s="27" t="s">
        <v>5797</v>
      </c>
      <c r="D2236" s="27" t="s">
        <v>3229</v>
      </c>
      <c r="E2236" t="s">
        <v>2651</v>
      </c>
      <c r="F2236" t="s">
        <v>104</v>
      </c>
      <c r="G2236" t="s">
        <v>105</v>
      </c>
      <c r="H2236">
        <v>0</v>
      </c>
    </row>
    <row r="2237" spans="1:8">
      <c r="A2237" t="s">
        <v>5197</v>
      </c>
      <c r="B2237" s="24">
        <v>46181</v>
      </c>
      <c r="C2237" s="27" t="s">
        <v>5797</v>
      </c>
      <c r="D2237" s="27" t="s">
        <v>3229</v>
      </c>
      <c r="E2237" t="s">
        <v>2652</v>
      </c>
      <c r="F2237" t="s">
        <v>104</v>
      </c>
      <c r="G2237" t="s">
        <v>105</v>
      </c>
      <c r="H2237">
        <v>0</v>
      </c>
    </row>
    <row r="2238" spans="1:8">
      <c r="A2238" t="s">
        <v>5198</v>
      </c>
      <c r="B2238" s="24">
        <v>46182</v>
      </c>
      <c r="C2238" s="27" t="s">
        <v>5797</v>
      </c>
      <c r="D2238" s="27" t="s">
        <v>3229</v>
      </c>
      <c r="E2238" t="s">
        <v>2653</v>
      </c>
      <c r="F2238" t="s">
        <v>104</v>
      </c>
      <c r="G2238" t="s">
        <v>105</v>
      </c>
      <c r="H2238">
        <v>0</v>
      </c>
    </row>
    <row r="2239" spans="1:8">
      <c r="A2239" t="s">
        <v>5199</v>
      </c>
      <c r="B2239" s="24">
        <v>46183</v>
      </c>
      <c r="C2239" s="27" t="s">
        <v>5797</v>
      </c>
      <c r="D2239" s="27" t="s">
        <v>3229</v>
      </c>
      <c r="E2239" t="s">
        <v>2654</v>
      </c>
      <c r="F2239" t="s">
        <v>104</v>
      </c>
      <c r="G2239" t="s">
        <v>105</v>
      </c>
      <c r="H2239">
        <v>0</v>
      </c>
    </row>
    <row r="2240" spans="1:8">
      <c r="A2240" t="s">
        <v>5200</v>
      </c>
      <c r="B2240" s="24">
        <v>46184</v>
      </c>
      <c r="C2240" s="27" t="s">
        <v>5797</v>
      </c>
      <c r="D2240" s="27" t="s">
        <v>3229</v>
      </c>
      <c r="E2240" t="s">
        <v>2655</v>
      </c>
      <c r="F2240" t="s">
        <v>104</v>
      </c>
      <c r="G2240" t="s">
        <v>105</v>
      </c>
      <c r="H2240">
        <v>0</v>
      </c>
    </row>
    <row r="2241" spans="1:8">
      <c r="A2241" t="s">
        <v>5201</v>
      </c>
      <c r="B2241" s="24">
        <v>46185</v>
      </c>
      <c r="C2241" s="27" t="s">
        <v>5797</v>
      </c>
      <c r="D2241" s="27" t="s">
        <v>3229</v>
      </c>
      <c r="E2241" t="s">
        <v>2656</v>
      </c>
      <c r="F2241" t="s">
        <v>104</v>
      </c>
      <c r="G2241" t="s">
        <v>105</v>
      </c>
      <c r="H2241">
        <v>0</v>
      </c>
    </row>
    <row r="2242" spans="1:8">
      <c r="A2242" t="s">
        <v>5202</v>
      </c>
      <c r="B2242" s="24">
        <v>46174</v>
      </c>
      <c r="C2242" s="27" t="s">
        <v>5797</v>
      </c>
      <c r="D2242" s="27" t="s">
        <v>3229</v>
      </c>
      <c r="E2242" t="s">
        <v>2657</v>
      </c>
      <c r="F2242" t="s">
        <v>104</v>
      </c>
      <c r="G2242" t="s">
        <v>105</v>
      </c>
      <c r="H2242">
        <v>0</v>
      </c>
    </row>
    <row r="2243" spans="1:8">
      <c r="A2243" t="s">
        <v>5203</v>
      </c>
      <c r="B2243" s="24">
        <v>46175</v>
      </c>
      <c r="C2243" s="27" t="s">
        <v>5797</v>
      </c>
      <c r="D2243" s="27" t="s">
        <v>3229</v>
      </c>
      <c r="E2243" t="s">
        <v>2658</v>
      </c>
      <c r="F2243" t="s">
        <v>104</v>
      </c>
      <c r="G2243" t="s">
        <v>105</v>
      </c>
      <c r="H2243">
        <v>0</v>
      </c>
    </row>
    <row r="2244" spans="1:8">
      <c r="A2244" t="s">
        <v>5204</v>
      </c>
      <c r="B2244" s="24">
        <v>46176</v>
      </c>
      <c r="C2244" s="27" t="s">
        <v>5797</v>
      </c>
      <c r="D2244" s="27" t="s">
        <v>3229</v>
      </c>
      <c r="E2244" t="s">
        <v>2659</v>
      </c>
      <c r="F2244" t="s">
        <v>104</v>
      </c>
      <c r="G2244" t="s">
        <v>105</v>
      </c>
      <c r="H2244">
        <v>0</v>
      </c>
    </row>
    <row r="2245" spans="1:8">
      <c r="A2245" t="s">
        <v>5205</v>
      </c>
      <c r="B2245" s="24">
        <v>46177</v>
      </c>
      <c r="C2245" s="27" t="s">
        <v>5797</v>
      </c>
      <c r="D2245" s="27" t="s">
        <v>3229</v>
      </c>
      <c r="E2245" t="s">
        <v>2660</v>
      </c>
      <c r="F2245" t="s">
        <v>104</v>
      </c>
      <c r="G2245" t="s">
        <v>105</v>
      </c>
      <c r="H2245">
        <v>0</v>
      </c>
    </row>
    <row r="2246" spans="1:8">
      <c r="A2246" t="s">
        <v>5206</v>
      </c>
      <c r="B2246" s="24">
        <v>46178</v>
      </c>
      <c r="C2246" s="27" t="s">
        <v>5797</v>
      </c>
      <c r="D2246" s="27" t="s">
        <v>3229</v>
      </c>
      <c r="E2246" t="s">
        <v>2661</v>
      </c>
      <c r="F2246" t="s">
        <v>104</v>
      </c>
      <c r="G2246" t="s">
        <v>105</v>
      </c>
      <c r="H2246">
        <v>0</v>
      </c>
    </row>
    <row r="2247" spans="1:8">
      <c r="A2247" t="s">
        <v>5207</v>
      </c>
      <c r="B2247" s="24">
        <v>46181</v>
      </c>
      <c r="C2247" s="27" t="s">
        <v>5797</v>
      </c>
      <c r="D2247" s="27" t="s">
        <v>3229</v>
      </c>
      <c r="E2247" t="s">
        <v>2662</v>
      </c>
      <c r="F2247" t="s">
        <v>104</v>
      </c>
      <c r="G2247" t="s">
        <v>105</v>
      </c>
      <c r="H2247">
        <v>0</v>
      </c>
    </row>
    <row r="2248" spans="1:8">
      <c r="A2248" t="s">
        <v>5208</v>
      </c>
      <c r="B2248" s="24">
        <v>46182</v>
      </c>
      <c r="C2248" s="27" t="s">
        <v>5797</v>
      </c>
      <c r="D2248" s="27" t="s">
        <v>3229</v>
      </c>
      <c r="E2248" t="s">
        <v>2663</v>
      </c>
      <c r="F2248" t="s">
        <v>104</v>
      </c>
      <c r="G2248" t="s">
        <v>105</v>
      </c>
      <c r="H2248">
        <v>0</v>
      </c>
    </row>
    <row r="2249" spans="1:8">
      <c r="A2249" t="s">
        <v>5209</v>
      </c>
      <c r="B2249" s="24">
        <v>46183</v>
      </c>
      <c r="C2249" s="27" t="s">
        <v>5797</v>
      </c>
      <c r="D2249" s="27" t="s">
        <v>3229</v>
      </c>
      <c r="E2249" t="s">
        <v>2664</v>
      </c>
      <c r="F2249" t="s">
        <v>104</v>
      </c>
      <c r="G2249" t="s">
        <v>105</v>
      </c>
      <c r="H2249">
        <v>0</v>
      </c>
    </row>
    <row r="2250" spans="1:8">
      <c r="A2250" t="s">
        <v>5210</v>
      </c>
      <c r="B2250" s="24">
        <v>46184</v>
      </c>
      <c r="C2250" s="27" t="s">
        <v>5797</v>
      </c>
      <c r="D2250" s="27" t="s">
        <v>3229</v>
      </c>
      <c r="E2250" t="s">
        <v>2665</v>
      </c>
      <c r="F2250" t="s">
        <v>104</v>
      </c>
      <c r="G2250" t="s">
        <v>105</v>
      </c>
      <c r="H2250">
        <v>0</v>
      </c>
    </row>
    <row r="2251" spans="1:8">
      <c r="A2251" t="s">
        <v>5211</v>
      </c>
      <c r="B2251" s="24">
        <v>46185</v>
      </c>
      <c r="C2251" s="27" t="s">
        <v>5797</v>
      </c>
      <c r="D2251" s="27" t="s">
        <v>3229</v>
      </c>
      <c r="E2251" t="s">
        <v>2666</v>
      </c>
      <c r="F2251" t="s">
        <v>104</v>
      </c>
      <c r="G2251" t="s">
        <v>105</v>
      </c>
      <c r="H2251">
        <v>0</v>
      </c>
    </row>
    <row r="2252" spans="1:8">
      <c r="A2252" t="s">
        <v>5212</v>
      </c>
      <c r="B2252" s="24">
        <v>46174</v>
      </c>
      <c r="C2252" s="27" t="s">
        <v>5797</v>
      </c>
      <c r="D2252" s="27" t="s">
        <v>3229</v>
      </c>
      <c r="E2252" t="s">
        <v>2667</v>
      </c>
      <c r="F2252" t="s">
        <v>104</v>
      </c>
      <c r="G2252" t="s">
        <v>105</v>
      </c>
      <c r="H2252">
        <v>0</v>
      </c>
    </row>
    <row r="2253" spans="1:8">
      <c r="A2253" t="s">
        <v>5213</v>
      </c>
      <c r="B2253" s="24">
        <v>46175</v>
      </c>
      <c r="C2253" s="27" t="s">
        <v>5797</v>
      </c>
      <c r="D2253" s="27" t="s">
        <v>3229</v>
      </c>
      <c r="E2253" t="s">
        <v>2668</v>
      </c>
      <c r="F2253" t="s">
        <v>104</v>
      </c>
      <c r="G2253" t="s">
        <v>105</v>
      </c>
      <c r="H2253">
        <v>0</v>
      </c>
    </row>
    <row r="2254" spans="1:8">
      <c r="A2254" t="s">
        <v>5214</v>
      </c>
      <c r="B2254" s="24">
        <v>46176</v>
      </c>
      <c r="C2254" s="27" t="s">
        <v>5797</v>
      </c>
      <c r="D2254" s="27" t="s">
        <v>3229</v>
      </c>
      <c r="E2254" t="s">
        <v>2669</v>
      </c>
      <c r="F2254" t="s">
        <v>104</v>
      </c>
      <c r="G2254" t="s">
        <v>105</v>
      </c>
      <c r="H2254">
        <v>0</v>
      </c>
    </row>
    <row r="2255" spans="1:8">
      <c r="A2255" t="s">
        <v>5215</v>
      </c>
      <c r="B2255" s="24">
        <v>46177</v>
      </c>
      <c r="C2255" s="27" t="s">
        <v>5797</v>
      </c>
      <c r="D2255" s="27" t="s">
        <v>3229</v>
      </c>
      <c r="E2255" t="s">
        <v>2670</v>
      </c>
      <c r="F2255" t="s">
        <v>104</v>
      </c>
      <c r="G2255" t="s">
        <v>105</v>
      </c>
      <c r="H2255">
        <v>0</v>
      </c>
    </row>
    <row r="2256" spans="1:8">
      <c r="A2256" t="s">
        <v>5216</v>
      </c>
      <c r="B2256" s="24">
        <v>46178</v>
      </c>
      <c r="C2256" s="27" t="s">
        <v>5797</v>
      </c>
      <c r="D2256" s="27" t="s">
        <v>3229</v>
      </c>
      <c r="E2256" t="s">
        <v>2671</v>
      </c>
      <c r="F2256" t="s">
        <v>104</v>
      </c>
      <c r="G2256" t="s">
        <v>105</v>
      </c>
      <c r="H2256">
        <v>0</v>
      </c>
    </row>
    <row r="2257" spans="1:8">
      <c r="A2257" t="s">
        <v>5217</v>
      </c>
      <c r="B2257" s="24">
        <v>46181</v>
      </c>
      <c r="C2257" s="27" t="s">
        <v>5797</v>
      </c>
      <c r="D2257" s="27" t="s">
        <v>3229</v>
      </c>
      <c r="E2257" t="s">
        <v>2672</v>
      </c>
      <c r="F2257" t="s">
        <v>104</v>
      </c>
      <c r="G2257" t="s">
        <v>105</v>
      </c>
      <c r="H2257">
        <v>0</v>
      </c>
    </row>
    <row r="2258" spans="1:8">
      <c r="A2258" t="s">
        <v>5218</v>
      </c>
      <c r="B2258" s="24">
        <v>46182</v>
      </c>
      <c r="C2258" s="27" t="s">
        <v>5797</v>
      </c>
      <c r="D2258" s="27" t="s">
        <v>3229</v>
      </c>
      <c r="E2258" t="s">
        <v>2673</v>
      </c>
      <c r="F2258" t="s">
        <v>104</v>
      </c>
      <c r="G2258" t="s">
        <v>105</v>
      </c>
      <c r="H2258">
        <v>0</v>
      </c>
    </row>
    <row r="2259" spans="1:8">
      <c r="A2259" t="s">
        <v>5219</v>
      </c>
      <c r="B2259" s="24">
        <v>46183</v>
      </c>
      <c r="C2259" s="27" t="s">
        <v>5797</v>
      </c>
      <c r="D2259" s="27" t="s">
        <v>3229</v>
      </c>
      <c r="E2259" t="s">
        <v>2674</v>
      </c>
      <c r="F2259" t="s">
        <v>104</v>
      </c>
      <c r="G2259" t="s">
        <v>105</v>
      </c>
      <c r="H2259">
        <v>0</v>
      </c>
    </row>
    <row r="2260" spans="1:8">
      <c r="A2260" t="s">
        <v>5220</v>
      </c>
      <c r="B2260" s="24">
        <v>46184</v>
      </c>
      <c r="C2260" s="27" t="s">
        <v>5797</v>
      </c>
      <c r="D2260" s="27" t="s">
        <v>3229</v>
      </c>
      <c r="E2260" t="s">
        <v>2675</v>
      </c>
      <c r="F2260" t="s">
        <v>104</v>
      </c>
      <c r="G2260" t="s">
        <v>105</v>
      </c>
      <c r="H2260">
        <v>0</v>
      </c>
    </row>
    <row r="2261" spans="1:8">
      <c r="A2261" t="s">
        <v>5221</v>
      </c>
      <c r="B2261" s="24">
        <v>46185</v>
      </c>
      <c r="C2261" s="27" t="s">
        <v>5797</v>
      </c>
      <c r="D2261" s="27" t="s">
        <v>3229</v>
      </c>
      <c r="E2261" t="s">
        <v>2676</v>
      </c>
      <c r="F2261" t="s">
        <v>104</v>
      </c>
      <c r="G2261" t="s">
        <v>105</v>
      </c>
      <c r="H2261">
        <v>0</v>
      </c>
    </row>
    <row r="2262" spans="1:8">
      <c r="A2262" t="s">
        <v>5222</v>
      </c>
      <c r="B2262" s="24">
        <v>46174</v>
      </c>
      <c r="C2262" s="27" t="s">
        <v>5797</v>
      </c>
      <c r="D2262" s="27" t="s">
        <v>3229</v>
      </c>
      <c r="E2262" t="s">
        <v>2677</v>
      </c>
      <c r="F2262" t="s">
        <v>104</v>
      </c>
      <c r="G2262" t="s">
        <v>105</v>
      </c>
      <c r="H2262">
        <v>0</v>
      </c>
    </row>
    <row r="2263" spans="1:8">
      <c r="A2263" t="s">
        <v>5223</v>
      </c>
      <c r="B2263" s="24">
        <v>46175</v>
      </c>
      <c r="C2263" s="27" t="s">
        <v>5797</v>
      </c>
      <c r="D2263" s="27" t="s">
        <v>3229</v>
      </c>
      <c r="E2263" t="s">
        <v>2678</v>
      </c>
      <c r="F2263" t="s">
        <v>104</v>
      </c>
      <c r="G2263" t="s">
        <v>105</v>
      </c>
      <c r="H2263">
        <v>0</v>
      </c>
    </row>
    <row r="2264" spans="1:8">
      <c r="A2264" t="s">
        <v>5224</v>
      </c>
      <c r="B2264" s="24">
        <v>46176</v>
      </c>
      <c r="C2264" s="27" t="s">
        <v>5797</v>
      </c>
      <c r="D2264" s="27" t="s">
        <v>3229</v>
      </c>
      <c r="E2264" t="s">
        <v>2679</v>
      </c>
      <c r="F2264" t="s">
        <v>104</v>
      </c>
      <c r="G2264" t="s">
        <v>105</v>
      </c>
      <c r="H2264">
        <v>0</v>
      </c>
    </row>
    <row r="2265" spans="1:8">
      <c r="A2265" t="s">
        <v>5225</v>
      </c>
      <c r="B2265" s="24">
        <v>46177</v>
      </c>
      <c r="C2265" s="27" t="s">
        <v>5797</v>
      </c>
      <c r="D2265" s="27" t="s">
        <v>3229</v>
      </c>
      <c r="E2265" t="s">
        <v>2680</v>
      </c>
      <c r="F2265" t="s">
        <v>104</v>
      </c>
      <c r="G2265" t="s">
        <v>105</v>
      </c>
      <c r="H2265">
        <v>0</v>
      </c>
    </row>
    <row r="2266" spans="1:8">
      <c r="A2266" t="s">
        <v>5226</v>
      </c>
      <c r="B2266" s="24">
        <v>46178</v>
      </c>
      <c r="C2266" s="27" t="s">
        <v>5797</v>
      </c>
      <c r="D2266" s="27" t="s">
        <v>3229</v>
      </c>
      <c r="E2266" t="s">
        <v>2681</v>
      </c>
      <c r="F2266" t="s">
        <v>104</v>
      </c>
      <c r="G2266" t="s">
        <v>105</v>
      </c>
      <c r="H2266">
        <v>0</v>
      </c>
    </row>
    <row r="2267" spans="1:8">
      <c r="A2267" t="s">
        <v>5227</v>
      </c>
      <c r="B2267" s="24">
        <v>46181</v>
      </c>
      <c r="C2267" s="27" t="s">
        <v>5797</v>
      </c>
      <c r="D2267" s="27" t="s">
        <v>3229</v>
      </c>
      <c r="E2267" t="s">
        <v>2682</v>
      </c>
      <c r="F2267" t="s">
        <v>104</v>
      </c>
      <c r="G2267" t="s">
        <v>105</v>
      </c>
      <c r="H2267">
        <v>0</v>
      </c>
    </row>
    <row r="2268" spans="1:8">
      <c r="A2268" t="s">
        <v>5228</v>
      </c>
      <c r="B2268" s="24">
        <v>46182</v>
      </c>
      <c r="C2268" s="27" t="s">
        <v>5797</v>
      </c>
      <c r="D2268" s="27" t="s">
        <v>3229</v>
      </c>
      <c r="E2268" t="s">
        <v>2683</v>
      </c>
      <c r="F2268" t="s">
        <v>104</v>
      </c>
      <c r="G2268" t="s">
        <v>105</v>
      </c>
      <c r="H2268">
        <v>0</v>
      </c>
    </row>
    <row r="2269" spans="1:8">
      <c r="A2269" t="s">
        <v>5229</v>
      </c>
      <c r="B2269" s="24">
        <v>46183</v>
      </c>
      <c r="C2269" s="27" t="s">
        <v>5797</v>
      </c>
      <c r="D2269" s="27" t="s">
        <v>3229</v>
      </c>
      <c r="E2269" t="s">
        <v>2684</v>
      </c>
      <c r="F2269" t="s">
        <v>104</v>
      </c>
      <c r="G2269" t="s">
        <v>105</v>
      </c>
      <c r="H2269">
        <v>0</v>
      </c>
    </row>
    <row r="2270" spans="1:8">
      <c r="A2270" t="s">
        <v>5230</v>
      </c>
      <c r="B2270" s="24">
        <v>46184</v>
      </c>
      <c r="C2270" s="27" t="s">
        <v>5797</v>
      </c>
      <c r="D2270" s="27" t="s">
        <v>3229</v>
      </c>
      <c r="E2270" t="s">
        <v>2685</v>
      </c>
      <c r="F2270" t="s">
        <v>104</v>
      </c>
      <c r="G2270" t="s">
        <v>105</v>
      </c>
      <c r="H2270">
        <v>0</v>
      </c>
    </row>
    <row r="2271" spans="1:8">
      <c r="A2271" t="s">
        <v>5231</v>
      </c>
      <c r="B2271" s="24">
        <v>46185</v>
      </c>
      <c r="C2271" s="27" t="s">
        <v>5797</v>
      </c>
      <c r="D2271" s="27" t="s">
        <v>3229</v>
      </c>
      <c r="E2271" t="s">
        <v>2686</v>
      </c>
      <c r="F2271" t="s">
        <v>104</v>
      </c>
      <c r="G2271" t="s">
        <v>105</v>
      </c>
      <c r="H2271">
        <v>0</v>
      </c>
    </row>
    <row r="2272" spans="1:8">
      <c r="A2272" t="s">
        <v>5232</v>
      </c>
      <c r="B2272" s="24">
        <v>46174</v>
      </c>
      <c r="C2272" s="27" t="s">
        <v>5797</v>
      </c>
      <c r="D2272" s="27" t="s">
        <v>3229</v>
      </c>
      <c r="E2272" t="s">
        <v>2687</v>
      </c>
      <c r="F2272" t="s">
        <v>104</v>
      </c>
      <c r="G2272" t="s">
        <v>105</v>
      </c>
      <c r="H2272">
        <v>0</v>
      </c>
    </row>
    <row r="2273" spans="1:8">
      <c r="A2273" t="s">
        <v>5233</v>
      </c>
      <c r="B2273" s="24">
        <v>46175</v>
      </c>
      <c r="C2273" s="27" t="s">
        <v>5797</v>
      </c>
      <c r="D2273" s="27" t="s">
        <v>3229</v>
      </c>
      <c r="E2273" t="s">
        <v>2688</v>
      </c>
      <c r="F2273" t="s">
        <v>104</v>
      </c>
      <c r="G2273" t="s">
        <v>105</v>
      </c>
      <c r="H2273">
        <v>0</v>
      </c>
    </row>
    <row r="2274" spans="1:8">
      <c r="A2274" t="s">
        <v>5234</v>
      </c>
      <c r="B2274" s="24">
        <v>46176</v>
      </c>
      <c r="C2274" s="27" t="s">
        <v>5797</v>
      </c>
      <c r="D2274" s="27" t="s">
        <v>3229</v>
      </c>
      <c r="E2274" t="s">
        <v>2689</v>
      </c>
      <c r="F2274" t="s">
        <v>104</v>
      </c>
      <c r="G2274" t="s">
        <v>105</v>
      </c>
      <c r="H2274">
        <v>0</v>
      </c>
    </row>
    <row r="2275" spans="1:8">
      <c r="A2275" t="s">
        <v>5235</v>
      </c>
      <c r="B2275" s="24">
        <v>46177</v>
      </c>
      <c r="C2275" s="27" t="s">
        <v>5797</v>
      </c>
      <c r="D2275" s="27" t="s">
        <v>3229</v>
      </c>
      <c r="E2275" t="s">
        <v>2690</v>
      </c>
      <c r="F2275" t="s">
        <v>104</v>
      </c>
      <c r="G2275" t="s">
        <v>105</v>
      </c>
      <c r="H2275">
        <v>0</v>
      </c>
    </row>
    <row r="2276" spans="1:8">
      <c r="A2276" t="s">
        <v>5236</v>
      </c>
      <c r="B2276" s="24">
        <v>46178</v>
      </c>
      <c r="C2276" s="27" t="s">
        <v>5797</v>
      </c>
      <c r="D2276" s="27" t="s">
        <v>3229</v>
      </c>
      <c r="E2276" t="s">
        <v>2691</v>
      </c>
      <c r="F2276" t="s">
        <v>104</v>
      </c>
      <c r="G2276" t="s">
        <v>105</v>
      </c>
      <c r="H2276">
        <v>0</v>
      </c>
    </row>
    <row r="2277" spans="1:8">
      <c r="A2277" t="s">
        <v>5237</v>
      </c>
      <c r="B2277" s="24">
        <v>46181</v>
      </c>
      <c r="C2277" s="27" t="s">
        <v>5797</v>
      </c>
      <c r="D2277" s="27" t="s">
        <v>3229</v>
      </c>
      <c r="E2277" t="s">
        <v>2692</v>
      </c>
      <c r="F2277" t="s">
        <v>104</v>
      </c>
      <c r="G2277" t="s">
        <v>105</v>
      </c>
      <c r="H2277">
        <v>0</v>
      </c>
    </row>
    <row r="2278" spans="1:8">
      <c r="A2278" t="s">
        <v>5238</v>
      </c>
      <c r="B2278" s="24">
        <v>46182</v>
      </c>
      <c r="C2278" s="27" t="s">
        <v>5797</v>
      </c>
      <c r="D2278" s="27" t="s">
        <v>3229</v>
      </c>
      <c r="E2278" t="s">
        <v>2693</v>
      </c>
      <c r="F2278" t="s">
        <v>104</v>
      </c>
      <c r="G2278" t="s">
        <v>105</v>
      </c>
      <c r="H2278">
        <v>0</v>
      </c>
    </row>
    <row r="2279" spans="1:8">
      <c r="A2279" t="s">
        <v>5239</v>
      </c>
      <c r="B2279" s="24">
        <v>46183</v>
      </c>
      <c r="C2279" s="27" t="s">
        <v>5797</v>
      </c>
      <c r="D2279" s="27" t="s">
        <v>3229</v>
      </c>
      <c r="E2279" t="s">
        <v>2694</v>
      </c>
      <c r="F2279" t="s">
        <v>104</v>
      </c>
      <c r="G2279" t="s">
        <v>105</v>
      </c>
      <c r="H2279">
        <v>0</v>
      </c>
    </row>
    <row r="2280" spans="1:8">
      <c r="A2280" t="s">
        <v>5240</v>
      </c>
      <c r="B2280" s="24">
        <v>46184</v>
      </c>
      <c r="C2280" s="27" t="s">
        <v>5797</v>
      </c>
      <c r="D2280" s="27" t="s">
        <v>3229</v>
      </c>
      <c r="E2280" t="s">
        <v>2695</v>
      </c>
      <c r="F2280" t="s">
        <v>104</v>
      </c>
      <c r="G2280" t="s">
        <v>105</v>
      </c>
      <c r="H2280">
        <v>0</v>
      </c>
    </row>
    <row r="2281" spans="1:8">
      <c r="A2281" t="s">
        <v>5241</v>
      </c>
      <c r="B2281" s="24">
        <v>46185</v>
      </c>
      <c r="C2281" s="27" t="s">
        <v>5797</v>
      </c>
      <c r="D2281" s="27" t="s">
        <v>3229</v>
      </c>
      <c r="E2281" t="s">
        <v>2696</v>
      </c>
      <c r="F2281" t="s">
        <v>104</v>
      </c>
      <c r="G2281" t="s">
        <v>105</v>
      </c>
      <c r="H2281">
        <v>0</v>
      </c>
    </row>
    <row r="2282" spans="1:8">
      <c r="A2282" t="s">
        <v>5242</v>
      </c>
      <c r="B2282" s="24">
        <v>46174</v>
      </c>
      <c r="C2282" s="27" t="s">
        <v>5797</v>
      </c>
      <c r="D2282" s="27" t="s">
        <v>3229</v>
      </c>
      <c r="E2282" t="s">
        <v>2697</v>
      </c>
      <c r="F2282" t="s">
        <v>104</v>
      </c>
      <c r="G2282" t="s">
        <v>105</v>
      </c>
      <c r="H2282">
        <v>0</v>
      </c>
    </row>
    <row r="2283" spans="1:8">
      <c r="A2283" t="s">
        <v>5243</v>
      </c>
      <c r="B2283" s="24">
        <v>46175</v>
      </c>
      <c r="C2283" s="27" t="s">
        <v>5797</v>
      </c>
      <c r="D2283" s="27" t="s">
        <v>3229</v>
      </c>
      <c r="E2283" t="s">
        <v>2698</v>
      </c>
      <c r="F2283" t="s">
        <v>104</v>
      </c>
      <c r="G2283" t="s">
        <v>105</v>
      </c>
      <c r="H2283">
        <v>0</v>
      </c>
    </row>
    <row r="2284" spans="1:8">
      <c r="A2284" t="s">
        <v>5244</v>
      </c>
      <c r="B2284" s="24">
        <v>46176</v>
      </c>
      <c r="C2284" s="27" t="s">
        <v>5797</v>
      </c>
      <c r="D2284" s="27" t="s">
        <v>3229</v>
      </c>
      <c r="E2284" t="s">
        <v>2699</v>
      </c>
      <c r="F2284" t="s">
        <v>104</v>
      </c>
      <c r="G2284" t="s">
        <v>105</v>
      </c>
      <c r="H2284">
        <v>0</v>
      </c>
    </row>
    <row r="2285" spans="1:8">
      <c r="A2285" t="s">
        <v>5245</v>
      </c>
      <c r="B2285" s="24">
        <v>46177</v>
      </c>
      <c r="C2285" s="27" t="s">
        <v>5797</v>
      </c>
      <c r="D2285" s="27" t="s">
        <v>3229</v>
      </c>
      <c r="E2285" t="s">
        <v>2700</v>
      </c>
      <c r="F2285" t="s">
        <v>104</v>
      </c>
      <c r="G2285" t="s">
        <v>105</v>
      </c>
      <c r="H2285">
        <v>0</v>
      </c>
    </row>
    <row r="2286" spans="1:8">
      <c r="A2286" t="s">
        <v>5246</v>
      </c>
      <c r="B2286" s="24">
        <v>46178</v>
      </c>
      <c r="C2286" s="27" t="s">
        <v>5797</v>
      </c>
      <c r="D2286" s="27" t="s">
        <v>3229</v>
      </c>
      <c r="E2286" t="s">
        <v>2701</v>
      </c>
      <c r="F2286" t="s">
        <v>104</v>
      </c>
      <c r="G2286" t="s">
        <v>105</v>
      </c>
      <c r="H2286">
        <v>0</v>
      </c>
    </row>
    <row r="2287" spans="1:8">
      <c r="A2287" t="s">
        <v>5247</v>
      </c>
      <c r="B2287" s="24">
        <v>46181</v>
      </c>
      <c r="C2287" s="27" t="s">
        <v>5797</v>
      </c>
      <c r="D2287" s="27" t="s">
        <v>3229</v>
      </c>
      <c r="E2287" t="s">
        <v>2702</v>
      </c>
      <c r="F2287" t="s">
        <v>104</v>
      </c>
      <c r="G2287" t="s">
        <v>105</v>
      </c>
      <c r="H2287">
        <v>0</v>
      </c>
    </row>
    <row r="2288" spans="1:8">
      <c r="A2288" t="s">
        <v>5248</v>
      </c>
      <c r="B2288" s="24">
        <v>46182</v>
      </c>
      <c r="C2288" s="27" t="s">
        <v>5797</v>
      </c>
      <c r="D2288" s="27" t="s">
        <v>3229</v>
      </c>
      <c r="E2288" t="s">
        <v>2703</v>
      </c>
      <c r="F2288" t="s">
        <v>104</v>
      </c>
      <c r="G2288" t="s">
        <v>105</v>
      </c>
      <c r="H2288">
        <v>0</v>
      </c>
    </row>
    <row r="2289" spans="1:8">
      <c r="A2289" t="s">
        <v>5249</v>
      </c>
      <c r="B2289" s="24">
        <v>46183</v>
      </c>
      <c r="C2289" s="27" t="s">
        <v>5797</v>
      </c>
      <c r="D2289" s="27" t="s">
        <v>3229</v>
      </c>
      <c r="E2289" t="s">
        <v>2704</v>
      </c>
      <c r="F2289" t="s">
        <v>104</v>
      </c>
      <c r="G2289" t="s">
        <v>105</v>
      </c>
      <c r="H2289">
        <v>0</v>
      </c>
    </row>
    <row r="2290" spans="1:8">
      <c r="A2290" t="s">
        <v>5250</v>
      </c>
      <c r="B2290" s="24">
        <v>46184</v>
      </c>
      <c r="C2290" s="27" t="s">
        <v>5797</v>
      </c>
      <c r="D2290" s="27" t="s">
        <v>3229</v>
      </c>
      <c r="E2290" t="s">
        <v>2705</v>
      </c>
      <c r="F2290" t="s">
        <v>104</v>
      </c>
      <c r="G2290" t="s">
        <v>105</v>
      </c>
      <c r="H2290">
        <v>0</v>
      </c>
    </row>
    <row r="2291" spans="1:8">
      <c r="A2291" t="s">
        <v>5251</v>
      </c>
      <c r="B2291" s="24">
        <v>46185</v>
      </c>
      <c r="C2291" s="27" t="s">
        <v>5797</v>
      </c>
      <c r="D2291" s="27" t="s">
        <v>3229</v>
      </c>
      <c r="E2291" t="s">
        <v>2706</v>
      </c>
      <c r="F2291" t="s">
        <v>104</v>
      </c>
      <c r="G2291" t="s">
        <v>105</v>
      </c>
      <c r="H2291">
        <v>0</v>
      </c>
    </row>
    <row r="2292" spans="1:8">
      <c r="A2292" t="s">
        <v>5252</v>
      </c>
      <c r="B2292" s="24">
        <v>46174</v>
      </c>
      <c r="C2292" s="27" t="s">
        <v>5797</v>
      </c>
      <c r="D2292" s="27" t="s">
        <v>3229</v>
      </c>
      <c r="E2292" t="s">
        <v>2707</v>
      </c>
      <c r="F2292" t="s">
        <v>104</v>
      </c>
      <c r="G2292" t="s">
        <v>105</v>
      </c>
      <c r="H2292">
        <v>0</v>
      </c>
    </row>
    <row r="2293" spans="1:8">
      <c r="A2293" t="s">
        <v>5253</v>
      </c>
      <c r="B2293" s="24">
        <v>46175</v>
      </c>
      <c r="C2293" s="27" t="s">
        <v>5797</v>
      </c>
      <c r="D2293" s="27" t="s">
        <v>3229</v>
      </c>
      <c r="E2293" t="s">
        <v>2708</v>
      </c>
      <c r="F2293" t="s">
        <v>104</v>
      </c>
      <c r="G2293" t="s">
        <v>105</v>
      </c>
      <c r="H2293">
        <v>0</v>
      </c>
    </row>
    <row r="2294" spans="1:8">
      <c r="A2294" t="s">
        <v>5254</v>
      </c>
      <c r="B2294" s="24">
        <v>46176</v>
      </c>
      <c r="C2294" s="27" t="s">
        <v>5797</v>
      </c>
      <c r="D2294" s="27" t="s">
        <v>3229</v>
      </c>
      <c r="E2294" t="s">
        <v>2709</v>
      </c>
      <c r="F2294" t="s">
        <v>104</v>
      </c>
      <c r="G2294" t="s">
        <v>105</v>
      </c>
      <c r="H2294">
        <v>0</v>
      </c>
    </row>
    <row r="2295" spans="1:8">
      <c r="A2295" t="s">
        <v>5255</v>
      </c>
      <c r="B2295" s="24">
        <v>46177</v>
      </c>
      <c r="C2295" s="27" t="s">
        <v>5797</v>
      </c>
      <c r="D2295" s="27" t="s">
        <v>3229</v>
      </c>
      <c r="E2295" t="s">
        <v>2710</v>
      </c>
      <c r="F2295" t="s">
        <v>104</v>
      </c>
      <c r="G2295" t="s">
        <v>105</v>
      </c>
      <c r="H2295">
        <v>0</v>
      </c>
    </row>
    <row r="2296" spans="1:8">
      <c r="A2296" t="s">
        <v>5256</v>
      </c>
      <c r="B2296" s="24">
        <v>46178</v>
      </c>
      <c r="C2296" s="27" t="s">
        <v>5797</v>
      </c>
      <c r="D2296" s="27" t="s">
        <v>3229</v>
      </c>
      <c r="E2296" t="s">
        <v>2711</v>
      </c>
      <c r="F2296" t="s">
        <v>104</v>
      </c>
      <c r="G2296" t="s">
        <v>105</v>
      </c>
      <c r="H2296">
        <v>0</v>
      </c>
    </row>
    <row r="2297" spans="1:8">
      <c r="A2297" t="s">
        <v>5257</v>
      </c>
      <c r="B2297" s="24">
        <v>46181</v>
      </c>
      <c r="C2297" s="27" t="s">
        <v>5797</v>
      </c>
      <c r="D2297" s="27" t="s">
        <v>3229</v>
      </c>
      <c r="E2297" t="s">
        <v>2712</v>
      </c>
      <c r="F2297" t="s">
        <v>104</v>
      </c>
      <c r="G2297" t="s">
        <v>105</v>
      </c>
      <c r="H2297">
        <v>0</v>
      </c>
    </row>
    <row r="2298" spans="1:8">
      <c r="A2298" t="s">
        <v>5258</v>
      </c>
      <c r="B2298" s="24">
        <v>46182</v>
      </c>
      <c r="C2298" s="27" t="s">
        <v>5797</v>
      </c>
      <c r="D2298" s="27" t="s">
        <v>3229</v>
      </c>
      <c r="E2298" t="s">
        <v>2713</v>
      </c>
      <c r="F2298" t="s">
        <v>104</v>
      </c>
      <c r="G2298" t="s">
        <v>105</v>
      </c>
      <c r="H2298">
        <v>0</v>
      </c>
    </row>
    <row r="2299" spans="1:8">
      <c r="A2299" t="s">
        <v>5259</v>
      </c>
      <c r="B2299" s="24">
        <v>46183</v>
      </c>
      <c r="C2299" s="27" t="s">
        <v>5797</v>
      </c>
      <c r="D2299" s="27" t="s">
        <v>3229</v>
      </c>
      <c r="E2299" t="s">
        <v>2714</v>
      </c>
      <c r="F2299" t="s">
        <v>104</v>
      </c>
      <c r="G2299" t="s">
        <v>105</v>
      </c>
      <c r="H2299">
        <v>0</v>
      </c>
    </row>
    <row r="2300" spans="1:8">
      <c r="A2300" t="s">
        <v>5260</v>
      </c>
      <c r="B2300" s="24">
        <v>46184</v>
      </c>
      <c r="C2300" s="27" t="s">
        <v>5797</v>
      </c>
      <c r="D2300" s="27" t="s">
        <v>3229</v>
      </c>
      <c r="E2300" t="s">
        <v>2715</v>
      </c>
      <c r="F2300" t="s">
        <v>104</v>
      </c>
      <c r="G2300" t="s">
        <v>105</v>
      </c>
      <c r="H2300">
        <v>0</v>
      </c>
    </row>
    <row r="2301" spans="1:8">
      <c r="A2301" t="s">
        <v>5261</v>
      </c>
      <c r="B2301" s="24">
        <v>46185</v>
      </c>
      <c r="C2301" s="27" t="s">
        <v>5797</v>
      </c>
      <c r="D2301" s="27" t="s">
        <v>3229</v>
      </c>
      <c r="E2301" t="s">
        <v>2716</v>
      </c>
      <c r="F2301" t="s">
        <v>104</v>
      </c>
      <c r="G2301" t="s">
        <v>105</v>
      </c>
      <c r="H2301">
        <v>0</v>
      </c>
    </row>
    <row r="2302" spans="1:8">
      <c r="A2302" t="s">
        <v>5262</v>
      </c>
      <c r="B2302" s="24">
        <v>46174</v>
      </c>
      <c r="C2302" s="27" t="s">
        <v>5797</v>
      </c>
      <c r="D2302" s="27" t="s">
        <v>3229</v>
      </c>
      <c r="E2302" t="s">
        <v>2717</v>
      </c>
      <c r="F2302" t="s">
        <v>104</v>
      </c>
      <c r="G2302" t="s">
        <v>105</v>
      </c>
      <c r="H2302">
        <v>0</v>
      </c>
    </row>
    <row r="2303" spans="1:8">
      <c r="A2303" t="s">
        <v>5263</v>
      </c>
      <c r="B2303" s="24">
        <v>46175</v>
      </c>
      <c r="C2303" s="27" t="s">
        <v>5797</v>
      </c>
      <c r="D2303" s="27" t="s">
        <v>3229</v>
      </c>
      <c r="E2303" t="s">
        <v>2718</v>
      </c>
      <c r="F2303" t="s">
        <v>104</v>
      </c>
      <c r="G2303" t="s">
        <v>105</v>
      </c>
      <c r="H2303">
        <v>0</v>
      </c>
    </row>
    <row r="2304" spans="1:8">
      <c r="A2304" t="s">
        <v>5264</v>
      </c>
      <c r="B2304" s="24">
        <v>46176</v>
      </c>
      <c r="C2304" s="27" t="s">
        <v>5797</v>
      </c>
      <c r="D2304" s="27" t="s">
        <v>3229</v>
      </c>
      <c r="E2304" t="s">
        <v>2719</v>
      </c>
      <c r="F2304" t="s">
        <v>104</v>
      </c>
      <c r="G2304" t="s">
        <v>105</v>
      </c>
      <c r="H2304">
        <v>0</v>
      </c>
    </row>
    <row r="2305" spans="1:8">
      <c r="A2305" t="s">
        <v>5265</v>
      </c>
      <c r="B2305" s="24">
        <v>46177</v>
      </c>
      <c r="C2305" s="27" t="s">
        <v>5797</v>
      </c>
      <c r="D2305" s="27" t="s">
        <v>3229</v>
      </c>
      <c r="E2305" t="s">
        <v>2720</v>
      </c>
      <c r="F2305" t="s">
        <v>104</v>
      </c>
      <c r="G2305" t="s">
        <v>105</v>
      </c>
      <c r="H2305">
        <v>0</v>
      </c>
    </row>
    <row r="2306" spans="1:8">
      <c r="A2306" t="s">
        <v>5266</v>
      </c>
      <c r="B2306" s="24">
        <v>46178</v>
      </c>
      <c r="C2306" s="27" t="s">
        <v>5797</v>
      </c>
      <c r="D2306" s="27" t="s">
        <v>3229</v>
      </c>
      <c r="E2306" t="s">
        <v>2721</v>
      </c>
      <c r="F2306" t="s">
        <v>104</v>
      </c>
      <c r="G2306" t="s">
        <v>105</v>
      </c>
      <c r="H2306">
        <v>0</v>
      </c>
    </row>
    <row r="2307" spans="1:8">
      <c r="A2307" t="s">
        <v>5267</v>
      </c>
      <c r="B2307" s="24">
        <v>46181</v>
      </c>
      <c r="C2307" s="27" t="s">
        <v>5797</v>
      </c>
      <c r="D2307" s="27" t="s">
        <v>3229</v>
      </c>
      <c r="E2307" t="s">
        <v>2722</v>
      </c>
      <c r="F2307" t="s">
        <v>104</v>
      </c>
      <c r="G2307" t="s">
        <v>105</v>
      </c>
      <c r="H2307">
        <v>0</v>
      </c>
    </row>
    <row r="2308" spans="1:8">
      <c r="A2308" t="s">
        <v>5268</v>
      </c>
      <c r="B2308" s="24">
        <v>46182</v>
      </c>
      <c r="C2308" s="27" t="s">
        <v>5797</v>
      </c>
      <c r="D2308" s="27" t="s">
        <v>3229</v>
      </c>
      <c r="E2308" t="s">
        <v>2723</v>
      </c>
      <c r="F2308" t="s">
        <v>104</v>
      </c>
      <c r="G2308" t="s">
        <v>105</v>
      </c>
      <c r="H2308">
        <v>0</v>
      </c>
    </row>
    <row r="2309" spans="1:8">
      <c r="A2309" t="s">
        <v>5269</v>
      </c>
      <c r="B2309" s="24">
        <v>46183</v>
      </c>
      <c r="C2309" s="27" t="s">
        <v>5797</v>
      </c>
      <c r="D2309" s="27" t="s">
        <v>3229</v>
      </c>
      <c r="E2309" t="s">
        <v>2724</v>
      </c>
      <c r="F2309" t="s">
        <v>104</v>
      </c>
      <c r="G2309" t="s">
        <v>105</v>
      </c>
      <c r="H2309">
        <v>0</v>
      </c>
    </row>
    <row r="2310" spans="1:8">
      <c r="A2310" t="s">
        <v>5270</v>
      </c>
      <c r="B2310" s="24">
        <v>46184</v>
      </c>
      <c r="C2310" s="27" t="s">
        <v>5797</v>
      </c>
      <c r="D2310" s="27" t="s">
        <v>3229</v>
      </c>
      <c r="E2310" t="s">
        <v>2725</v>
      </c>
      <c r="F2310" t="s">
        <v>104</v>
      </c>
      <c r="G2310" t="s">
        <v>105</v>
      </c>
      <c r="H2310">
        <v>0</v>
      </c>
    </row>
    <row r="2311" spans="1:8">
      <c r="A2311" t="s">
        <v>5271</v>
      </c>
      <c r="B2311" s="24">
        <v>46185</v>
      </c>
      <c r="C2311" s="27" t="s">
        <v>5797</v>
      </c>
      <c r="D2311" s="27" t="s">
        <v>3229</v>
      </c>
      <c r="E2311" t="s">
        <v>2726</v>
      </c>
      <c r="F2311" t="s">
        <v>104</v>
      </c>
      <c r="G2311" t="s">
        <v>105</v>
      </c>
      <c r="H2311">
        <v>0</v>
      </c>
    </row>
    <row r="2312" spans="1:8">
      <c r="A2312" t="s">
        <v>5272</v>
      </c>
      <c r="B2312" s="24">
        <v>46174</v>
      </c>
      <c r="C2312" s="27" t="s">
        <v>5797</v>
      </c>
      <c r="D2312" s="27" t="s">
        <v>3229</v>
      </c>
      <c r="E2312" t="s">
        <v>2727</v>
      </c>
      <c r="F2312" t="s">
        <v>104</v>
      </c>
      <c r="G2312" t="s">
        <v>105</v>
      </c>
      <c r="H2312">
        <v>0</v>
      </c>
    </row>
    <row r="2313" spans="1:8">
      <c r="A2313" t="s">
        <v>5273</v>
      </c>
      <c r="B2313" s="24">
        <v>46175</v>
      </c>
      <c r="C2313" s="27" t="s">
        <v>5797</v>
      </c>
      <c r="D2313" s="27" t="s">
        <v>3229</v>
      </c>
      <c r="E2313" t="s">
        <v>2728</v>
      </c>
      <c r="F2313" t="s">
        <v>104</v>
      </c>
      <c r="G2313" t="s">
        <v>105</v>
      </c>
      <c r="H2313">
        <v>0</v>
      </c>
    </row>
    <row r="2314" spans="1:8">
      <c r="A2314" t="s">
        <v>5274</v>
      </c>
      <c r="B2314" s="24">
        <v>46176</v>
      </c>
      <c r="C2314" s="27" t="s">
        <v>5797</v>
      </c>
      <c r="D2314" s="27" t="s">
        <v>3229</v>
      </c>
      <c r="E2314" t="s">
        <v>2729</v>
      </c>
      <c r="F2314" t="s">
        <v>104</v>
      </c>
      <c r="G2314" t="s">
        <v>105</v>
      </c>
      <c r="H2314">
        <v>0</v>
      </c>
    </row>
    <row r="2315" spans="1:8">
      <c r="A2315" t="s">
        <v>5275</v>
      </c>
      <c r="B2315" s="24">
        <v>46177</v>
      </c>
      <c r="C2315" s="27" t="s">
        <v>5797</v>
      </c>
      <c r="D2315" s="27" t="s">
        <v>3229</v>
      </c>
      <c r="E2315" t="s">
        <v>2730</v>
      </c>
      <c r="F2315" t="s">
        <v>104</v>
      </c>
      <c r="G2315" t="s">
        <v>105</v>
      </c>
      <c r="H2315">
        <v>0</v>
      </c>
    </row>
    <row r="2316" spans="1:8">
      <c r="A2316" t="s">
        <v>5276</v>
      </c>
      <c r="B2316" s="24">
        <v>46178</v>
      </c>
      <c r="C2316" s="27" t="s">
        <v>5797</v>
      </c>
      <c r="D2316" s="27" t="s">
        <v>3229</v>
      </c>
      <c r="E2316" t="s">
        <v>2731</v>
      </c>
      <c r="F2316" t="s">
        <v>104</v>
      </c>
      <c r="G2316" t="s">
        <v>105</v>
      </c>
      <c r="H2316">
        <v>0</v>
      </c>
    </row>
    <row r="2317" spans="1:8">
      <c r="A2317" t="s">
        <v>5277</v>
      </c>
      <c r="B2317" s="24">
        <v>46181</v>
      </c>
      <c r="C2317" s="27" t="s">
        <v>5797</v>
      </c>
      <c r="D2317" s="27" t="s">
        <v>3229</v>
      </c>
      <c r="E2317" t="s">
        <v>2732</v>
      </c>
      <c r="F2317" t="s">
        <v>104</v>
      </c>
      <c r="G2317" t="s">
        <v>105</v>
      </c>
      <c r="H2317">
        <v>0</v>
      </c>
    </row>
    <row r="2318" spans="1:8">
      <c r="A2318" t="s">
        <v>5278</v>
      </c>
      <c r="B2318" s="24">
        <v>46182</v>
      </c>
      <c r="C2318" s="27" t="s">
        <v>5797</v>
      </c>
      <c r="D2318" s="27" t="s">
        <v>3229</v>
      </c>
      <c r="E2318" t="s">
        <v>2733</v>
      </c>
      <c r="F2318" t="s">
        <v>104</v>
      </c>
      <c r="G2318" t="s">
        <v>105</v>
      </c>
      <c r="H2318">
        <v>0</v>
      </c>
    </row>
    <row r="2319" spans="1:8">
      <c r="A2319" t="s">
        <v>5279</v>
      </c>
      <c r="B2319" s="24">
        <v>46183</v>
      </c>
      <c r="C2319" s="27" t="s">
        <v>5797</v>
      </c>
      <c r="D2319" s="27" t="s">
        <v>3229</v>
      </c>
      <c r="E2319" t="s">
        <v>2734</v>
      </c>
      <c r="F2319" t="s">
        <v>104</v>
      </c>
      <c r="G2319" t="s">
        <v>105</v>
      </c>
      <c r="H2319">
        <v>0</v>
      </c>
    </row>
    <row r="2320" spans="1:8">
      <c r="A2320" t="s">
        <v>5280</v>
      </c>
      <c r="B2320" s="24">
        <v>46184</v>
      </c>
      <c r="C2320" s="27" t="s">
        <v>5797</v>
      </c>
      <c r="D2320" s="27" t="s">
        <v>3229</v>
      </c>
      <c r="E2320" t="s">
        <v>2735</v>
      </c>
      <c r="F2320" t="s">
        <v>104</v>
      </c>
      <c r="G2320" t="s">
        <v>105</v>
      </c>
      <c r="H2320">
        <v>0</v>
      </c>
    </row>
    <row r="2321" spans="1:8">
      <c r="A2321" t="s">
        <v>5281</v>
      </c>
      <c r="B2321" s="24">
        <v>46185</v>
      </c>
      <c r="C2321" s="27" t="s">
        <v>5797</v>
      </c>
      <c r="D2321" s="27" t="s">
        <v>3229</v>
      </c>
      <c r="E2321" t="s">
        <v>2736</v>
      </c>
      <c r="F2321" t="s">
        <v>104</v>
      </c>
      <c r="G2321" t="s">
        <v>105</v>
      </c>
      <c r="H2321">
        <v>0</v>
      </c>
    </row>
    <row r="2322" spans="1:8">
      <c r="A2322" t="s">
        <v>5282</v>
      </c>
      <c r="B2322" s="24">
        <v>46174</v>
      </c>
      <c r="C2322" s="27" t="s">
        <v>5797</v>
      </c>
      <c r="D2322" s="27" t="s">
        <v>3229</v>
      </c>
      <c r="E2322" t="s">
        <v>2737</v>
      </c>
      <c r="F2322" t="s">
        <v>104</v>
      </c>
      <c r="G2322" t="s">
        <v>105</v>
      </c>
      <c r="H2322">
        <v>0</v>
      </c>
    </row>
    <row r="2323" spans="1:8">
      <c r="A2323" t="s">
        <v>5283</v>
      </c>
      <c r="B2323" s="24">
        <v>46175</v>
      </c>
      <c r="C2323" s="27" t="s">
        <v>5797</v>
      </c>
      <c r="D2323" s="27" t="s">
        <v>3229</v>
      </c>
      <c r="E2323" t="s">
        <v>2738</v>
      </c>
      <c r="F2323" t="s">
        <v>104</v>
      </c>
      <c r="G2323" t="s">
        <v>105</v>
      </c>
      <c r="H2323">
        <v>0</v>
      </c>
    </row>
    <row r="2324" spans="1:8">
      <c r="A2324" t="s">
        <v>5284</v>
      </c>
      <c r="B2324" s="24">
        <v>46176</v>
      </c>
      <c r="C2324" s="27" t="s">
        <v>5797</v>
      </c>
      <c r="D2324" s="27" t="s">
        <v>3229</v>
      </c>
      <c r="E2324" t="s">
        <v>2739</v>
      </c>
      <c r="F2324" t="s">
        <v>104</v>
      </c>
      <c r="G2324" t="s">
        <v>105</v>
      </c>
      <c r="H2324">
        <v>0</v>
      </c>
    </row>
    <row r="2325" spans="1:8">
      <c r="A2325" t="s">
        <v>5285</v>
      </c>
      <c r="B2325" s="24">
        <v>46177</v>
      </c>
      <c r="C2325" s="27" t="s">
        <v>5797</v>
      </c>
      <c r="D2325" s="27" t="s">
        <v>3229</v>
      </c>
      <c r="E2325" t="s">
        <v>2740</v>
      </c>
      <c r="F2325" t="s">
        <v>104</v>
      </c>
      <c r="G2325" t="s">
        <v>105</v>
      </c>
      <c r="H2325">
        <v>0</v>
      </c>
    </row>
    <row r="2326" spans="1:8">
      <c r="A2326" t="s">
        <v>5286</v>
      </c>
      <c r="B2326" s="24">
        <v>46178</v>
      </c>
      <c r="C2326" s="27" t="s">
        <v>5797</v>
      </c>
      <c r="D2326" s="27" t="s">
        <v>3229</v>
      </c>
      <c r="E2326" t="s">
        <v>2741</v>
      </c>
      <c r="F2326" t="s">
        <v>104</v>
      </c>
      <c r="G2326" t="s">
        <v>105</v>
      </c>
      <c r="H2326">
        <v>0</v>
      </c>
    </row>
    <row r="2327" spans="1:8">
      <c r="A2327" t="s">
        <v>5287</v>
      </c>
      <c r="B2327" s="24">
        <v>46181</v>
      </c>
      <c r="C2327" s="27" t="s">
        <v>5797</v>
      </c>
      <c r="D2327" s="27" t="s">
        <v>3229</v>
      </c>
      <c r="E2327" t="s">
        <v>2742</v>
      </c>
      <c r="F2327" t="s">
        <v>104</v>
      </c>
      <c r="G2327" t="s">
        <v>105</v>
      </c>
      <c r="H2327">
        <v>0</v>
      </c>
    </row>
    <row r="2328" spans="1:8">
      <c r="A2328" t="s">
        <v>5288</v>
      </c>
      <c r="B2328" s="24">
        <v>46182</v>
      </c>
      <c r="C2328" s="27" t="s">
        <v>5797</v>
      </c>
      <c r="D2328" s="27" t="s">
        <v>3229</v>
      </c>
      <c r="E2328" t="s">
        <v>2743</v>
      </c>
      <c r="F2328" t="s">
        <v>104</v>
      </c>
      <c r="G2328" t="s">
        <v>105</v>
      </c>
      <c r="H2328">
        <v>0</v>
      </c>
    </row>
    <row r="2329" spans="1:8">
      <c r="A2329" t="s">
        <v>5289</v>
      </c>
      <c r="B2329" s="24">
        <v>46183</v>
      </c>
      <c r="C2329" s="27" t="s">
        <v>5797</v>
      </c>
      <c r="D2329" s="27" t="s">
        <v>3229</v>
      </c>
      <c r="E2329" t="s">
        <v>2744</v>
      </c>
      <c r="F2329" t="s">
        <v>104</v>
      </c>
      <c r="G2329" t="s">
        <v>105</v>
      </c>
      <c r="H2329">
        <v>0</v>
      </c>
    </row>
    <row r="2330" spans="1:8">
      <c r="A2330" t="s">
        <v>5290</v>
      </c>
      <c r="B2330" s="24">
        <v>46184</v>
      </c>
      <c r="C2330" s="27" t="s">
        <v>5797</v>
      </c>
      <c r="D2330" s="27" t="s">
        <v>3229</v>
      </c>
      <c r="E2330" t="s">
        <v>2745</v>
      </c>
      <c r="F2330" t="s">
        <v>104</v>
      </c>
      <c r="G2330" t="s">
        <v>105</v>
      </c>
      <c r="H2330">
        <v>0</v>
      </c>
    </row>
    <row r="2331" spans="1:8">
      <c r="A2331" t="s">
        <v>5291</v>
      </c>
      <c r="B2331" s="24">
        <v>46185</v>
      </c>
      <c r="C2331" s="27" t="s">
        <v>5797</v>
      </c>
      <c r="D2331" s="27" t="s">
        <v>3229</v>
      </c>
      <c r="E2331" t="s">
        <v>2746</v>
      </c>
      <c r="F2331" t="s">
        <v>104</v>
      </c>
      <c r="G2331" t="s">
        <v>105</v>
      </c>
      <c r="H2331">
        <v>0</v>
      </c>
    </row>
    <row r="2332" spans="1:8">
      <c r="A2332" t="s">
        <v>5292</v>
      </c>
      <c r="B2332" s="24">
        <v>46174</v>
      </c>
      <c r="C2332" s="27" t="s">
        <v>5797</v>
      </c>
      <c r="D2332" s="27" t="s">
        <v>3229</v>
      </c>
      <c r="E2332" t="s">
        <v>2747</v>
      </c>
      <c r="F2332" t="s">
        <v>104</v>
      </c>
      <c r="G2332" t="s">
        <v>105</v>
      </c>
      <c r="H2332">
        <v>0</v>
      </c>
    </row>
    <row r="2333" spans="1:8">
      <c r="A2333" t="s">
        <v>5293</v>
      </c>
      <c r="B2333" s="24">
        <v>46175</v>
      </c>
      <c r="C2333" s="27" t="s">
        <v>5797</v>
      </c>
      <c r="D2333" s="27" t="s">
        <v>3229</v>
      </c>
      <c r="E2333" t="s">
        <v>2748</v>
      </c>
      <c r="F2333" t="s">
        <v>104</v>
      </c>
      <c r="G2333" t="s">
        <v>105</v>
      </c>
      <c r="H2333">
        <v>0</v>
      </c>
    </row>
    <row r="2334" spans="1:8">
      <c r="A2334" t="s">
        <v>5294</v>
      </c>
      <c r="B2334" s="24">
        <v>46176</v>
      </c>
      <c r="C2334" s="27" t="s">
        <v>5797</v>
      </c>
      <c r="D2334" s="27" t="s">
        <v>3229</v>
      </c>
      <c r="E2334" t="s">
        <v>2749</v>
      </c>
      <c r="F2334" t="s">
        <v>104</v>
      </c>
      <c r="G2334" t="s">
        <v>105</v>
      </c>
      <c r="H2334">
        <v>0</v>
      </c>
    </row>
    <row r="2335" spans="1:8">
      <c r="A2335" t="s">
        <v>5295</v>
      </c>
      <c r="B2335" s="24">
        <v>46177</v>
      </c>
      <c r="C2335" s="27" t="s">
        <v>5797</v>
      </c>
      <c r="D2335" s="27" t="s">
        <v>3229</v>
      </c>
      <c r="E2335" t="s">
        <v>2750</v>
      </c>
      <c r="F2335" t="s">
        <v>104</v>
      </c>
      <c r="G2335" t="s">
        <v>105</v>
      </c>
      <c r="H2335">
        <v>0</v>
      </c>
    </row>
    <row r="2336" spans="1:8">
      <c r="A2336" t="s">
        <v>5296</v>
      </c>
      <c r="B2336" s="24">
        <v>46178</v>
      </c>
      <c r="C2336" s="27" t="s">
        <v>5797</v>
      </c>
      <c r="D2336" s="27" t="s">
        <v>3229</v>
      </c>
      <c r="E2336" t="s">
        <v>2751</v>
      </c>
      <c r="F2336" t="s">
        <v>104</v>
      </c>
      <c r="G2336" t="s">
        <v>105</v>
      </c>
      <c r="H2336">
        <v>0</v>
      </c>
    </row>
    <row r="2337" spans="1:8">
      <c r="A2337" t="s">
        <v>5297</v>
      </c>
      <c r="B2337" s="24">
        <v>46181</v>
      </c>
      <c r="C2337" s="27" t="s">
        <v>5797</v>
      </c>
      <c r="D2337" s="27" t="s">
        <v>3229</v>
      </c>
      <c r="E2337" t="s">
        <v>2752</v>
      </c>
      <c r="F2337" t="s">
        <v>104</v>
      </c>
      <c r="G2337" t="s">
        <v>105</v>
      </c>
      <c r="H2337">
        <v>0</v>
      </c>
    </row>
    <row r="2338" spans="1:8">
      <c r="A2338" t="s">
        <v>5298</v>
      </c>
      <c r="B2338" s="24">
        <v>46182</v>
      </c>
      <c r="C2338" s="27" t="s">
        <v>5797</v>
      </c>
      <c r="D2338" s="27" t="s">
        <v>3229</v>
      </c>
      <c r="E2338" t="s">
        <v>2753</v>
      </c>
      <c r="F2338" t="s">
        <v>104</v>
      </c>
      <c r="G2338" t="s">
        <v>105</v>
      </c>
      <c r="H2338">
        <v>0</v>
      </c>
    </row>
    <row r="2339" spans="1:8">
      <c r="A2339" t="s">
        <v>5299</v>
      </c>
      <c r="B2339" s="24">
        <v>46183</v>
      </c>
      <c r="C2339" s="27" t="s">
        <v>5797</v>
      </c>
      <c r="D2339" s="27" t="s">
        <v>3229</v>
      </c>
      <c r="E2339" t="s">
        <v>2754</v>
      </c>
      <c r="F2339" t="s">
        <v>104</v>
      </c>
      <c r="H2339" t="s">
        <v>5762</v>
      </c>
    </row>
    <row r="2340" spans="1:8">
      <c r="A2340" t="s">
        <v>5300</v>
      </c>
      <c r="B2340" s="24">
        <v>46184</v>
      </c>
      <c r="C2340" s="27" t="s">
        <v>5797</v>
      </c>
      <c r="D2340" s="27" t="s">
        <v>3229</v>
      </c>
      <c r="E2340" t="s">
        <v>2755</v>
      </c>
      <c r="F2340" t="s">
        <v>104</v>
      </c>
      <c r="H2340" t="s">
        <v>5762</v>
      </c>
    </row>
    <row r="2341" spans="1:8">
      <c r="A2341" t="s">
        <v>5301</v>
      </c>
      <c r="B2341" s="24">
        <v>46185</v>
      </c>
      <c r="C2341" s="27" t="s">
        <v>5797</v>
      </c>
      <c r="D2341" s="27" t="s">
        <v>3229</v>
      </c>
      <c r="E2341" t="s">
        <v>2756</v>
      </c>
      <c r="F2341" t="s">
        <v>104</v>
      </c>
      <c r="H2341" t="s">
        <v>5762</v>
      </c>
    </row>
    <row r="2342" spans="1:8">
      <c r="A2342" t="s">
        <v>5302</v>
      </c>
      <c r="B2342" s="24">
        <v>46174</v>
      </c>
      <c r="C2342" s="27" t="s">
        <v>5797</v>
      </c>
      <c r="D2342" s="27" t="s">
        <v>3229</v>
      </c>
      <c r="E2342" t="s">
        <v>2757</v>
      </c>
      <c r="F2342" t="s">
        <v>104</v>
      </c>
      <c r="H2342" t="s">
        <v>5762</v>
      </c>
    </row>
    <row r="2343" spans="1:8">
      <c r="A2343" t="s">
        <v>5303</v>
      </c>
      <c r="B2343" s="24">
        <v>46175</v>
      </c>
      <c r="C2343" s="27" t="s">
        <v>5797</v>
      </c>
      <c r="D2343" s="27" t="s">
        <v>3229</v>
      </c>
      <c r="E2343" t="s">
        <v>2758</v>
      </c>
      <c r="F2343" t="s">
        <v>104</v>
      </c>
      <c r="H2343" t="s">
        <v>5762</v>
      </c>
    </row>
    <row r="2344" spans="1:8">
      <c r="A2344" t="s">
        <v>5304</v>
      </c>
      <c r="B2344" s="24">
        <v>46176</v>
      </c>
      <c r="C2344" s="27" t="s">
        <v>5797</v>
      </c>
      <c r="D2344" s="27" t="s">
        <v>3229</v>
      </c>
      <c r="E2344" t="s">
        <v>2759</v>
      </c>
      <c r="F2344" t="s">
        <v>104</v>
      </c>
      <c r="H2344" t="s">
        <v>5762</v>
      </c>
    </row>
    <row r="2345" spans="1:8">
      <c r="A2345" t="s">
        <v>5305</v>
      </c>
      <c r="B2345" s="24">
        <v>46177</v>
      </c>
      <c r="C2345" s="27" t="s">
        <v>5797</v>
      </c>
      <c r="D2345" s="27" t="s">
        <v>3229</v>
      </c>
      <c r="E2345" t="s">
        <v>2760</v>
      </c>
      <c r="F2345" t="s">
        <v>104</v>
      </c>
      <c r="H2345" t="s">
        <v>5762</v>
      </c>
    </row>
    <row r="2346" spans="1:8">
      <c r="A2346" t="s">
        <v>5306</v>
      </c>
      <c r="B2346" s="24">
        <v>46178</v>
      </c>
      <c r="C2346" s="27" t="s">
        <v>5797</v>
      </c>
      <c r="D2346" s="27" t="s">
        <v>3229</v>
      </c>
      <c r="E2346" t="s">
        <v>2761</v>
      </c>
      <c r="F2346" t="s">
        <v>104</v>
      </c>
      <c r="H2346" t="s">
        <v>5762</v>
      </c>
    </row>
    <row r="2347" spans="1:8">
      <c r="A2347" t="s">
        <v>5307</v>
      </c>
      <c r="B2347" s="24">
        <v>46181</v>
      </c>
      <c r="C2347" s="27" t="s">
        <v>5797</v>
      </c>
      <c r="D2347" s="27" t="s">
        <v>3229</v>
      </c>
      <c r="E2347" t="s">
        <v>2762</v>
      </c>
      <c r="F2347" t="s">
        <v>104</v>
      </c>
      <c r="H2347" t="s">
        <v>5762</v>
      </c>
    </row>
    <row r="2348" spans="1:8">
      <c r="A2348" t="s">
        <v>5308</v>
      </c>
      <c r="B2348" s="24">
        <v>46182</v>
      </c>
      <c r="C2348" s="27" t="s">
        <v>5797</v>
      </c>
      <c r="D2348" s="27" t="s">
        <v>3229</v>
      </c>
      <c r="E2348" t="s">
        <v>2763</v>
      </c>
      <c r="F2348" t="s">
        <v>104</v>
      </c>
      <c r="H2348" t="s">
        <v>5762</v>
      </c>
    </row>
    <row r="2349" spans="1:8">
      <c r="A2349" t="s">
        <v>5309</v>
      </c>
      <c r="B2349" s="24">
        <v>46183</v>
      </c>
      <c r="C2349" s="27" t="s">
        <v>5797</v>
      </c>
      <c r="D2349" s="27" t="s">
        <v>3229</v>
      </c>
      <c r="E2349" t="s">
        <v>2764</v>
      </c>
      <c r="F2349" t="s">
        <v>104</v>
      </c>
      <c r="H2349" t="s">
        <v>5762</v>
      </c>
    </row>
    <row r="2350" spans="1:8">
      <c r="A2350" t="s">
        <v>5310</v>
      </c>
      <c r="B2350" s="24">
        <v>46184</v>
      </c>
      <c r="C2350" s="27" t="s">
        <v>5797</v>
      </c>
      <c r="D2350" s="27" t="s">
        <v>3229</v>
      </c>
      <c r="E2350" t="s">
        <v>2765</v>
      </c>
      <c r="F2350" t="s">
        <v>104</v>
      </c>
      <c r="H2350" t="s">
        <v>5762</v>
      </c>
    </row>
    <row r="2351" spans="1:8">
      <c r="A2351" t="s">
        <v>5311</v>
      </c>
      <c r="B2351" s="24">
        <v>46185</v>
      </c>
      <c r="C2351" s="27" t="s">
        <v>5797</v>
      </c>
      <c r="D2351" s="27" t="s">
        <v>3229</v>
      </c>
      <c r="E2351" t="s">
        <v>2766</v>
      </c>
      <c r="F2351" t="s">
        <v>104</v>
      </c>
      <c r="H2351" t="s">
        <v>5762</v>
      </c>
    </row>
    <row r="2352" spans="1:8">
      <c r="A2352" t="s">
        <v>5312</v>
      </c>
      <c r="B2352" s="24">
        <v>46174</v>
      </c>
      <c r="C2352" s="27" t="s">
        <v>5797</v>
      </c>
      <c r="D2352" s="27" t="s">
        <v>3229</v>
      </c>
      <c r="E2352" t="s">
        <v>2767</v>
      </c>
      <c r="F2352" t="s">
        <v>104</v>
      </c>
      <c r="H2352" t="s">
        <v>5762</v>
      </c>
    </row>
    <row r="2353" spans="1:8">
      <c r="A2353" t="s">
        <v>5313</v>
      </c>
      <c r="B2353" s="24">
        <v>46175</v>
      </c>
      <c r="C2353" s="27" t="s">
        <v>5797</v>
      </c>
      <c r="D2353" s="27" t="s">
        <v>3229</v>
      </c>
      <c r="E2353" t="s">
        <v>2768</v>
      </c>
      <c r="F2353" t="s">
        <v>104</v>
      </c>
      <c r="H2353" t="s">
        <v>5762</v>
      </c>
    </row>
    <row r="2354" spans="1:8">
      <c r="A2354" t="s">
        <v>5314</v>
      </c>
      <c r="B2354" s="24">
        <v>46176</v>
      </c>
      <c r="C2354" s="27" t="s">
        <v>5797</v>
      </c>
      <c r="D2354" s="27" t="s">
        <v>3229</v>
      </c>
      <c r="E2354" t="s">
        <v>2769</v>
      </c>
      <c r="F2354" t="s">
        <v>104</v>
      </c>
      <c r="H2354" t="s">
        <v>5762</v>
      </c>
    </row>
    <row r="2355" spans="1:8">
      <c r="A2355" t="s">
        <v>5315</v>
      </c>
      <c r="B2355" s="24">
        <v>46177</v>
      </c>
      <c r="C2355" s="27" t="s">
        <v>5797</v>
      </c>
      <c r="D2355" s="27" t="s">
        <v>3229</v>
      </c>
      <c r="E2355" t="s">
        <v>2770</v>
      </c>
      <c r="F2355" t="s">
        <v>104</v>
      </c>
      <c r="H2355" t="s">
        <v>5762</v>
      </c>
    </row>
    <row r="2356" spans="1:8">
      <c r="A2356" t="s">
        <v>5316</v>
      </c>
      <c r="B2356" s="24">
        <v>46178</v>
      </c>
      <c r="C2356" s="27" t="s">
        <v>5797</v>
      </c>
      <c r="D2356" s="27" t="s">
        <v>3229</v>
      </c>
      <c r="E2356" t="s">
        <v>2771</v>
      </c>
      <c r="F2356" t="s">
        <v>104</v>
      </c>
      <c r="H2356" t="s">
        <v>5762</v>
      </c>
    </row>
    <row r="2357" spans="1:8">
      <c r="A2357" t="s">
        <v>5317</v>
      </c>
      <c r="B2357" s="24">
        <v>46181</v>
      </c>
      <c r="C2357" s="27" t="s">
        <v>5797</v>
      </c>
      <c r="D2357" s="27" t="s">
        <v>3229</v>
      </c>
      <c r="E2357" t="s">
        <v>2772</v>
      </c>
      <c r="F2357" t="s">
        <v>104</v>
      </c>
      <c r="H2357" t="s">
        <v>5762</v>
      </c>
    </row>
    <row r="2358" spans="1:8">
      <c r="A2358" t="s">
        <v>5318</v>
      </c>
      <c r="B2358" s="24">
        <v>46182</v>
      </c>
      <c r="C2358" s="27" t="s">
        <v>5797</v>
      </c>
      <c r="D2358" s="27" t="s">
        <v>3229</v>
      </c>
      <c r="E2358" t="s">
        <v>2773</v>
      </c>
      <c r="F2358" t="s">
        <v>104</v>
      </c>
      <c r="H2358" t="s">
        <v>5762</v>
      </c>
    </row>
    <row r="2359" spans="1:8">
      <c r="A2359" t="s">
        <v>5319</v>
      </c>
      <c r="B2359" s="24">
        <v>46183</v>
      </c>
      <c r="C2359" s="27" t="s">
        <v>5797</v>
      </c>
      <c r="D2359" s="27" t="s">
        <v>3229</v>
      </c>
      <c r="E2359" t="s">
        <v>2774</v>
      </c>
      <c r="F2359" t="s">
        <v>104</v>
      </c>
      <c r="H2359" t="s">
        <v>5762</v>
      </c>
    </row>
    <row r="2360" spans="1:8">
      <c r="A2360" t="s">
        <v>5320</v>
      </c>
      <c r="B2360" s="24">
        <v>46184</v>
      </c>
      <c r="C2360" s="27" t="s">
        <v>5797</v>
      </c>
      <c r="D2360" s="27" t="s">
        <v>3229</v>
      </c>
      <c r="E2360" t="s">
        <v>2775</v>
      </c>
      <c r="F2360" t="s">
        <v>104</v>
      </c>
      <c r="H2360" t="s">
        <v>5762</v>
      </c>
    </row>
    <row r="2361" spans="1:8">
      <c r="A2361" t="s">
        <v>5321</v>
      </c>
      <c r="B2361" s="24">
        <v>46185</v>
      </c>
      <c r="C2361" s="27" t="s">
        <v>5797</v>
      </c>
      <c r="D2361" s="27" t="s">
        <v>3229</v>
      </c>
      <c r="E2361" t="s">
        <v>2776</v>
      </c>
      <c r="F2361" t="s">
        <v>104</v>
      </c>
      <c r="H2361" t="s">
        <v>5762</v>
      </c>
    </row>
    <row r="2362" spans="1:8">
      <c r="A2362" t="s">
        <v>5322</v>
      </c>
      <c r="B2362" s="24">
        <v>46174</v>
      </c>
      <c r="C2362" s="27" t="s">
        <v>5797</v>
      </c>
      <c r="D2362" s="27" t="s">
        <v>3229</v>
      </c>
      <c r="E2362" t="s">
        <v>2777</v>
      </c>
      <c r="F2362" t="s">
        <v>104</v>
      </c>
      <c r="H2362" t="s">
        <v>5762</v>
      </c>
    </row>
    <row r="2363" spans="1:8">
      <c r="A2363" t="s">
        <v>5323</v>
      </c>
      <c r="B2363" s="24">
        <v>46175</v>
      </c>
      <c r="C2363" s="27" t="s">
        <v>5797</v>
      </c>
      <c r="D2363" s="27" t="s">
        <v>3229</v>
      </c>
      <c r="E2363" t="s">
        <v>2778</v>
      </c>
      <c r="F2363" t="s">
        <v>104</v>
      </c>
      <c r="H2363" t="s">
        <v>5762</v>
      </c>
    </row>
    <row r="2364" spans="1:8">
      <c r="A2364" t="s">
        <v>5324</v>
      </c>
      <c r="B2364" s="24">
        <v>46176</v>
      </c>
      <c r="C2364" s="27" t="s">
        <v>5797</v>
      </c>
      <c r="D2364" s="27" t="s">
        <v>3229</v>
      </c>
      <c r="E2364" t="s">
        <v>2779</v>
      </c>
      <c r="F2364" t="s">
        <v>104</v>
      </c>
      <c r="H2364" t="s">
        <v>5762</v>
      </c>
    </row>
    <row r="2365" spans="1:8">
      <c r="A2365" t="s">
        <v>5325</v>
      </c>
      <c r="B2365" s="24">
        <v>46177</v>
      </c>
      <c r="C2365" s="27" t="s">
        <v>5797</v>
      </c>
      <c r="D2365" s="27" t="s">
        <v>3229</v>
      </c>
      <c r="E2365" t="s">
        <v>2780</v>
      </c>
      <c r="F2365" t="s">
        <v>104</v>
      </c>
      <c r="H2365" t="s">
        <v>5762</v>
      </c>
    </row>
    <row r="2366" spans="1:8">
      <c r="A2366" t="s">
        <v>5326</v>
      </c>
      <c r="B2366" s="24">
        <v>46178</v>
      </c>
      <c r="C2366" s="27" t="s">
        <v>5797</v>
      </c>
      <c r="D2366" s="27" t="s">
        <v>3229</v>
      </c>
      <c r="E2366" t="s">
        <v>2781</v>
      </c>
      <c r="F2366" t="s">
        <v>104</v>
      </c>
      <c r="H2366" t="s">
        <v>5762</v>
      </c>
    </row>
    <row r="2367" spans="1:8">
      <c r="A2367" t="s">
        <v>5327</v>
      </c>
      <c r="B2367" s="24">
        <v>46181</v>
      </c>
      <c r="C2367" s="27" t="s">
        <v>5797</v>
      </c>
      <c r="D2367" s="27" t="s">
        <v>3229</v>
      </c>
      <c r="E2367" t="s">
        <v>2782</v>
      </c>
      <c r="F2367" t="s">
        <v>104</v>
      </c>
      <c r="H2367" t="s">
        <v>5762</v>
      </c>
    </row>
    <row r="2368" spans="1:8">
      <c r="A2368" t="s">
        <v>5328</v>
      </c>
      <c r="B2368" s="24">
        <v>46182</v>
      </c>
      <c r="C2368" s="27" t="s">
        <v>5797</v>
      </c>
      <c r="D2368" s="27" t="s">
        <v>3229</v>
      </c>
      <c r="E2368" t="s">
        <v>2783</v>
      </c>
      <c r="F2368" t="s">
        <v>104</v>
      </c>
      <c r="H2368" t="s">
        <v>5762</v>
      </c>
    </row>
    <row r="2369" spans="1:8">
      <c r="A2369" t="s">
        <v>5329</v>
      </c>
      <c r="B2369" s="24">
        <v>46183</v>
      </c>
      <c r="C2369" s="27" t="s">
        <v>5797</v>
      </c>
      <c r="D2369" s="27" t="s">
        <v>3229</v>
      </c>
      <c r="E2369" t="s">
        <v>2784</v>
      </c>
      <c r="F2369" t="s">
        <v>104</v>
      </c>
      <c r="H2369" t="s">
        <v>5762</v>
      </c>
    </row>
    <row r="2370" spans="1:8">
      <c r="A2370" t="s">
        <v>5330</v>
      </c>
      <c r="B2370" s="24">
        <v>46184</v>
      </c>
      <c r="C2370" s="27" t="s">
        <v>5797</v>
      </c>
      <c r="D2370" s="27" t="s">
        <v>3229</v>
      </c>
      <c r="E2370" t="s">
        <v>2785</v>
      </c>
      <c r="F2370" t="s">
        <v>104</v>
      </c>
      <c r="H2370" t="s">
        <v>5762</v>
      </c>
    </row>
    <row r="2371" spans="1:8">
      <c r="A2371" t="s">
        <v>5331</v>
      </c>
      <c r="B2371" s="24">
        <v>46185</v>
      </c>
      <c r="C2371" s="27" t="s">
        <v>5797</v>
      </c>
      <c r="D2371" s="27" t="s">
        <v>3229</v>
      </c>
      <c r="E2371" t="s">
        <v>2786</v>
      </c>
      <c r="F2371" t="s">
        <v>104</v>
      </c>
      <c r="H2371" t="s">
        <v>5762</v>
      </c>
    </row>
    <row r="2372" spans="1:8">
      <c r="A2372" t="s">
        <v>5332</v>
      </c>
      <c r="B2372" s="24">
        <v>46174</v>
      </c>
      <c r="C2372" s="27" t="s">
        <v>5797</v>
      </c>
      <c r="D2372" s="27" t="s">
        <v>3229</v>
      </c>
      <c r="E2372" t="s">
        <v>2787</v>
      </c>
      <c r="F2372" t="s">
        <v>104</v>
      </c>
      <c r="H2372" t="s">
        <v>5762</v>
      </c>
    </row>
    <row r="2373" spans="1:8">
      <c r="A2373" t="s">
        <v>5333</v>
      </c>
      <c r="B2373" s="24">
        <v>46175</v>
      </c>
      <c r="C2373" s="27" t="s">
        <v>5797</v>
      </c>
      <c r="D2373" s="27" t="s">
        <v>3229</v>
      </c>
      <c r="E2373" t="s">
        <v>2788</v>
      </c>
      <c r="F2373" t="s">
        <v>104</v>
      </c>
      <c r="H2373" t="s">
        <v>5762</v>
      </c>
    </row>
    <row r="2374" spans="1:8">
      <c r="A2374" t="s">
        <v>5334</v>
      </c>
      <c r="B2374" s="24">
        <v>46176</v>
      </c>
      <c r="C2374" s="27" t="s">
        <v>5797</v>
      </c>
      <c r="D2374" s="27" t="s">
        <v>3229</v>
      </c>
      <c r="E2374" t="s">
        <v>2789</v>
      </c>
      <c r="F2374" t="s">
        <v>104</v>
      </c>
      <c r="H2374" t="s">
        <v>5762</v>
      </c>
    </row>
    <row r="2375" spans="1:8">
      <c r="A2375" t="s">
        <v>5335</v>
      </c>
      <c r="B2375" s="24">
        <v>46177</v>
      </c>
      <c r="C2375" s="27" t="s">
        <v>5797</v>
      </c>
      <c r="D2375" s="27" t="s">
        <v>3229</v>
      </c>
      <c r="E2375" t="s">
        <v>2790</v>
      </c>
      <c r="F2375" t="s">
        <v>104</v>
      </c>
      <c r="H2375" t="s">
        <v>5762</v>
      </c>
    </row>
    <row r="2376" spans="1:8">
      <c r="A2376" t="s">
        <v>5336</v>
      </c>
      <c r="B2376" s="24">
        <v>46178</v>
      </c>
      <c r="C2376" s="27" t="s">
        <v>5797</v>
      </c>
      <c r="D2376" s="27" t="s">
        <v>3229</v>
      </c>
      <c r="E2376" t="s">
        <v>2791</v>
      </c>
      <c r="F2376" t="s">
        <v>104</v>
      </c>
      <c r="H2376" t="s">
        <v>5762</v>
      </c>
    </row>
    <row r="2377" spans="1:8">
      <c r="A2377" t="s">
        <v>5337</v>
      </c>
      <c r="B2377" s="24">
        <v>46181</v>
      </c>
      <c r="C2377" s="27" t="s">
        <v>5797</v>
      </c>
      <c r="D2377" s="27" t="s">
        <v>3229</v>
      </c>
      <c r="E2377" t="s">
        <v>2792</v>
      </c>
      <c r="F2377" t="s">
        <v>104</v>
      </c>
      <c r="H2377" t="s">
        <v>5762</v>
      </c>
    </row>
    <row r="2378" spans="1:8">
      <c r="A2378" t="s">
        <v>5338</v>
      </c>
      <c r="B2378" s="24">
        <v>46182</v>
      </c>
      <c r="C2378" s="27" t="s">
        <v>5797</v>
      </c>
      <c r="D2378" s="27" t="s">
        <v>3229</v>
      </c>
      <c r="E2378" t="s">
        <v>2793</v>
      </c>
      <c r="F2378" t="s">
        <v>104</v>
      </c>
      <c r="H2378" t="s">
        <v>5762</v>
      </c>
    </row>
    <row r="2379" spans="1:8">
      <c r="A2379" t="s">
        <v>5339</v>
      </c>
      <c r="B2379" s="24">
        <v>46183</v>
      </c>
      <c r="C2379" s="27" t="s">
        <v>5797</v>
      </c>
      <c r="D2379" s="27" t="s">
        <v>3229</v>
      </c>
      <c r="E2379" t="s">
        <v>2794</v>
      </c>
      <c r="F2379" t="s">
        <v>104</v>
      </c>
      <c r="H2379" t="s">
        <v>5762</v>
      </c>
    </row>
    <row r="2380" spans="1:8">
      <c r="A2380" t="s">
        <v>5340</v>
      </c>
      <c r="B2380" s="24">
        <v>46184</v>
      </c>
      <c r="C2380" s="27" t="s">
        <v>5797</v>
      </c>
      <c r="D2380" s="27" t="s">
        <v>3229</v>
      </c>
      <c r="E2380" t="s">
        <v>2795</v>
      </c>
      <c r="F2380" t="s">
        <v>104</v>
      </c>
      <c r="H2380" t="s">
        <v>5762</v>
      </c>
    </row>
    <row r="2381" spans="1:8">
      <c r="A2381" t="s">
        <v>5341</v>
      </c>
      <c r="B2381" s="24">
        <v>46185</v>
      </c>
      <c r="C2381" s="27" t="s">
        <v>5797</v>
      </c>
      <c r="D2381" s="27" t="s">
        <v>3229</v>
      </c>
      <c r="E2381" t="s">
        <v>2796</v>
      </c>
      <c r="F2381" t="s">
        <v>104</v>
      </c>
      <c r="H2381" t="s">
        <v>5762</v>
      </c>
    </row>
    <row r="2382" spans="1:8">
      <c r="A2382" t="s">
        <v>5342</v>
      </c>
      <c r="B2382" s="24">
        <v>46174</v>
      </c>
      <c r="C2382" s="27" t="s">
        <v>5797</v>
      </c>
      <c r="D2382" s="27" t="s">
        <v>3229</v>
      </c>
      <c r="E2382" t="s">
        <v>2797</v>
      </c>
      <c r="F2382" t="s">
        <v>104</v>
      </c>
      <c r="H2382" t="s">
        <v>5762</v>
      </c>
    </row>
    <row r="2383" spans="1:8">
      <c r="A2383" t="s">
        <v>5343</v>
      </c>
      <c r="B2383" s="24">
        <v>46175</v>
      </c>
      <c r="C2383" s="27" t="s">
        <v>5797</v>
      </c>
      <c r="D2383" s="27" t="s">
        <v>3229</v>
      </c>
      <c r="E2383" t="s">
        <v>2798</v>
      </c>
      <c r="F2383" t="s">
        <v>104</v>
      </c>
      <c r="H2383" t="s">
        <v>5762</v>
      </c>
    </row>
    <row r="2384" spans="1:8">
      <c r="A2384" t="s">
        <v>5344</v>
      </c>
      <c r="B2384" s="24">
        <v>46176</v>
      </c>
      <c r="C2384" s="27" t="s">
        <v>5797</v>
      </c>
      <c r="D2384" s="27" t="s">
        <v>3229</v>
      </c>
      <c r="E2384" t="s">
        <v>2799</v>
      </c>
      <c r="F2384" t="s">
        <v>104</v>
      </c>
      <c r="H2384" t="s">
        <v>5762</v>
      </c>
    </row>
    <row r="2385" spans="1:8">
      <c r="A2385" t="s">
        <v>5345</v>
      </c>
      <c r="B2385" s="24">
        <v>46177</v>
      </c>
      <c r="C2385" s="27" t="s">
        <v>5797</v>
      </c>
      <c r="D2385" s="27" t="s">
        <v>3229</v>
      </c>
      <c r="E2385" t="s">
        <v>2800</v>
      </c>
      <c r="F2385" t="s">
        <v>104</v>
      </c>
      <c r="H2385" t="s">
        <v>5762</v>
      </c>
    </row>
    <row r="2386" spans="1:8">
      <c r="A2386" t="s">
        <v>5346</v>
      </c>
      <c r="B2386" s="24">
        <v>46178</v>
      </c>
      <c r="C2386" s="27" t="s">
        <v>5797</v>
      </c>
      <c r="D2386" s="27" t="s">
        <v>3229</v>
      </c>
      <c r="E2386" t="s">
        <v>2801</v>
      </c>
      <c r="F2386" t="s">
        <v>104</v>
      </c>
      <c r="H2386" t="s">
        <v>5762</v>
      </c>
    </row>
    <row r="2387" spans="1:8">
      <c r="A2387" t="s">
        <v>5347</v>
      </c>
      <c r="B2387" s="24">
        <v>46181</v>
      </c>
      <c r="C2387" s="27" t="s">
        <v>5797</v>
      </c>
      <c r="D2387" s="27" t="s">
        <v>3229</v>
      </c>
      <c r="E2387" t="s">
        <v>2802</v>
      </c>
      <c r="F2387" t="s">
        <v>104</v>
      </c>
      <c r="H2387" t="s">
        <v>5762</v>
      </c>
    </row>
    <row r="2388" spans="1:8">
      <c r="A2388" t="s">
        <v>5348</v>
      </c>
      <c r="B2388" s="24">
        <v>46182</v>
      </c>
      <c r="C2388" s="27" t="s">
        <v>5797</v>
      </c>
      <c r="D2388" s="27" t="s">
        <v>3229</v>
      </c>
      <c r="E2388" t="s">
        <v>2803</v>
      </c>
      <c r="F2388" t="s">
        <v>104</v>
      </c>
      <c r="H2388" t="s">
        <v>5762</v>
      </c>
    </row>
    <row r="2389" spans="1:8">
      <c r="A2389" t="s">
        <v>5349</v>
      </c>
      <c r="B2389" s="24">
        <v>46183</v>
      </c>
      <c r="C2389" s="27" t="s">
        <v>5797</v>
      </c>
      <c r="D2389" s="27" t="s">
        <v>3229</v>
      </c>
      <c r="E2389" t="s">
        <v>2804</v>
      </c>
      <c r="F2389" t="s">
        <v>104</v>
      </c>
      <c r="H2389" t="s">
        <v>5762</v>
      </c>
    </row>
    <row r="2390" spans="1:8">
      <c r="A2390" t="s">
        <v>5350</v>
      </c>
      <c r="B2390" s="24">
        <v>46184</v>
      </c>
      <c r="C2390" s="27" t="s">
        <v>5797</v>
      </c>
      <c r="D2390" s="27" t="s">
        <v>3229</v>
      </c>
      <c r="E2390" t="s">
        <v>2805</v>
      </c>
      <c r="F2390" t="s">
        <v>104</v>
      </c>
      <c r="H2390" t="s">
        <v>5762</v>
      </c>
    </row>
    <row r="2391" spans="1:8">
      <c r="A2391" t="s">
        <v>5351</v>
      </c>
      <c r="B2391" s="24">
        <v>46185</v>
      </c>
      <c r="C2391" s="27" t="s">
        <v>5797</v>
      </c>
      <c r="D2391" s="27" t="s">
        <v>3229</v>
      </c>
      <c r="E2391" t="s">
        <v>2806</v>
      </c>
      <c r="F2391" t="s">
        <v>104</v>
      </c>
      <c r="H2391" t="s">
        <v>5762</v>
      </c>
    </row>
    <row r="2392" spans="1:8">
      <c r="A2392" t="s">
        <v>5352</v>
      </c>
      <c r="B2392" s="24">
        <v>46174</v>
      </c>
      <c r="C2392" s="27" t="s">
        <v>5797</v>
      </c>
      <c r="D2392" s="27" t="s">
        <v>3229</v>
      </c>
      <c r="E2392" t="s">
        <v>2807</v>
      </c>
      <c r="F2392" t="s">
        <v>104</v>
      </c>
      <c r="H2392" t="s">
        <v>5762</v>
      </c>
    </row>
    <row r="2393" spans="1:8">
      <c r="A2393" t="s">
        <v>5353</v>
      </c>
      <c r="B2393" s="24">
        <v>46175</v>
      </c>
      <c r="C2393" s="27" t="s">
        <v>5797</v>
      </c>
      <c r="D2393" s="27" t="s">
        <v>3229</v>
      </c>
      <c r="E2393" t="s">
        <v>2808</v>
      </c>
      <c r="F2393" t="s">
        <v>104</v>
      </c>
      <c r="H2393" t="s">
        <v>5762</v>
      </c>
    </row>
    <row r="2394" spans="1:8">
      <c r="A2394" t="s">
        <v>5354</v>
      </c>
      <c r="B2394" s="24">
        <v>46176</v>
      </c>
      <c r="C2394" s="27" t="s">
        <v>5797</v>
      </c>
      <c r="D2394" s="27" t="s">
        <v>3229</v>
      </c>
      <c r="E2394" t="s">
        <v>2809</v>
      </c>
      <c r="F2394" t="s">
        <v>104</v>
      </c>
      <c r="H2394" t="s">
        <v>5762</v>
      </c>
    </row>
    <row r="2395" spans="1:8">
      <c r="A2395" t="s">
        <v>5355</v>
      </c>
      <c r="B2395" s="24">
        <v>46177</v>
      </c>
      <c r="C2395" s="27" t="s">
        <v>5797</v>
      </c>
      <c r="D2395" s="27" t="s">
        <v>3229</v>
      </c>
      <c r="E2395" t="s">
        <v>2810</v>
      </c>
      <c r="F2395" t="s">
        <v>104</v>
      </c>
      <c r="H2395" t="s">
        <v>5762</v>
      </c>
    </row>
    <row r="2396" spans="1:8">
      <c r="A2396" t="s">
        <v>5356</v>
      </c>
      <c r="B2396" s="24">
        <v>46178</v>
      </c>
      <c r="C2396" s="27" t="s">
        <v>5797</v>
      </c>
      <c r="D2396" s="27" t="s">
        <v>3229</v>
      </c>
      <c r="E2396" t="s">
        <v>2811</v>
      </c>
      <c r="F2396" t="s">
        <v>104</v>
      </c>
      <c r="H2396" t="s">
        <v>5762</v>
      </c>
    </row>
    <row r="2397" spans="1:8">
      <c r="A2397" t="s">
        <v>5357</v>
      </c>
      <c r="B2397" s="24">
        <v>46181</v>
      </c>
      <c r="C2397" s="27" t="s">
        <v>5797</v>
      </c>
      <c r="D2397" s="27" t="s">
        <v>3229</v>
      </c>
      <c r="E2397" t="s">
        <v>2812</v>
      </c>
      <c r="F2397" t="s">
        <v>104</v>
      </c>
      <c r="H2397" t="s">
        <v>5762</v>
      </c>
    </row>
    <row r="2398" spans="1:8">
      <c r="A2398" t="s">
        <v>5358</v>
      </c>
      <c r="B2398" s="24">
        <v>46182</v>
      </c>
      <c r="C2398" s="27" t="s">
        <v>5797</v>
      </c>
      <c r="D2398" s="27" t="s">
        <v>3229</v>
      </c>
      <c r="E2398" t="s">
        <v>2813</v>
      </c>
      <c r="F2398" t="s">
        <v>104</v>
      </c>
      <c r="H2398" t="s">
        <v>5762</v>
      </c>
    </row>
    <row r="2399" spans="1:8">
      <c r="A2399" t="s">
        <v>5359</v>
      </c>
      <c r="B2399" s="24">
        <v>46183</v>
      </c>
      <c r="C2399" s="27" t="s">
        <v>5797</v>
      </c>
      <c r="D2399" s="27" t="s">
        <v>3229</v>
      </c>
      <c r="E2399" t="s">
        <v>2814</v>
      </c>
      <c r="F2399" t="s">
        <v>104</v>
      </c>
      <c r="H2399" t="s">
        <v>5762</v>
      </c>
    </row>
    <row r="2400" spans="1:8">
      <c r="A2400" t="s">
        <v>5360</v>
      </c>
      <c r="B2400" s="24">
        <v>46184</v>
      </c>
      <c r="C2400" s="27" t="s">
        <v>5797</v>
      </c>
      <c r="D2400" s="27" t="s">
        <v>3229</v>
      </c>
      <c r="E2400" t="s">
        <v>2815</v>
      </c>
      <c r="F2400" t="s">
        <v>104</v>
      </c>
      <c r="H2400" t="s">
        <v>5762</v>
      </c>
    </row>
    <row r="2401" spans="1:8">
      <c r="A2401" t="s">
        <v>5361</v>
      </c>
      <c r="B2401" s="24">
        <v>46185</v>
      </c>
      <c r="C2401" s="27" t="s">
        <v>5797</v>
      </c>
      <c r="D2401" s="27" t="s">
        <v>3229</v>
      </c>
      <c r="E2401" t="s">
        <v>2816</v>
      </c>
      <c r="F2401" t="s">
        <v>104</v>
      </c>
      <c r="H2401" t="s">
        <v>5762</v>
      </c>
    </row>
    <row r="2402" spans="1:8">
      <c r="A2402" t="s">
        <v>5362</v>
      </c>
      <c r="B2402" s="24">
        <v>46174</v>
      </c>
      <c r="C2402" s="27" t="s">
        <v>5797</v>
      </c>
      <c r="D2402" s="27" t="s">
        <v>3229</v>
      </c>
      <c r="E2402" t="s">
        <v>2817</v>
      </c>
      <c r="F2402" t="s">
        <v>104</v>
      </c>
      <c r="H2402" t="s">
        <v>5762</v>
      </c>
    </row>
    <row r="2403" spans="1:8">
      <c r="A2403" t="s">
        <v>5363</v>
      </c>
      <c r="B2403" s="24">
        <v>46175</v>
      </c>
      <c r="C2403" s="27" t="s">
        <v>5797</v>
      </c>
      <c r="D2403" s="27" t="s">
        <v>3229</v>
      </c>
      <c r="E2403" t="s">
        <v>2818</v>
      </c>
      <c r="F2403" t="s">
        <v>104</v>
      </c>
      <c r="H2403" t="s">
        <v>5762</v>
      </c>
    </row>
    <row r="2404" spans="1:8">
      <c r="A2404" t="s">
        <v>5364</v>
      </c>
      <c r="B2404" s="24">
        <v>46176</v>
      </c>
      <c r="C2404" s="27" t="s">
        <v>5797</v>
      </c>
      <c r="D2404" s="27" t="s">
        <v>3229</v>
      </c>
      <c r="E2404" t="s">
        <v>2819</v>
      </c>
      <c r="F2404" t="s">
        <v>104</v>
      </c>
      <c r="H2404" t="s">
        <v>5762</v>
      </c>
    </row>
    <row r="2405" spans="1:8">
      <c r="A2405" t="s">
        <v>5365</v>
      </c>
      <c r="B2405" s="24">
        <v>46177</v>
      </c>
      <c r="C2405" s="27" t="s">
        <v>5797</v>
      </c>
      <c r="D2405" s="27" t="s">
        <v>3229</v>
      </c>
      <c r="E2405" t="s">
        <v>2820</v>
      </c>
      <c r="F2405" t="s">
        <v>104</v>
      </c>
      <c r="H2405" t="s">
        <v>5762</v>
      </c>
    </row>
    <row r="2406" spans="1:8">
      <c r="A2406" t="s">
        <v>5366</v>
      </c>
      <c r="B2406" s="24">
        <v>46178</v>
      </c>
      <c r="C2406" s="27" t="s">
        <v>5797</v>
      </c>
      <c r="D2406" s="27" t="s">
        <v>3229</v>
      </c>
      <c r="E2406" t="s">
        <v>2821</v>
      </c>
      <c r="F2406" t="s">
        <v>104</v>
      </c>
      <c r="H2406" t="s">
        <v>5762</v>
      </c>
    </row>
    <row r="2407" spans="1:8">
      <c r="A2407" t="s">
        <v>5367</v>
      </c>
      <c r="B2407" s="24">
        <v>46181</v>
      </c>
      <c r="C2407" s="27" t="s">
        <v>5797</v>
      </c>
      <c r="D2407" s="27" t="s">
        <v>3229</v>
      </c>
      <c r="E2407" t="s">
        <v>2822</v>
      </c>
      <c r="F2407" t="s">
        <v>104</v>
      </c>
      <c r="H2407" t="s">
        <v>5762</v>
      </c>
    </row>
    <row r="2408" spans="1:8">
      <c r="A2408" t="s">
        <v>5368</v>
      </c>
      <c r="B2408" s="24">
        <v>46182</v>
      </c>
      <c r="C2408" s="27" t="s">
        <v>5797</v>
      </c>
      <c r="D2408" s="27" t="s">
        <v>3229</v>
      </c>
      <c r="E2408" t="s">
        <v>2823</v>
      </c>
      <c r="F2408" t="s">
        <v>104</v>
      </c>
      <c r="H2408" t="s">
        <v>5762</v>
      </c>
    </row>
    <row r="2409" spans="1:8">
      <c r="A2409" t="s">
        <v>5369</v>
      </c>
      <c r="B2409" s="24">
        <v>46183</v>
      </c>
      <c r="C2409" s="27" t="s">
        <v>5797</v>
      </c>
      <c r="D2409" s="27" t="s">
        <v>3229</v>
      </c>
      <c r="E2409" t="s">
        <v>2824</v>
      </c>
      <c r="F2409" t="s">
        <v>104</v>
      </c>
      <c r="H2409" t="s">
        <v>5762</v>
      </c>
    </row>
    <row r="2410" spans="1:8">
      <c r="A2410" t="s">
        <v>5370</v>
      </c>
      <c r="B2410" s="24">
        <v>46184</v>
      </c>
      <c r="C2410" s="27" t="s">
        <v>5797</v>
      </c>
      <c r="D2410" s="27" t="s">
        <v>3229</v>
      </c>
      <c r="E2410" t="s">
        <v>2825</v>
      </c>
      <c r="F2410" t="s">
        <v>104</v>
      </c>
      <c r="H2410" t="s">
        <v>5762</v>
      </c>
    </row>
    <row r="2411" spans="1:8">
      <c r="A2411" t="s">
        <v>5371</v>
      </c>
      <c r="B2411" s="24">
        <v>46185</v>
      </c>
      <c r="C2411" s="27" t="s">
        <v>5797</v>
      </c>
      <c r="D2411" s="27" t="s">
        <v>3230</v>
      </c>
      <c r="E2411" t="s">
        <v>2826</v>
      </c>
      <c r="F2411" t="s">
        <v>104</v>
      </c>
      <c r="G2411" t="s">
        <v>105</v>
      </c>
      <c r="H2411">
        <v>0</v>
      </c>
    </row>
    <row r="2412" spans="1:8">
      <c r="A2412" t="s">
        <v>5372</v>
      </c>
      <c r="B2412" s="24">
        <v>46174</v>
      </c>
      <c r="C2412" s="27" t="s">
        <v>5797</v>
      </c>
      <c r="D2412" s="27" t="s">
        <v>3230</v>
      </c>
      <c r="E2412" t="s">
        <v>2827</v>
      </c>
      <c r="F2412" t="s">
        <v>104</v>
      </c>
      <c r="G2412" t="s">
        <v>105</v>
      </c>
      <c r="H2412">
        <v>0</v>
      </c>
    </row>
    <row r="2413" spans="1:8">
      <c r="A2413" t="s">
        <v>5373</v>
      </c>
      <c r="B2413" s="24">
        <v>46175</v>
      </c>
      <c r="C2413" s="27" t="s">
        <v>5797</v>
      </c>
      <c r="D2413" s="27" t="s">
        <v>3230</v>
      </c>
      <c r="E2413" t="s">
        <v>2828</v>
      </c>
      <c r="F2413" t="s">
        <v>104</v>
      </c>
      <c r="G2413" t="s">
        <v>105</v>
      </c>
      <c r="H2413">
        <v>0</v>
      </c>
    </row>
    <row r="2414" spans="1:8">
      <c r="A2414" t="s">
        <v>5374</v>
      </c>
      <c r="B2414" s="24">
        <v>46176</v>
      </c>
      <c r="C2414" s="27" t="s">
        <v>5797</v>
      </c>
      <c r="D2414" s="27" t="s">
        <v>3230</v>
      </c>
      <c r="E2414" t="s">
        <v>2829</v>
      </c>
      <c r="F2414" t="s">
        <v>104</v>
      </c>
      <c r="G2414" t="s">
        <v>105</v>
      </c>
      <c r="H2414">
        <v>0</v>
      </c>
    </row>
    <row r="2415" spans="1:8">
      <c r="A2415" t="s">
        <v>5375</v>
      </c>
      <c r="B2415" s="24">
        <v>46177</v>
      </c>
      <c r="C2415" s="27" t="s">
        <v>5797</v>
      </c>
      <c r="D2415" s="27" t="s">
        <v>3230</v>
      </c>
      <c r="E2415" t="s">
        <v>2830</v>
      </c>
      <c r="F2415" t="s">
        <v>104</v>
      </c>
      <c r="G2415" t="s">
        <v>105</v>
      </c>
      <c r="H2415">
        <v>0</v>
      </c>
    </row>
    <row r="2416" spans="1:8">
      <c r="A2416" t="s">
        <v>5376</v>
      </c>
      <c r="B2416" s="24">
        <v>46178</v>
      </c>
      <c r="C2416" s="27" t="s">
        <v>5797</v>
      </c>
      <c r="D2416" s="27" t="s">
        <v>3230</v>
      </c>
      <c r="E2416" t="s">
        <v>2831</v>
      </c>
      <c r="F2416" t="s">
        <v>104</v>
      </c>
      <c r="G2416" t="s">
        <v>105</v>
      </c>
      <c r="H2416">
        <v>0</v>
      </c>
    </row>
    <row r="2417" spans="1:8">
      <c r="A2417" t="s">
        <v>5377</v>
      </c>
      <c r="B2417" s="24">
        <v>46181</v>
      </c>
      <c r="C2417" s="27" t="s">
        <v>5797</v>
      </c>
      <c r="D2417" s="27" t="s">
        <v>3230</v>
      </c>
      <c r="E2417" t="s">
        <v>2832</v>
      </c>
      <c r="F2417" t="s">
        <v>104</v>
      </c>
      <c r="G2417" t="s">
        <v>105</v>
      </c>
      <c r="H2417">
        <v>0</v>
      </c>
    </row>
    <row r="2418" spans="1:8">
      <c r="A2418" t="s">
        <v>5378</v>
      </c>
      <c r="B2418" s="24">
        <v>46182</v>
      </c>
      <c r="C2418" s="27" t="s">
        <v>5797</v>
      </c>
      <c r="D2418" s="27" t="s">
        <v>3230</v>
      </c>
      <c r="E2418" t="s">
        <v>2833</v>
      </c>
      <c r="F2418" t="s">
        <v>104</v>
      </c>
      <c r="G2418" t="s">
        <v>105</v>
      </c>
      <c r="H2418">
        <v>0</v>
      </c>
    </row>
    <row r="2419" spans="1:8">
      <c r="A2419" t="s">
        <v>5379</v>
      </c>
      <c r="B2419" s="24">
        <v>46183</v>
      </c>
      <c r="C2419" s="27" t="s">
        <v>5797</v>
      </c>
      <c r="D2419" s="27" t="s">
        <v>3230</v>
      </c>
      <c r="E2419" t="s">
        <v>2834</v>
      </c>
      <c r="F2419" t="s">
        <v>104</v>
      </c>
      <c r="G2419" t="s">
        <v>105</v>
      </c>
      <c r="H2419">
        <v>0</v>
      </c>
    </row>
    <row r="2420" spans="1:8">
      <c r="A2420" t="s">
        <v>5380</v>
      </c>
      <c r="B2420" s="24">
        <v>46184</v>
      </c>
      <c r="C2420" s="27" t="s">
        <v>5797</v>
      </c>
      <c r="D2420" s="27" t="s">
        <v>3230</v>
      </c>
      <c r="E2420" t="s">
        <v>2835</v>
      </c>
      <c r="F2420" t="s">
        <v>104</v>
      </c>
      <c r="G2420" t="s">
        <v>105</v>
      </c>
      <c r="H2420">
        <v>0</v>
      </c>
    </row>
    <row r="2421" spans="1:8">
      <c r="A2421" t="s">
        <v>5381</v>
      </c>
      <c r="B2421" s="24">
        <v>46185</v>
      </c>
      <c r="C2421" s="27" t="s">
        <v>5797</v>
      </c>
      <c r="D2421" s="27" t="s">
        <v>3230</v>
      </c>
      <c r="E2421" t="s">
        <v>2836</v>
      </c>
      <c r="F2421" t="s">
        <v>104</v>
      </c>
      <c r="G2421" t="s">
        <v>105</v>
      </c>
      <c r="H2421">
        <v>0</v>
      </c>
    </row>
    <row r="2422" spans="1:8">
      <c r="A2422" t="s">
        <v>5382</v>
      </c>
      <c r="B2422" s="24">
        <v>46174</v>
      </c>
      <c r="C2422" s="27" t="s">
        <v>5797</v>
      </c>
      <c r="D2422" s="27" t="s">
        <v>3230</v>
      </c>
      <c r="E2422" t="s">
        <v>2837</v>
      </c>
      <c r="F2422" t="s">
        <v>104</v>
      </c>
      <c r="G2422" t="s">
        <v>105</v>
      </c>
      <c r="H2422">
        <v>0</v>
      </c>
    </row>
    <row r="2423" spans="1:8">
      <c r="A2423" t="s">
        <v>5383</v>
      </c>
      <c r="B2423" s="24">
        <v>46175</v>
      </c>
      <c r="C2423" s="27" t="s">
        <v>5797</v>
      </c>
      <c r="D2423" s="27" t="s">
        <v>3230</v>
      </c>
      <c r="E2423" t="s">
        <v>2838</v>
      </c>
      <c r="F2423" t="s">
        <v>104</v>
      </c>
      <c r="G2423" t="s">
        <v>105</v>
      </c>
      <c r="H2423">
        <v>0</v>
      </c>
    </row>
    <row r="2424" spans="1:8">
      <c r="A2424" t="s">
        <v>5384</v>
      </c>
      <c r="B2424" s="24">
        <v>46176</v>
      </c>
      <c r="C2424" s="27" t="s">
        <v>5797</v>
      </c>
      <c r="D2424" s="27" t="s">
        <v>3230</v>
      </c>
      <c r="E2424" t="s">
        <v>2839</v>
      </c>
      <c r="F2424" t="s">
        <v>104</v>
      </c>
      <c r="G2424" t="s">
        <v>105</v>
      </c>
      <c r="H2424">
        <v>0</v>
      </c>
    </row>
    <row r="2425" spans="1:8">
      <c r="A2425" t="s">
        <v>5385</v>
      </c>
      <c r="B2425" s="24">
        <v>46177</v>
      </c>
      <c r="C2425" s="27" t="s">
        <v>5797</v>
      </c>
      <c r="D2425" s="27" t="s">
        <v>3230</v>
      </c>
      <c r="E2425" t="s">
        <v>2840</v>
      </c>
      <c r="F2425" t="s">
        <v>104</v>
      </c>
      <c r="G2425" t="s">
        <v>105</v>
      </c>
      <c r="H2425">
        <v>0</v>
      </c>
    </row>
    <row r="2426" spans="1:8">
      <c r="A2426" t="s">
        <v>5386</v>
      </c>
      <c r="B2426" s="24">
        <v>46178</v>
      </c>
      <c r="C2426" s="27" t="s">
        <v>5797</v>
      </c>
      <c r="D2426" s="27" t="s">
        <v>3230</v>
      </c>
      <c r="E2426" t="s">
        <v>2841</v>
      </c>
      <c r="F2426" t="s">
        <v>104</v>
      </c>
      <c r="G2426" t="s">
        <v>105</v>
      </c>
      <c r="H2426">
        <v>0</v>
      </c>
    </row>
    <row r="2427" spans="1:8">
      <c r="A2427" t="s">
        <v>5387</v>
      </c>
      <c r="B2427" s="24">
        <v>46181</v>
      </c>
      <c r="C2427" s="27" t="s">
        <v>5797</v>
      </c>
      <c r="D2427" s="27" t="s">
        <v>3230</v>
      </c>
      <c r="E2427" t="s">
        <v>2842</v>
      </c>
      <c r="F2427" t="s">
        <v>104</v>
      </c>
      <c r="G2427" t="s">
        <v>105</v>
      </c>
      <c r="H2427">
        <v>0</v>
      </c>
    </row>
    <row r="2428" spans="1:8">
      <c r="A2428" t="s">
        <v>5388</v>
      </c>
      <c r="B2428" s="24">
        <v>46182</v>
      </c>
      <c r="C2428" s="27" t="s">
        <v>5797</v>
      </c>
      <c r="D2428" s="27" t="s">
        <v>3230</v>
      </c>
      <c r="E2428" t="s">
        <v>2843</v>
      </c>
      <c r="F2428" t="s">
        <v>104</v>
      </c>
      <c r="G2428" t="s">
        <v>105</v>
      </c>
      <c r="H2428">
        <v>0</v>
      </c>
    </row>
    <row r="2429" spans="1:8">
      <c r="A2429" t="s">
        <v>5389</v>
      </c>
      <c r="B2429" s="24">
        <v>46183</v>
      </c>
      <c r="C2429" s="27" t="s">
        <v>5797</v>
      </c>
      <c r="D2429" s="27" t="s">
        <v>3230</v>
      </c>
      <c r="E2429" t="s">
        <v>2844</v>
      </c>
      <c r="F2429" t="s">
        <v>104</v>
      </c>
      <c r="G2429" t="s">
        <v>105</v>
      </c>
      <c r="H2429">
        <v>0</v>
      </c>
    </row>
    <row r="2430" spans="1:8">
      <c r="A2430" t="s">
        <v>5390</v>
      </c>
      <c r="B2430" s="24">
        <v>46184</v>
      </c>
      <c r="C2430" s="27" t="s">
        <v>5797</v>
      </c>
      <c r="D2430" s="27" t="s">
        <v>3230</v>
      </c>
      <c r="E2430" t="s">
        <v>2845</v>
      </c>
      <c r="F2430" t="s">
        <v>104</v>
      </c>
      <c r="G2430" t="s">
        <v>105</v>
      </c>
      <c r="H2430">
        <v>0</v>
      </c>
    </row>
    <row r="2431" spans="1:8">
      <c r="A2431" t="s">
        <v>5391</v>
      </c>
      <c r="B2431" s="24">
        <v>46185</v>
      </c>
      <c r="C2431" s="27" t="s">
        <v>5797</v>
      </c>
      <c r="D2431" s="27" t="s">
        <v>3230</v>
      </c>
      <c r="E2431" t="s">
        <v>2846</v>
      </c>
      <c r="F2431" t="s">
        <v>104</v>
      </c>
      <c r="G2431" t="s">
        <v>105</v>
      </c>
      <c r="H2431">
        <v>0</v>
      </c>
    </row>
    <row r="2432" spans="1:8">
      <c r="A2432" t="s">
        <v>5392</v>
      </c>
      <c r="B2432" s="24">
        <v>46174</v>
      </c>
      <c r="C2432" s="27" t="s">
        <v>5797</v>
      </c>
      <c r="D2432" s="27" t="s">
        <v>3230</v>
      </c>
      <c r="E2432" t="s">
        <v>2847</v>
      </c>
      <c r="F2432" t="s">
        <v>104</v>
      </c>
      <c r="G2432" t="s">
        <v>105</v>
      </c>
      <c r="H2432">
        <v>0</v>
      </c>
    </row>
    <row r="2433" spans="1:8">
      <c r="A2433" t="s">
        <v>5393</v>
      </c>
      <c r="B2433" s="24">
        <v>46175</v>
      </c>
      <c r="C2433" s="27" t="s">
        <v>5797</v>
      </c>
      <c r="D2433" s="27" t="s">
        <v>3230</v>
      </c>
      <c r="E2433" t="s">
        <v>2848</v>
      </c>
      <c r="F2433" t="s">
        <v>104</v>
      </c>
      <c r="G2433" t="s">
        <v>105</v>
      </c>
      <c r="H2433">
        <v>0</v>
      </c>
    </row>
    <row r="2434" spans="1:8">
      <c r="A2434" t="s">
        <v>5394</v>
      </c>
      <c r="B2434" s="24">
        <v>46176</v>
      </c>
      <c r="C2434" s="27" t="s">
        <v>5797</v>
      </c>
      <c r="D2434" s="27" t="s">
        <v>3230</v>
      </c>
      <c r="E2434" t="s">
        <v>2849</v>
      </c>
      <c r="F2434" t="s">
        <v>104</v>
      </c>
      <c r="G2434" t="s">
        <v>105</v>
      </c>
      <c r="H2434">
        <v>0</v>
      </c>
    </row>
    <row r="2435" spans="1:8">
      <c r="A2435" t="s">
        <v>5395</v>
      </c>
      <c r="B2435" s="24">
        <v>46177</v>
      </c>
      <c r="C2435" s="27" t="s">
        <v>5797</v>
      </c>
      <c r="D2435" s="27" t="s">
        <v>3230</v>
      </c>
      <c r="E2435" t="s">
        <v>2850</v>
      </c>
      <c r="F2435" t="s">
        <v>104</v>
      </c>
      <c r="G2435" t="s">
        <v>105</v>
      </c>
      <c r="H2435">
        <v>0</v>
      </c>
    </row>
    <row r="2436" spans="1:8">
      <c r="A2436" t="s">
        <v>5396</v>
      </c>
      <c r="B2436" s="24">
        <v>46178</v>
      </c>
      <c r="C2436" s="27" t="s">
        <v>5797</v>
      </c>
      <c r="D2436" s="27" t="s">
        <v>3230</v>
      </c>
      <c r="E2436" t="s">
        <v>2851</v>
      </c>
      <c r="F2436" t="s">
        <v>104</v>
      </c>
      <c r="G2436" t="s">
        <v>105</v>
      </c>
      <c r="H2436">
        <v>0</v>
      </c>
    </row>
    <row r="2437" spans="1:8">
      <c r="A2437" t="s">
        <v>5397</v>
      </c>
      <c r="B2437" s="24">
        <v>46181</v>
      </c>
      <c r="C2437" s="27" t="s">
        <v>5797</v>
      </c>
      <c r="D2437" s="27" t="s">
        <v>3230</v>
      </c>
      <c r="E2437" t="s">
        <v>2852</v>
      </c>
      <c r="F2437" t="s">
        <v>104</v>
      </c>
      <c r="G2437" t="s">
        <v>105</v>
      </c>
      <c r="H2437">
        <v>0</v>
      </c>
    </row>
    <row r="2438" spans="1:8">
      <c r="A2438" t="s">
        <v>5398</v>
      </c>
      <c r="B2438" s="24">
        <v>46182</v>
      </c>
      <c r="C2438" s="27" t="s">
        <v>5797</v>
      </c>
      <c r="D2438" s="27" t="s">
        <v>3230</v>
      </c>
      <c r="E2438" t="s">
        <v>2853</v>
      </c>
      <c r="F2438" t="s">
        <v>104</v>
      </c>
      <c r="G2438" t="s">
        <v>105</v>
      </c>
      <c r="H2438">
        <v>0</v>
      </c>
    </row>
    <row r="2439" spans="1:8">
      <c r="A2439" t="s">
        <v>5399</v>
      </c>
      <c r="B2439" s="24">
        <v>46183</v>
      </c>
      <c r="C2439" s="27" t="s">
        <v>5797</v>
      </c>
      <c r="D2439" s="27" t="s">
        <v>3230</v>
      </c>
      <c r="E2439" t="s">
        <v>2854</v>
      </c>
      <c r="F2439" t="s">
        <v>104</v>
      </c>
      <c r="G2439" t="s">
        <v>105</v>
      </c>
      <c r="H2439">
        <v>0</v>
      </c>
    </row>
    <row r="2440" spans="1:8">
      <c r="A2440" t="s">
        <v>5400</v>
      </c>
      <c r="B2440" s="24">
        <v>46184</v>
      </c>
      <c r="C2440" s="27" t="s">
        <v>5797</v>
      </c>
      <c r="D2440" s="27" t="s">
        <v>3230</v>
      </c>
      <c r="E2440" t="s">
        <v>2855</v>
      </c>
      <c r="F2440" t="s">
        <v>104</v>
      </c>
      <c r="G2440" t="s">
        <v>105</v>
      </c>
      <c r="H2440">
        <v>0</v>
      </c>
    </row>
    <row r="2441" spans="1:8">
      <c r="A2441" t="s">
        <v>5401</v>
      </c>
      <c r="B2441" s="24">
        <v>46185</v>
      </c>
      <c r="C2441" s="27" t="s">
        <v>5797</v>
      </c>
      <c r="D2441" s="27" t="s">
        <v>3230</v>
      </c>
      <c r="E2441" t="s">
        <v>2856</v>
      </c>
      <c r="F2441" t="s">
        <v>104</v>
      </c>
      <c r="G2441" t="s">
        <v>105</v>
      </c>
      <c r="H2441">
        <v>0</v>
      </c>
    </row>
    <row r="2442" spans="1:8">
      <c r="A2442" t="s">
        <v>5402</v>
      </c>
      <c r="B2442" s="24">
        <v>46174</v>
      </c>
      <c r="C2442" s="27" t="s">
        <v>5797</v>
      </c>
      <c r="D2442" s="27" t="s">
        <v>3230</v>
      </c>
      <c r="E2442" t="s">
        <v>2857</v>
      </c>
      <c r="F2442" t="s">
        <v>104</v>
      </c>
      <c r="G2442" t="s">
        <v>105</v>
      </c>
      <c r="H2442">
        <v>0</v>
      </c>
    </row>
    <row r="2443" spans="1:8">
      <c r="A2443" t="s">
        <v>5403</v>
      </c>
      <c r="B2443" s="24">
        <v>46175</v>
      </c>
      <c r="C2443" s="27" t="s">
        <v>5797</v>
      </c>
      <c r="D2443" s="27" t="s">
        <v>3230</v>
      </c>
      <c r="E2443" t="s">
        <v>2858</v>
      </c>
      <c r="F2443" t="s">
        <v>104</v>
      </c>
      <c r="G2443" t="s">
        <v>105</v>
      </c>
      <c r="H2443">
        <v>0</v>
      </c>
    </row>
    <row r="2444" spans="1:8">
      <c r="A2444" t="s">
        <v>5404</v>
      </c>
      <c r="B2444" s="24">
        <v>46176</v>
      </c>
      <c r="C2444" s="27" t="s">
        <v>5797</v>
      </c>
      <c r="D2444" s="27" t="s">
        <v>3230</v>
      </c>
      <c r="E2444" t="s">
        <v>2859</v>
      </c>
      <c r="F2444" t="s">
        <v>104</v>
      </c>
      <c r="G2444" t="s">
        <v>105</v>
      </c>
      <c r="H2444">
        <v>0</v>
      </c>
    </row>
    <row r="2445" spans="1:8">
      <c r="A2445" t="s">
        <v>5405</v>
      </c>
      <c r="B2445" s="24">
        <v>46177</v>
      </c>
      <c r="C2445" s="27" t="s">
        <v>5797</v>
      </c>
      <c r="D2445" s="27" t="s">
        <v>3230</v>
      </c>
      <c r="E2445" t="s">
        <v>2860</v>
      </c>
      <c r="F2445" t="s">
        <v>104</v>
      </c>
      <c r="G2445" t="s">
        <v>105</v>
      </c>
      <c r="H2445">
        <v>0</v>
      </c>
    </row>
    <row r="2446" spans="1:8">
      <c r="A2446" t="s">
        <v>5406</v>
      </c>
      <c r="B2446" s="24">
        <v>46178</v>
      </c>
      <c r="C2446" s="27" t="s">
        <v>5797</v>
      </c>
      <c r="D2446" s="27" t="s">
        <v>3230</v>
      </c>
      <c r="E2446" t="s">
        <v>2861</v>
      </c>
      <c r="F2446" t="s">
        <v>104</v>
      </c>
      <c r="G2446" t="s">
        <v>105</v>
      </c>
      <c r="H2446">
        <v>0</v>
      </c>
    </row>
    <row r="2447" spans="1:8">
      <c r="A2447" t="s">
        <v>5407</v>
      </c>
      <c r="B2447" s="24">
        <v>46181</v>
      </c>
      <c r="C2447" s="27" t="s">
        <v>5797</v>
      </c>
      <c r="D2447" s="27" t="s">
        <v>3230</v>
      </c>
      <c r="E2447" t="s">
        <v>2862</v>
      </c>
      <c r="F2447" t="s">
        <v>104</v>
      </c>
      <c r="G2447" t="s">
        <v>105</v>
      </c>
      <c r="H2447">
        <v>0</v>
      </c>
    </row>
    <row r="2448" spans="1:8">
      <c r="A2448" t="s">
        <v>5408</v>
      </c>
      <c r="B2448" s="24">
        <v>46182</v>
      </c>
      <c r="C2448" s="27" t="s">
        <v>5797</v>
      </c>
      <c r="D2448" s="27" t="s">
        <v>3230</v>
      </c>
      <c r="E2448" t="s">
        <v>2863</v>
      </c>
      <c r="F2448" t="s">
        <v>104</v>
      </c>
      <c r="G2448" t="s">
        <v>105</v>
      </c>
      <c r="H2448">
        <v>0</v>
      </c>
    </row>
    <row r="2449" spans="1:8">
      <c r="A2449" t="s">
        <v>5409</v>
      </c>
      <c r="B2449" s="24">
        <v>46183</v>
      </c>
      <c r="C2449" s="27" t="s">
        <v>5797</v>
      </c>
      <c r="D2449" s="27" t="s">
        <v>3230</v>
      </c>
      <c r="E2449" t="s">
        <v>2864</v>
      </c>
      <c r="F2449" t="s">
        <v>104</v>
      </c>
      <c r="G2449" t="s">
        <v>105</v>
      </c>
      <c r="H2449">
        <v>0</v>
      </c>
    </row>
    <row r="2450" spans="1:8">
      <c r="A2450" t="s">
        <v>5410</v>
      </c>
      <c r="B2450" s="24">
        <v>46184</v>
      </c>
      <c r="C2450" s="27" t="s">
        <v>5797</v>
      </c>
      <c r="D2450" s="27" t="s">
        <v>3230</v>
      </c>
      <c r="E2450" t="s">
        <v>2865</v>
      </c>
      <c r="F2450" t="s">
        <v>104</v>
      </c>
      <c r="G2450" t="s">
        <v>105</v>
      </c>
      <c r="H2450">
        <v>0</v>
      </c>
    </row>
    <row r="2451" spans="1:8">
      <c r="A2451" t="s">
        <v>5411</v>
      </c>
      <c r="B2451" s="24">
        <v>46185</v>
      </c>
      <c r="C2451" s="27" t="s">
        <v>5797</v>
      </c>
      <c r="D2451" s="27" t="s">
        <v>3230</v>
      </c>
      <c r="E2451" t="s">
        <v>2866</v>
      </c>
      <c r="F2451" t="s">
        <v>104</v>
      </c>
      <c r="G2451" t="s">
        <v>105</v>
      </c>
      <c r="H2451">
        <v>0</v>
      </c>
    </row>
    <row r="2452" spans="1:8">
      <c r="A2452" t="s">
        <v>5412</v>
      </c>
      <c r="B2452" s="24">
        <v>46174</v>
      </c>
      <c r="C2452" s="27" t="s">
        <v>5797</v>
      </c>
      <c r="D2452" s="27" t="s">
        <v>3230</v>
      </c>
      <c r="E2452" t="s">
        <v>2867</v>
      </c>
      <c r="F2452" t="s">
        <v>104</v>
      </c>
      <c r="G2452" t="s">
        <v>105</v>
      </c>
      <c r="H2452">
        <v>0</v>
      </c>
    </row>
    <row r="2453" spans="1:8">
      <c r="A2453" t="s">
        <v>5413</v>
      </c>
      <c r="B2453" s="24">
        <v>46175</v>
      </c>
      <c r="C2453" s="27" t="s">
        <v>5797</v>
      </c>
      <c r="D2453" s="27" t="s">
        <v>3230</v>
      </c>
      <c r="E2453" t="s">
        <v>2868</v>
      </c>
      <c r="F2453" t="s">
        <v>104</v>
      </c>
      <c r="G2453" t="s">
        <v>105</v>
      </c>
      <c r="H2453">
        <v>0</v>
      </c>
    </row>
    <row r="2454" spans="1:8">
      <c r="A2454" t="s">
        <v>5414</v>
      </c>
      <c r="B2454" s="24">
        <v>46176</v>
      </c>
      <c r="C2454" s="27" t="s">
        <v>5797</v>
      </c>
      <c r="D2454" s="27" t="s">
        <v>3230</v>
      </c>
      <c r="E2454" t="s">
        <v>2869</v>
      </c>
      <c r="F2454" t="s">
        <v>104</v>
      </c>
      <c r="G2454" t="s">
        <v>105</v>
      </c>
      <c r="H2454">
        <v>0</v>
      </c>
    </row>
    <row r="2455" spans="1:8">
      <c r="A2455" t="s">
        <v>5415</v>
      </c>
      <c r="B2455" s="24">
        <v>46177</v>
      </c>
      <c r="C2455" s="27" t="s">
        <v>5797</v>
      </c>
      <c r="D2455" s="27" t="s">
        <v>3230</v>
      </c>
      <c r="E2455" t="s">
        <v>2870</v>
      </c>
      <c r="F2455" t="s">
        <v>104</v>
      </c>
      <c r="G2455" t="s">
        <v>105</v>
      </c>
      <c r="H2455">
        <v>0</v>
      </c>
    </row>
    <row r="2456" spans="1:8">
      <c r="A2456" t="s">
        <v>5416</v>
      </c>
      <c r="B2456" s="24">
        <v>46178</v>
      </c>
      <c r="C2456" s="27" t="s">
        <v>5797</v>
      </c>
      <c r="D2456" s="27" t="s">
        <v>3230</v>
      </c>
      <c r="E2456" t="s">
        <v>2871</v>
      </c>
      <c r="F2456" t="s">
        <v>104</v>
      </c>
      <c r="G2456" t="s">
        <v>105</v>
      </c>
      <c r="H2456">
        <v>0</v>
      </c>
    </row>
    <row r="2457" spans="1:8">
      <c r="A2457" t="s">
        <v>5417</v>
      </c>
      <c r="B2457" s="24">
        <v>46181</v>
      </c>
      <c r="C2457" s="27" t="s">
        <v>5797</v>
      </c>
      <c r="D2457" s="27" t="s">
        <v>3230</v>
      </c>
      <c r="E2457" t="s">
        <v>2872</v>
      </c>
      <c r="F2457" t="s">
        <v>104</v>
      </c>
      <c r="G2457" t="s">
        <v>105</v>
      </c>
      <c r="H2457">
        <v>0</v>
      </c>
    </row>
    <row r="2458" spans="1:8">
      <c r="A2458" t="s">
        <v>5418</v>
      </c>
      <c r="B2458" s="24">
        <v>46182</v>
      </c>
      <c r="C2458" s="27" t="s">
        <v>5797</v>
      </c>
      <c r="D2458" s="27" t="s">
        <v>3230</v>
      </c>
      <c r="E2458" t="s">
        <v>2873</v>
      </c>
      <c r="F2458" t="s">
        <v>104</v>
      </c>
      <c r="G2458" t="s">
        <v>105</v>
      </c>
      <c r="H2458">
        <v>0</v>
      </c>
    </row>
    <row r="2459" spans="1:8">
      <c r="A2459" t="s">
        <v>5419</v>
      </c>
      <c r="B2459" s="24">
        <v>46183</v>
      </c>
      <c r="C2459" s="27" t="s">
        <v>5797</v>
      </c>
      <c r="D2459" s="27" t="s">
        <v>3230</v>
      </c>
      <c r="E2459" t="s">
        <v>2874</v>
      </c>
      <c r="F2459" t="s">
        <v>104</v>
      </c>
      <c r="G2459" t="s">
        <v>105</v>
      </c>
      <c r="H2459">
        <v>0</v>
      </c>
    </row>
    <row r="2460" spans="1:8">
      <c r="A2460" t="s">
        <v>5420</v>
      </c>
      <c r="B2460" s="24">
        <v>46184</v>
      </c>
      <c r="C2460" s="27" t="s">
        <v>5797</v>
      </c>
      <c r="D2460" s="27" t="s">
        <v>3230</v>
      </c>
      <c r="E2460" t="s">
        <v>2875</v>
      </c>
      <c r="F2460" t="s">
        <v>104</v>
      </c>
      <c r="G2460" t="s">
        <v>105</v>
      </c>
      <c r="H2460">
        <v>0</v>
      </c>
    </row>
    <row r="2461" spans="1:8">
      <c r="A2461" t="s">
        <v>5421</v>
      </c>
      <c r="B2461" s="24">
        <v>46185</v>
      </c>
      <c r="C2461" s="27" t="s">
        <v>5797</v>
      </c>
      <c r="D2461" s="27" t="s">
        <v>3230</v>
      </c>
      <c r="E2461" t="s">
        <v>2876</v>
      </c>
      <c r="F2461" t="s">
        <v>104</v>
      </c>
      <c r="G2461" t="s">
        <v>105</v>
      </c>
      <c r="H2461">
        <v>0</v>
      </c>
    </row>
    <row r="2462" spans="1:8">
      <c r="A2462" t="s">
        <v>5422</v>
      </c>
      <c r="B2462" s="24">
        <v>46174</v>
      </c>
      <c r="C2462" s="27" t="s">
        <v>5797</v>
      </c>
      <c r="D2462" s="27" t="s">
        <v>3230</v>
      </c>
      <c r="E2462" t="s">
        <v>2877</v>
      </c>
      <c r="F2462" t="s">
        <v>104</v>
      </c>
      <c r="G2462" t="s">
        <v>105</v>
      </c>
      <c r="H2462">
        <v>0</v>
      </c>
    </row>
    <row r="2463" spans="1:8">
      <c r="A2463" t="s">
        <v>5423</v>
      </c>
      <c r="B2463" s="24">
        <v>46175</v>
      </c>
      <c r="C2463" s="27" t="s">
        <v>5797</v>
      </c>
      <c r="D2463" s="27" t="s">
        <v>3230</v>
      </c>
      <c r="E2463" t="s">
        <v>2878</v>
      </c>
      <c r="F2463" t="s">
        <v>104</v>
      </c>
      <c r="G2463" t="s">
        <v>105</v>
      </c>
      <c r="H2463">
        <v>0</v>
      </c>
    </row>
    <row r="2464" spans="1:8">
      <c r="A2464" t="s">
        <v>5424</v>
      </c>
      <c r="B2464" s="24">
        <v>46176</v>
      </c>
      <c r="C2464" s="27" t="s">
        <v>5797</v>
      </c>
      <c r="D2464" s="27" t="s">
        <v>3230</v>
      </c>
      <c r="E2464" t="s">
        <v>2879</v>
      </c>
      <c r="F2464" t="s">
        <v>104</v>
      </c>
      <c r="G2464" t="s">
        <v>105</v>
      </c>
      <c r="H2464">
        <v>0</v>
      </c>
    </row>
    <row r="2465" spans="1:8">
      <c r="A2465" t="s">
        <v>5425</v>
      </c>
      <c r="B2465" s="24">
        <v>46177</v>
      </c>
      <c r="C2465" s="27" t="s">
        <v>5797</v>
      </c>
      <c r="D2465" s="27" t="s">
        <v>3230</v>
      </c>
      <c r="E2465" t="s">
        <v>2880</v>
      </c>
      <c r="F2465" t="s">
        <v>104</v>
      </c>
      <c r="G2465" t="s">
        <v>105</v>
      </c>
      <c r="H2465">
        <v>0</v>
      </c>
    </row>
    <row r="2466" spans="1:8">
      <c r="A2466" t="s">
        <v>5426</v>
      </c>
      <c r="B2466" s="24">
        <v>46178</v>
      </c>
      <c r="C2466" s="27" t="s">
        <v>5797</v>
      </c>
      <c r="D2466" s="27" t="s">
        <v>3230</v>
      </c>
      <c r="E2466" t="s">
        <v>2881</v>
      </c>
      <c r="F2466" t="s">
        <v>104</v>
      </c>
      <c r="G2466" t="s">
        <v>105</v>
      </c>
      <c r="H2466">
        <v>0</v>
      </c>
    </row>
    <row r="2467" spans="1:8">
      <c r="A2467" t="s">
        <v>5427</v>
      </c>
      <c r="B2467" s="24">
        <v>46181</v>
      </c>
      <c r="C2467" s="27" t="s">
        <v>5797</v>
      </c>
      <c r="D2467" s="27" t="s">
        <v>3230</v>
      </c>
      <c r="E2467" t="s">
        <v>2882</v>
      </c>
      <c r="F2467" t="s">
        <v>104</v>
      </c>
      <c r="G2467" t="s">
        <v>105</v>
      </c>
      <c r="H2467">
        <v>0</v>
      </c>
    </row>
    <row r="2468" spans="1:8">
      <c r="A2468" t="s">
        <v>5428</v>
      </c>
      <c r="B2468" s="24">
        <v>46182</v>
      </c>
      <c r="C2468" s="27" t="s">
        <v>5797</v>
      </c>
      <c r="D2468" s="27" t="s">
        <v>3230</v>
      </c>
      <c r="E2468" t="s">
        <v>2883</v>
      </c>
      <c r="F2468" t="s">
        <v>104</v>
      </c>
      <c r="G2468" t="s">
        <v>105</v>
      </c>
      <c r="H2468">
        <v>0</v>
      </c>
    </row>
    <row r="2469" spans="1:8">
      <c r="A2469" t="s">
        <v>5429</v>
      </c>
      <c r="B2469" s="24">
        <v>46183</v>
      </c>
      <c r="C2469" s="27" t="s">
        <v>5797</v>
      </c>
      <c r="D2469" s="27" t="s">
        <v>3230</v>
      </c>
      <c r="E2469" t="s">
        <v>2884</v>
      </c>
      <c r="F2469" t="s">
        <v>104</v>
      </c>
      <c r="G2469" t="s">
        <v>105</v>
      </c>
      <c r="H2469">
        <v>0</v>
      </c>
    </row>
    <row r="2470" spans="1:8">
      <c r="A2470" t="s">
        <v>5430</v>
      </c>
      <c r="B2470" s="24">
        <v>46184</v>
      </c>
      <c r="C2470" s="27" t="s">
        <v>5797</v>
      </c>
      <c r="D2470" s="27" t="s">
        <v>3230</v>
      </c>
      <c r="E2470" t="s">
        <v>2885</v>
      </c>
      <c r="F2470" t="s">
        <v>104</v>
      </c>
      <c r="G2470" t="s">
        <v>105</v>
      </c>
      <c r="H2470">
        <v>0</v>
      </c>
    </row>
    <row r="2471" spans="1:8">
      <c r="A2471" t="s">
        <v>5431</v>
      </c>
      <c r="B2471" s="24">
        <v>46185</v>
      </c>
      <c r="C2471" s="27" t="s">
        <v>5797</v>
      </c>
      <c r="D2471" s="27" t="s">
        <v>3230</v>
      </c>
      <c r="E2471" t="s">
        <v>2886</v>
      </c>
      <c r="F2471" t="s">
        <v>104</v>
      </c>
      <c r="G2471" t="s">
        <v>105</v>
      </c>
      <c r="H2471">
        <v>0</v>
      </c>
    </row>
    <row r="2472" spans="1:8">
      <c r="A2472" t="s">
        <v>5432</v>
      </c>
      <c r="B2472" s="24">
        <v>46174</v>
      </c>
      <c r="C2472" s="27" t="s">
        <v>5797</v>
      </c>
      <c r="D2472" s="27" t="s">
        <v>3230</v>
      </c>
      <c r="E2472" t="s">
        <v>2887</v>
      </c>
      <c r="F2472" t="s">
        <v>104</v>
      </c>
      <c r="G2472" t="s">
        <v>105</v>
      </c>
      <c r="H2472">
        <v>0</v>
      </c>
    </row>
    <row r="2473" spans="1:8">
      <c r="A2473" t="s">
        <v>5433</v>
      </c>
      <c r="B2473" s="24">
        <v>46175</v>
      </c>
      <c r="C2473" s="27" t="s">
        <v>5797</v>
      </c>
      <c r="D2473" s="27" t="s">
        <v>3230</v>
      </c>
      <c r="E2473" t="s">
        <v>2888</v>
      </c>
      <c r="F2473" t="s">
        <v>104</v>
      </c>
      <c r="G2473" t="s">
        <v>105</v>
      </c>
      <c r="H2473">
        <v>0</v>
      </c>
    </row>
    <row r="2474" spans="1:8">
      <c r="A2474" t="s">
        <v>5434</v>
      </c>
      <c r="B2474" s="24">
        <v>46176</v>
      </c>
      <c r="C2474" s="27" t="s">
        <v>5797</v>
      </c>
      <c r="D2474" s="27" t="s">
        <v>3230</v>
      </c>
      <c r="E2474" t="s">
        <v>2889</v>
      </c>
      <c r="F2474" t="s">
        <v>104</v>
      </c>
      <c r="G2474" t="s">
        <v>105</v>
      </c>
      <c r="H2474">
        <v>0</v>
      </c>
    </row>
    <row r="2475" spans="1:8">
      <c r="A2475" t="s">
        <v>5435</v>
      </c>
      <c r="B2475" s="24">
        <v>46177</v>
      </c>
      <c r="C2475" s="27" t="s">
        <v>5797</v>
      </c>
      <c r="D2475" s="27" t="s">
        <v>3230</v>
      </c>
      <c r="E2475" t="s">
        <v>2890</v>
      </c>
      <c r="F2475" t="s">
        <v>104</v>
      </c>
      <c r="G2475" t="s">
        <v>105</v>
      </c>
      <c r="H2475">
        <v>0</v>
      </c>
    </row>
    <row r="2476" spans="1:8">
      <c r="A2476" t="s">
        <v>5436</v>
      </c>
      <c r="B2476" s="24">
        <v>46178</v>
      </c>
      <c r="C2476" s="27" t="s">
        <v>5797</v>
      </c>
      <c r="D2476" s="27" t="s">
        <v>3230</v>
      </c>
      <c r="E2476" t="s">
        <v>2891</v>
      </c>
      <c r="F2476" t="s">
        <v>104</v>
      </c>
      <c r="G2476" t="s">
        <v>105</v>
      </c>
      <c r="H2476">
        <v>0</v>
      </c>
    </row>
    <row r="2477" spans="1:8">
      <c r="A2477" t="s">
        <v>5437</v>
      </c>
      <c r="B2477" s="24">
        <v>46181</v>
      </c>
      <c r="C2477" s="27" t="s">
        <v>5797</v>
      </c>
      <c r="D2477" s="27" t="s">
        <v>3230</v>
      </c>
      <c r="E2477" t="s">
        <v>2892</v>
      </c>
      <c r="F2477" t="s">
        <v>104</v>
      </c>
      <c r="G2477" t="s">
        <v>105</v>
      </c>
      <c r="H2477">
        <v>0</v>
      </c>
    </row>
    <row r="2478" spans="1:8">
      <c r="A2478" t="s">
        <v>5438</v>
      </c>
      <c r="B2478" s="24">
        <v>46182</v>
      </c>
      <c r="C2478" s="27" t="s">
        <v>5797</v>
      </c>
      <c r="D2478" s="27" t="s">
        <v>3230</v>
      </c>
      <c r="E2478" t="s">
        <v>2893</v>
      </c>
      <c r="F2478" t="s">
        <v>104</v>
      </c>
      <c r="G2478" t="s">
        <v>105</v>
      </c>
      <c r="H2478">
        <v>0</v>
      </c>
    </row>
    <row r="2479" spans="1:8">
      <c r="A2479" t="s">
        <v>5439</v>
      </c>
      <c r="B2479" s="24">
        <v>46183</v>
      </c>
      <c r="C2479" s="27" t="s">
        <v>5797</v>
      </c>
      <c r="D2479" s="27" t="s">
        <v>3230</v>
      </c>
      <c r="E2479" t="s">
        <v>2894</v>
      </c>
      <c r="F2479" t="s">
        <v>104</v>
      </c>
      <c r="G2479" t="s">
        <v>105</v>
      </c>
      <c r="H2479">
        <v>0</v>
      </c>
    </row>
    <row r="2480" spans="1:8">
      <c r="A2480" t="s">
        <v>5440</v>
      </c>
      <c r="B2480" s="24">
        <v>46184</v>
      </c>
      <c r="C2480" s="27" t="s">
        <v>5797</v>
      </c>
      <c r="D2480" s="27" t="s">
        <v>3230</v>
      </c>
      <c r="E2480" t="s">
        <v>2895</v>
      </c>
      <c r="F2480" t="s">
        <v>104</v>
      </c>
      <c r="G2480" t="s">
        <v>105</v>
      </c>
      <c r="H2480">
        <v>0</v>
      </c>
    </row>
    <row r="2481" spans="1:8">
      <c r="A2481" t="s">
        <v>5441</v>
      </c>
      <c r="B2481" s="24">
        <v>46185</v>
      </c>
      <c r="C2481" s="27" t="s">
        <v>5797</v>
      </c>
      <c r="D2481" s="27" t="s">
        <v>3230</v>
      </c>
      <c r="E2481" t="s">
        <v>2896</v>
      </c>
      <c r="F2481" t="s">
        <v>104</v>
      </c>
      <c r="G2481" t="s">
        <v>105</v>
      </c>
      <c r="H2481">
        <v>0</v>
      </c>
    </row>
    <row r="2482" spans="1:8">
      <c r="A2482" t="s">
        <v>5442</v>
      </c>
      <c r="B2482" s="24">
        <v>46174</v>
      </c>
      <c r="C2482" s="27" t="s">
        <v>5797</v>
      </c>
      <c r="D2482" s="27" t="s">
        <v>3230</v>
      </c>
      <c r="E2482" t="s">
        <v>2897</v>
      </c>
      <c r="F2482" t="s">
        <v>104</v>
      </c>
      <c r="G2482" t="s">
        <v>105</v>
      </c>
      <c r="H2482">
        <v>0</v>
      </c>
    </row>
    <row r="2483" spans="1:8">
      <c r="A2483" t="s">
        <v>5443</v>
      </c>
      <c r="B2483" s="24">
        <v>46175</v>
      </c>
      <c r="C2483" s="27" t="s">
        <v>5797</v>
      </c>
      <c r="D2483" s="27" t="s">
        <v>3230</v>
      </c>
      <c r="E2483" t="s">
        <v>2898</v>
      </c>
      <c r="F2483" t="s">
        <v>104</v>
      </c>
      <c r="G2483" t="s">
        <v>105</v>
      </c>
      <c r="H2483">
        <v>0</v>
      </c>
    </row>
    <row r="2484" spans="1:8">
      <c r="A2484" t="s">
        <v>5444</v>
      </c>
      <c r="B2484" s="24">
        <v>46176</v>
      </c>
      <c r="C2484" s="27" t="s">
        <v>5797</v>
      </c>
      <c r="D2484" s="27" t="s">
        <v>3230</v>
      </c>
      <c r="E2484" t="s">
        <v>2899</v>
      </c>
      <c r="F2484" t="s">
        <v>104</v>
      </c>
      <c r="G2484" t="s">
        <v>105</v>
      </c>
      <c r="H2484">
        <v>0</v>
      </c>
    </row>
    <row r="2485" spans="1:8">
      <c r="A2485" t="s">
        <v>5445</v>
      </c>
      <c r="B2485" s="24">
        <v>46177</v>
      </c>
      <c r="C2485" s="27" t="s">
        <v>5797</v>
      </c>
      <c r="D2485" s="27" t="s">
        <v>3230</v>
      </c>
      <c r="E2485" t="s">
        <v>2900</v>
      </c>
      <c r="F2485" t="s">
        <v>104</v>
      </c>
      <c r="G2485" t="s">
        <v>105</v>
      </c>
      <c r="H2485">
        <v>0</v>
      </c>
    </row>
    <row r="2486" spans="1:8">
      <c r="A2486" t="s">
        <v>5446</v>
      </c>
      <c r="B2486" s="24">
        <v>46178</v>
      </c>
      <c r="C2486" s="27" t="s">
        <v>5797</v>
      </c>
      <c r="D2486" s="27" t="s">
        <v>3230</v>
      </c>
      <c r="E2486" t="s">
        <v>2901</v>
      </c>
      <c r="F2486" t="s">
        <v>104</v>
      </c>
      <c r="G2486" t="s">
        <v>105</v>
      </c>
      <c r="H2486">
        <v>0</v>
      </c>
    </row>
    <row r="2487" spans="1:8">
      <c r="A2487" t="s">
        <v>5447</v>
      </c>
      <c r="B2487" s="24">
        <v>46181</v>
      </c>
      <c r="C2487" s="27" t="s">
        <v>5797</v>
      </c>
      <c r="D2487" s="27" t="s">
        <v>3230</v>
      </c>
      <c r="E2487" t="s">
        <v>2902</v>
      </c>
      <c r="F2487" t="s">
        <v>104</v>
      </c>
      <c r="G2487" t="s">
        <v>105</v>
      </c>
      <c r="H2487">
        <v>0</v>
      </c>
    </row>
    <row r="2488" spans="1:8">
      <c r="A2488" t="s">
        <v>5448</v>
      </c>
      <c r="B2488" s="24">
        <v>46182</v>
      </c>
      <c r="C2488" s="27" t="s">
        <v>5797</v>
      </c>
      <c r="D2488" s="27" t="s">
        <v>3230</v>
      </c>
      <c r="E2488" t="s">
        <v>2903</v>
      </c>
      <c r="F2488" t="s">
        <v>104</v>
      </c>
      <c r="G2488" t="s">
        <v>105</v>
      </c>
      <c r="H2488">
        <v>0</v>
      </c>
    </row>
    <row r="2489" spans="1:8">
      <c r="A2489" t="s">
        <v>5449</v>
      </c>
      <c r="B2489" s="24">
        <v>46183</v>
      </c>
      <c r="C2489" s="27" t="s">
        <v>5797</v>
      </c>
      <c r="D2489" s="27" t="s">
        <v>3230</v>
      </c>
      <c r="E2489" t="s">
        <v>2904</v>
      </c>
      <c r="F2489" t="s">
        <v>104</v>
      </c>
      <c r="G2489" t="s">
        <v>105</v>
      </c>
      <c r="H2489">
        <v>0</v>
      </c>
    </row>
    <row r="2490" spans="1:8">
      <c r="A2490" t="s">
        <v>5450</v>
      </c>
      <c r="B2490" s="24">
        <v>46184</v>
      </c>
      <c r="C2490" s="27" t="s">
        <v>5797</v>
      </c>
      <c r="D2490" s="27" t="s">
        <v>3230</v>
      </c>
      <c r="E2490" t="s">
        <v>2905</v>
      </c>
      <c r="F2490" t="s">
        <v>104</v>
      </c>
      <c r="G2490" t="s">
        <v>105</v>
      </c>
      <c r="H2490">
        <v>0</v>
      </c>
    </row>
    <row r="2491" spans="1:8">
      <c r="A2491" t="s">
        <v>5451</v>
      </c>
      <c r="B2491" s="24">
        <v>46185</v>
      </c>
      <c r="C2491" s="27" t="s">
        <v>5797</v>
      </c>
      <c r="D2491" s="27" t="s">
        <v>3230</v>
      </c>
      <c r="E2491" t="s">
        <v>2906</v>
      </c>
      <c r="F2491" t="s">
        <v>104</v>
      </c>
      <c r="G2491" t="s">
        <v>105</v>
      </c>
      <c r="H2491">
        <v>0</v>
      </c>
    </row>
    <row r="2492" spans="1:8">
      <c r="A2492" t="s">
        <v>5452</v>
      </c>
      <c r="B2492" s="24">
        <v>46174</v>
      </c>
      <c r="C2492" s="27" t="s">
        <v>5797</v>
      </c>
      <c r="D2492" s="27" t="s">
        <v>3230</v>
      </c>
      <c r="E2492" t="s">
        <v>2907</v>
      </c>
      <c r="F2492" t="s">
        <v>104</v>
      </c>
      <c r="G2492" t="s">
        <v>105</v>
      </c>
      <c r="H2492">
        <v>0</v>
      </c>
    </row>
    <row r="2493" spans="1:8">
      <c r="A2493" t="s">
        <v>5453</v>
      </c>
      <c r="B2493" s="24">
        <v>46175</v>
      </c>
      <c r="C2493" s="27" t="s">
        <v>5797</v>
      </c>
      <c r="D2493" s="27" t="s">
        <v>3230</v>
      </c>
      <c r="E2493" t="s">
        <v>2908</v>
      </c>
      <c r="F2493" t="s">
        <v>104</v>
      </c>
      <c r="G2493" t="s">
        <v>105</v>
      </c>
      <c r="H2493">
        <v>0</v>
      </c>
    </row>
    <row r="2494" spans="1:8">
      <c r="A2494" t="s">
        <v>5454</v>
      </c>
      <c r="B2494" s="24">
        <v>46176</v>
      </c>
      <c r="C2494" s="27" t="s">
        <v>5797</v>
      </c>
      <c r="D2494" s="27" t="s">
        <v>3230</v>
      </c>
      <c r="E2494" t="s">
        <v>2909</v>
      </c>
      <c r="F2494" t="s">
        <v>104</v>
      </c>
      <c r="G2494" t="s">
        <v>105</v>
      </c>
      <c r="H2494">
        <v>0</v>
      </c>
    </row>
    <row r="2495" spans="1:8">
      <c r="A2495" t="s">
        <v>5455</v>
      </c>
      <c r="B2495" s="24">
        <v>46177</v>
      </c>
      <c r="C2495" s="27" t="s">
        <v>5797</v>
      </c>
      <c r="D2495" s="27" t="s">
        <v>3230</v>
      </c>
      <c r="E2495" t="s">
        <v>2910</v>
      </c>
      <c r="F2495" t="s">
        <v>104</v>
      </c>
      <c r="G2495" t="s">
        <v>105</v>
      </c>
      <c r="H2495">
        <v>0</v>
      </c>
    </row>
    <row r="2496" spans="1:8">
      <c r="A2496" t="s">
        <v>5456</v>
      </c>
      <c r="B2496" s="24">
        <v>46178</v>
      </c>
      <c r="C2496" s="27" t="s">
        <v>5797</v>
      </c>
      <c r="D2496" s="27" t="s">
        <v>3230</v>
      </c>
      <c r="E2496" t="s">
        <v>2911</v>
      </c>
      <c r="F2496" t="s">
        <v>104</v>
      </c>
      <c r="G2496" t="s">
        <v>105</v>
      </c>
      <c r="H2496">
        <v>0</v>
      </c>
    </row>
    <row r="2497" spans="1:8">
      <c r="A2497" t="s">
        <v>5457</v>
      </c>
      <c r="B2497" s="24">
        <v>46181</v>
      </c>
      <c r="C2497" s="27" t="s">
        <v>5797</v>
      </c>
      <c r="D2497" s="27" t="s">
        <v>3230</v>
      </c>
      <c r="E2497" t="s">
        <v>2912</v>
      </c>
      <c r="F2497" t="s">
        <v>104</v>
      </c>
      <c r="G2497" t="s">
        <v>105</v>
      </c>
      <c r="H2497">
        <v>0</v>
      </c>
    </row>
    <row r="2498" spans="1:8">
      <c r="A2498" t="s">
        <v>5458</v>
      </c>
      <c r="B2498" s="24">
        <v>46182</v>
      </c>
      <c r="C2498" s="27" t="s">
        <v>5797</v>
      </c>
      <c r="D2498" s="27" t="s">
        <v>3230</v>
      </c>
      <c r="E2498" t="s">
        <v>2913</v>
      </c>
      <c r="F2498" t="s">
        <v>104</v>
      </c>
      <c r="G2498" t="s">
        <v>105</v>
      </c>
      <c r="H2498">
        <v>0</v>
      </c>
    </row>
    <row r="2499" spans="1:8">
      <c r="A2499" t="s">
        <v>5459</v>
      </c>
      <c r="B2499" s="24">
        <v>46183</v>
      </c>
      <c r="C2499" s="27" t="s">
        <v>5797</v>
      </c>
      <c r="D2499" s="27" t="s">
        <v>3230</v>
      </c>
      <c r="E2499" t="s">
        <v>2914</v>
      </c>
      <c r="F2499" t="s">
        <v>104</v>
      </c>
      <c r="G2499" t="s">
        <v>105</v>
      </c>
      <c r="H2499">
        <v>0</v>
      </c>
    </row>
    <row r="2500" spans="1:8">
      <c r="A2500" t="s">
        <v>5460</v>
      </c>
      <c r="B2500" s="24">
        <v>46184</v>
      </c>
      <c r="C2500" s="27" t="s">
        <v>5797</v>
      </c>
      <c r="D2500" s="27" t="s">
        <v>3230</v>
      </c>
      <c r="E2500" t="s">
        <v>2915</v>
      </c>
      <c r="F2500" t="s">
        <v>104</v>
      </c>
      <c r="G2500" t="s">
        <v>105</v>
      </c>
      <c r="H2500">
        <v>0</v>
      </c>
    </row>
    <row r="2501" spans="1:8">
      <c r="A2501" t="s">
        <v>5461</v>
      </c>
      <c r="B2501" s="24">
        <v>46185</v>
      </c>
      <c r="C2501" s="27" t="s">
        <v>5797</v>
      </c>
      <c r="D2501" s="27" t="s">
        <v>3230</v>
      </c>
      <c r="E2501" t="s">
        <v>2916</v>
      </c>
      <c r="F2501" t="s">
        <v>104</v>
      </c>
      <c r="G2501" t="s">
        <v>105</v>
      </c>
      <c r="H2501">
        <v>0</v>
      </c>
    </row>
    <row r="2502" spans="1:8">
      <c r="A2502" t="s">
        <v>5462</v>
      </c>
      <c r="B2502" s="24">
        <v>46174</v>
      </c>
      <c r="C2502" s="27" t="s">
        <v>5797</v>
      </c>
      <c r="D2502" s="27" t="s">
        <v>3230</v>
      </c>
      <c r="E2502" t="s">
        <v>2917</v>
      </c>
      <c r="F2502" t="s">
        <v>104</v>
      </c>
      <c r="G2502" t="s">
        <v>105</v>
      </c>
      <c r="H2502">
        <v>0</v>
      </c>
    </row>
    <row r="2503" spans="1:8">
      <c r="A2503" t="s">
        <v>5463</v>
      </c>
      <c r="B2503" s="24">
        <v>46175</v>
      </c>
      <c r="C2503" s="27" t="s">
        <v>5797</v>
      </c>
      <c r="D2503" s="27" t="s">
        <v>3230</v>
      </c>
      <c r="E2503" t="s">
        <v>2918</v>
      </c>
      <c r="F2503" t="s">
        <v>104</v>
      </c>
      <c r="G2503" t="s">
        <v>105</v>
      </c>
      <c r="H2503">
        <v>0</v>
      </c>
    </row>
    <row r="2504" spans="1:8">
      <c r="A2504" t="s">
        <v>5464</v>
      </c>
      <c r="B2504" s="24">
        <v>46176</v>
      </c>
      <c r="C2504" s="27" t="s">
        <v>5797</v>
      </c>
      <c r="D2504" s="27" t="s">
        <v>3230</v>
      </c>
      <c r="E2504" t="s">
        <v>2919</v>
      </c>
      <c r="F2504" t="s">
        <v>104</v>
      </c>
      <c r="G2504" t="s">
        <v>105</v>
      </c>
      <c r="H2504">
        <v>0</v>
      </c>
    </row>
    <row r="2505" spans="1:8">
      <c r="A2505" t="s">
        <v>5465</v>
      </c>
      <c r="B2505" s="24">
        <v>46177</v>
      </c>
      <c r="C2505" s="27" t="s">
        <v>5797</v>
      </c>
      <c r="D2505" s="27" t="s">
        <v>3230</v>
      </c>
      <c r="E2505" t="s">
        <v>2920</v>
      </c>
      <c r="F2505" t="s">
        <v>104</v>
      </c>
      <c r="G2505" t="s">
        <v>105</v>
      </c>
      <c r="H2505">
        <v>0</v>
      </c>
    </row>
    <row r="2506" spans="1:8">
      <c r="A2506" t="s">
        <v>5466</v>
      </c>
      <c r="B2506" s="24">
        <v>46178</v>
      </c>
      <c r="C2506" s="27" t="s">
        <v>5797</v>
      </c>
      <c r="D2506" s="27" t="s">
        <v>3230</v>
      </c>
      <c r="E2506" t="s">
        <v>2921</v>
      </c>
      <c r="F2506" t="s">
        <v>104</v>
      </c>
      <c r="G2506" t="s">
        <v>105</v>
      </c>
      <c r="H2506">
        <v>0</v>
      </c>
    </row>
    <row r="2507" spans="1:8">
      <c r="A2507" t="s">
        <v>5467</v>
      </c>
      <c r="B2507" s="24">
        <v>46181</v>
      </c>
      <c r="C2507" s="27" t="s">
        <v>5797</v>
      </c>
      <c r="D2507" s="27" t="s">
        <v>3230</v>
      </c>
      <c r="E2507" t="s">
        <v>2922</v>
      </c>
      <c r="F2507" t="s">
        <v>104</v>
      </c>
      <c r="G2507" t="s">
        <v>105</v>
      </c>
      <c r="H2507">
        <v>0</v>
      </c>
    </row>
    <row r="2508" spans="1:8">
      <c r="A2508" t="s">
        <v>5468</v>
      </c>
      <c r="B2508" s="24">
        <v>46182</v>
      </c>
      <c r="C2508" s="27" t="s">
        <v>5797</v>
      </c>
      <c r="D2508" s="27" t="s">
        <v>3230</v>
      </c>
      <c r="E2508" t="s">
        <v>2923</v>
      </c>
      <c r="F2508" t="s">
        <v>104</v>
      </c>
      <c r="G2508" t="s">
        <v>105</v>
      </c>
      <c r="H2508">
        <v>0</v>
      </c>
    </row>
    <row r="2509" spans="1:8">
      <c r="A2509" t="s">
        <v>5469</v>
      </c>
      <c r="B2509" s="24">
        <v>46183</v>
      </c>
      <c r="C2509" s="27" t="s">
        <v>5797</v>
      </c>
      <c r="D2509" s="27" t="s">
        <v>3230</v>
      </c>
      <c r="E2509" t="s">
        <v>2924</v>
      </c>
      <c r="F2509" t="s">
        <v>104</v>
      </c>
      <c r="G2509" t="s">
        <v>105</v>
      </c>
      <c r="H2509">
        <v>0</v>
      </c>
    </row>
    <row r="2510" spans="1:8">
      <c r="A2510" t="s">
        <v>5470</v>
      </c>
      <c r="B2510" s="24">
        <v>46184</v>
      </c>
      <c r="C2510" s="27" t="s">
        <v>5797</v>
      </c>
      <c r="D2510" s="27" t="s">
        <v>3230</v>
      </c>
      <c r="E2510" t="s">
        <v>2925</v>
      </c>
      <c r="F2510" t="s">
        <v>104</v>
      </c>
      <c r="H2510" t="s">
        <v>5762</v>
      </c>
    </row>
    <row r="2511" spans="1:8">
      <c r="A2511" t="s">
        <v>5471</v>
      </c>
      <c r="B2511" s="24">
        <v>46185</v>
      </c>
      <c r="C2511" s="27" t="s">
        <v>5797</v>
      </c>
      <c r="D2511" s="27" t="s">
        <v>3230</v>
      </c>
      <c r="E2511" t="s">
        <v>2926</v>
      </c>
      <c r="F2511" t="s">
        <v>104</v>
      </c>
      <c r="H2511" t="s">
        <v>5762</v>
      </c>
    </row>
    <row r="2512" spans="1:8">
      <c r="A2512" t="s">
        <v>5472</v>
      </c>
      <c r="B2512" s="24">
        <v>46174</v>
      </c>
      <c r="C2512" s="27" t="s">
        <v>5797</v>
      </c>
      <c r="D2512" s="27" t="s">
        <v>3230</v>
      </c>
      <c r="E2512" t="s">
        <v>2927</v>
      </c>
      <c r="F2512" t="s">
        <v>104</v>
      </c>
      <c r="H2512" t="s">
        <v>5762</v>
      </c>
    </row>
    <row r="2513" spans="1:8">
      <c r="A2513" t="s">
        <v>5473</v>
      </c>
      <c r="B2513" s="24">
        <v>46175</v>
      </c>
      <c r="C2513" s="27" t="s">
        <v>5797</v>
      </c>
      <c r="D2513" s="27" t="s">
        <v>3230</v>
      </c>
      <c r="E2513" t="s">
        <v>2928</v>
      </c>
      <c r="F2513" t="s">
        <v>104</v>
      </c>
      <c r="H2513" t="s">
        <v>5762</v>
      </c>
    </row>
    <row r="2514" spans="1:8">
      <c r="A2514" t="s">
        <v>5474</v>
      </c>
      <c r="B2514" s="24">
        <v>46176</v>
      </c>
      <c r="C2514" s="27" t="s">
        <v>5797</v>
      </c>
      <c r="D2514" s="27" t="s">
        <v>3230</v>
      </c>
      <c r="E2514" t="s">
        <v>2929</v>
      </c>
      <c r="F2514" t="s">
        <v>104</v>
      </c>
      <c r="H2514" t="s">
        <v>5762</v>
      </c>
    </row>
    <row r="2515" spans="1:8">
      <c r="A2515" t="s">
        <v>5475</v>
      </c>
      <c r="B2515" s="24">
        <v>46177</v>
      </c>
      <c r="C2515" s="27" t="s">
        <v>5797</v>
      </c>
      <c r="D2515" s="27" t="s">
        <v>3230</v>
      </c>
      <c r="E2515" t="s">
        <v>2930</v>
      </c>
      <c r="F2515" t="s">
        <v>104</v>
      </c>
      <c r="H2515" t="s">
        <v>5762</v>
      </c>
    </row>
    <row r="2516" spans="1:8">
      <c r="A2516" t="s">
        <v>5476</v>
      </c>
      <c r="B2516" s="24">
        <v>46178</v>
      </c>
      <c r="C2516" s="27" t="s">
        <v>5797</v>
      </c>
      <c r="D2516" s="27" t="s">
        <v>3230</v>
      </c>
      <c r="E2516" t="s">
        <v>2931</v>
      </c>
      <c r="F2516" t="s">
        <v>104</v>
      </c>
      <c r="H2516" t="s">
        <v>5762</v>
      </c>
    </row>
    <row r="2517" spans="1:8">
      <c r="A2517" t="s">
        <v>5477</v>
      </c>
      <c r="B2517" s="24">
        <v>46181</v>
      </c>
      <c r="C2517" s="27" t="s">
        <v>5797</v>
      </c>
      <c r="D2517" s="27" t="s">
        <v>3230</v>
      </c>
      <c r="E2517" t="s">
        <v>2932</v>
      </c>
      <c r="F2517" t="s">
        <v>104</v>
      </c>
      <c r="H2517" t="s">
        <v>5762</v>
      </c>
    </row>
    <row r="2518" spans="1:8">
      <c r="A2518" t="s">
        <v>5478</v>
      </c>
      <c r="B2518" s="24">
        <v>46182</v>
      </c>
      <c r="C2518" s="27" t="s">
        <v>5797</v>
      </c>
      <c r="D2518" s="27" t="s">
        <v>3230</v>
      </c>
      <c r="E2518" t="s">
        <v>2933</v>
      </c>
      <c r="F2518" t="s">
        <v>104</v>
      </c>
      <c r="H2518" t="s">
        <v>5762</v>
      </c>
    </row>
    <row r="2519" spans="1:8">
      <c r="A2519" t="s">
        <v>5479</v>
      </c>
      <c r="B2519" s="24">
        <v>46183</v>
      </c>
      <c r="C2519" s="27" t="s">
        <v>5797</v>
      </c>
      <c r="D2519" s="27" t="s">
        <v>3230</v>
      </c>
      <c r="E2519" t="s">
        <v>2934</v>
      </c>
      <c r="F2519" t="s">
        <v>104</v>
      </c>
      <c r="H2519" t="s">
        <v>5762</v>
      </c>
    </row>
    <row r="2520" spans="1:8">
      <c r="A2520" t="s">
        <v>5480</v>
      </c>
      <c r="B2520" s="24">
        <v>46184</v>
      </c>
      <c r="C2520" s="27" t="s">
        <v>5797</v>
      </c>
      <c r="D2520" s="27" t="s">
        <v>3230</v>
      </c>
      <c r="E2520" t="s">
        <v>2935</v>
      </c>
      <c r="F2520" t="s">
        <v>104</v>
      </c>
      <c r="H2520" t="s">
        <v>5762</v>
      </c>
    </row>
    <row r="2521" spans="1:8">
      <c r="A2521" t="s">
        <v>5481</v>
      </c>
      <c r="B2521" s="24">
        <v>46185</v>
      </c>
      <c r="C2521" s="27" t="s">
        <v>5797</v>
      </c>
      <c r="D2521" s="27" t="s">
        <v>3230</v>
      </c>
      <c r="E2521" t="s">
        <v>2936</v>
      </c>
      <c r="F2521" t="s">
        <v>104</v>
      </c>
      <c r="H2521" t="s">
        <v>5762</v>
      </c>
    </row>
    <row r="2522" spans="1:8">
      <c r="A2522" t="s">
        <v>5482</v>
      </c>
      <c r="B2522" s="24">
        <v>46174</v>
      </c>
      <c r="C2522" s="27" t="s">
        <v>5797</v>
      </c>
      <c r="D2522" s="27" t="s">
        <v>3230</v>
      </c>
      <c r="E2522" t="s">
        <v>2937</v>
      </c>
      <c r="F2522" t="s">
        <v>104</v>
      </c>
      <c r="H2522" t="s">
        <v>5762</v>
      </c>
    </row>
    <row r="2523" spans="1:8">
      <c r="A2523" t="s">
        <v>5483</v>
      </c>
      <c r="B2523" s="24">
        <v>46175</v>
      </c>
      <c r="C2523" s="27" t="s">
        <v>5797</v>
      </c>
      <c r="D2523" s="27" t="s">
        <v>3230</v>
      </c>
      <c r="E2523" t="s">
        <v>2938</v>
      </c>
      <c r="F2523" t="s">
        <v>104</v>
      </c>
      <c r="H2523" t="s">
        <v>5762</v>
      </c>
    </row>
    <row r="2524" spans="1:8">
      <c r="A2524" t="s">
        <v>5484</v>
      </c>
      <c r="B2524" s="24">
        <v>46176</v>
      </c>
      <c r="C2524" s="27" t="s">
        <v>5797</v>
      </c>
      <c r="D2524" s="27" t="s">
        <v>3230</v>
      </c>
      <c r="E2524" t="s">
        <v>2939</v>
      </c>
      <c r="F2524" t="s">
        <v>104</v>
      </c>
      <c r="H2524" t="s">
        <v>5762</v>
      </c>
    </row>
    <row r="2525" spans="1:8">
      <c r="A2525" t="s">
        <v>5485</v>
      </c>
      <c r="B2525" s="24">
        <v>46177</v>
      </c>
      <c r="C2525" s="27" t="s">
        <v>5797</v>
      </c>
      <c r="D2525" s="27" t="s">
        <v>3230</v>
      </c>
      <c r="E2525" t="s">
        <v>2940</v>
      </c>
      <c r="F2525" t="s">
        <v>104</v>
      </c>
      <c r="H2525" t="s">
        <v>5762</v>
      </c>
    </row>
    <row r="2526" spans="1:8">
      <c r="A2526" t="s">
        <v>5486</v>
      </c>
      <c r="B2526" s="24">
        <v>46178</v>
      </c>
      <c r="C2526" s="27" t="s">
        <v>5797</v>
      </c>
      <c r="D2526" s="27" t="s">
        <v>3230</v>
      </c>
      <c r="E2526" t="s">
        <v>2941</v>
      </c>
      <c r="F2526" t="s">
        <v>104</v>
      </c>
      <c r="H2526" t="s">
        <v>5762</v>
      </c>
    </row>
    <row r="2527" spans="1:8">
      <c r="A2527" t="s">
        <v>5487</v>
      </c>
      <c r="B2527" s="24">
        <v>46181</v>
      </c>
      <c r="C2527" s="27" t="s">
        <v>5797</v>
      </c>
      <c r="D2527" s="27" t="s">
        <v>3230</v>
      </c>
      <c r="E2527" t="s">
        <v>2942</v>
      </c>
      <c r="F2527" t="s">
        <v>104</v>
      </c>
      <c r="H2527" t="s">
        <v>5762</v>
      </c>
    </row>
    <row r="2528" spans="1:8">
      <c r="A2528" t="s">
        <v>5488</v>
      </c>
      <c r="B2528" s="24">
        <v>46182</v>
      </c>
      <c r="C2528" s="27" t="s">
        <v>5797</v>
      </c>
      <c r="D2528" s="27" t="s">
        <v>3230</v>
      </c>
      <c r="E2528" t="s">
        <v>2943</v>
      </c>
      <c r="F2528" t="s">
        <v>104</v>
      </c>
      <c r="H2528" t="s">
        <v>5762</v>
      </c>
    </row>
    <row r="2529" spans="1:8">
      <c r="A2529" t="s">
        <v>5489</v>
      </c>
      <c r="B2529" s="24">
        <v>46183</v>
      </c>
      <c r="C2529" s="27" t="s">
        <v>5797</v>
      </c>
      <c r="D2529" s="27" t="s">
        <v>3230</v>
      </c>
      <c r="E2529" t="s">
        <v>2944</v>
      </c>
      <c r="F2529" t="s">
        <v>104</v>
      </c>
      <c r="H2529" t="s">
        <v>5762</v>
      </c>
    </row>
    <row r="2530" spans="1:8">
      <c r="A2530" t="s">
        <v>5490</v>
      </c>
      <c r="B2530" s="24">
        <v>46184</v>
      </c>
      <c r="C2530" s="27" t="s">
        <v>5797</v>
      </c>
      <c r="D2530" s="27" t="s">
        <v>3230</v>
      </c>
      <c r="E2530" t="s">
        <v>2945</v>
      </c>
      <c r="F2530" t="s">
        <v>104</v>
      </c>
      <c r="H2530" t="s">
        <v>5762</v>
      </c>
    </row>
    <row r="2531" spans="1:8">
      <c r="A2531" t="s">
        <v>5491</v>
      </c>
      <c r="B2531" s="24">
        <v>46185</v>
      </c>
      <c r="C2531" s="27" t="s">
        <v>5797</v>
      </c>
      <c r="D2531" s="27" t="s">
        <v>3230</v>
      </c>
      <c r="E2531" t="s">
        <v>2946</v>
      </c>
      <c r="F2531" t="s">
        <v>104</v>
      </c>
      <c r="H2531" t="s">
        <v>5762</v>
      </c>
    </row>
    <row r="2532" spans="1:8">
      <c r="A2532" t="s">
        <v>5492</v>
      </c>
      <c r="B2532" s="24">
        <v>46174</v>
      </c>
      <c r="C2532" s="27" t="s">
        <v>5797</v>
      </c>
      <c r="D2532" s="27" t="s">
        <v>3230</v>
      </c>
      <c r="E2532" t="s">
        <v>2947</v>
      </c>
      <c r="F2532" t="s">
        <v>104</v>
      </c>
      <c r="H2532" t="s">
        <v>5762</v>
      </c>
    </row>
    <row r="2533" spans="1:8">
      <c r="A2533" t="s">
        <v>5493</v>
      </c>
      <c r="B2533" s="24">
        <v>46175</v>
      </c>
      <c r="C2533" s="27" t="s">
        <v>5797</v>
      </c>
      <c r="D2533" s="27" t="s">
        <v>3230</v>
      </c>
      <c r="E2533" t="s">
        <v>2948</v>
      </c>
      <c r="F2533" t="s">
        <v>104</v>
      </c>
      <c r="H2533" t="s">
        <v>5762</v>
      </c>
    </row>
    <row r="2534" spans="1:8">
      <c r="A2534" t="s">
        <v>5494</v>
      </c>
      <c r="B2534" s="24">
        <v>46176</v>
      </c>
      <c r="C2534" s="27" t="s">
        <v>5797</v>
      </c>
      <c r="D2534" s="27" t="s">
        <v>3230</v>
      </c>
      <c r="E2534" t="s">
        <v>2949</v>
      </c>
      <c r="F2534" t="s">
        <v>104</v>
      </c>
      <c r="H2534" t="s">
        <v>5762</v>
      </c>
    </row>
    <row r="2535" spans="1:8">
      <c r="A2535" t="s">
        <v>5495</v>
      </c>
      <c r="B2535" s="24">
        <v>46177</v>
      </c>
      <c r="C2535" s="27" t="s">
        <v>5797</v>
      </c>
      <c r="D2535" s="27" t="s">
        <v>3230</v>
      </c>
      <c r="E2535" t="s">
        <v>2950</v>
      </c>
      <c r="F2535" t="s">
        <v>104</v>
      </c>
      <c r="H2535" t="s">
        <v>5762</v>
      </c>
    </row>
    <row r="2536" spans="1:8">
      <c r="A2536" t="s">
        <v>5496</v>
      </c>
      <c r="B2536" s="24">
        <v>46178</v>
      </c>
      <c r="C2536" s="27" t="s">
        <v>5797</v>
      </c>
      <c r="D2536" s="27" t="s">
        <v>3230</v>
      </c>
      <c r="E2536" t="s">
        <v>2951</v>
      </c>
      <c r="F2536" t="s">
        <v>104</v>
      </c>
      <c r="H2536" t="s">
        <v>5762</v>
      </c>
    </row>
    <row r="2537" spans="1:8">
      <c r="A2537" t="s">
        <v>5497</v>
      </c>
      <c r="B2537" s="24">
        <v>46181</v>
      </c>
      <c r="C2537" s="27" t="s">
        <v>5797</v>
      </c>
      <c r="D2537" s="27" t="s">
        <v>3230</v>
      </c>
      <c r="E2537" t="s">
        <v>2952</v>
      </c>
      <c r="F2537" t="s">
        <v>104</v>
      </c>
      <c r="H2537" t="s">
        <v>5762</v>
      </c>
    </row>
    <row r="2538" spans="1:8">
      <c r="A2538" t="s">
        <v>5498</v>
      </c>
      <c r="B2538" s="24">
        <v>46182</v>
      </c>
      <c r="C2538" s="27" t="s">
        <v>5797</v>
      </c>
      <c r="D2538" s="27" t="s">
        <v>3230</v>
      </c>
      <c r="E2538" t="s">
        <v>2953</v>
      </c>
      <c r="F2538" t="s">
        <v>104</v>
      </c>
      <c r="H2538" t="s">
        <v>5762</v>
      </c>
    </row>
    <row r="2539" spans="1:8">
      <c r="A2539" t="s">
        <v>5499</v>
      </c>
      <c r="B2539" s="24">
        <v>46183</v>
      </c>
      <c r="C2539" s="27" t="s">
        <v>5797</v>
      </c>
      <c r="D2539" s="27" t="s">
        <v>3230</v>
      </c>
      <c r="E2539" t="s">
        <v>2954</v>
      </c>
      <c r="F2539" t="s">
        <v>104</v>
      </c>
      <c r="H2539" t="s">
        <v>5762</v>
      </c>
    </row>
    <row r="2540" spans="1:8">
      <c r="A2540" t="s">
        <v>5500</v>
      </c>
      <c r="B2540" s="24">
        <v>46184</v>
      </c>
      <c r="C2540" s="27" t="s">
        <v>5797</v>
      </c>
      <c r="D2540" s="27" t="s">
        <v>3230</v>
      </c>
      <c r="E2540" t="s">
        <v>2955</v>
      </c>
      <c r="F2540" t="s">
        <v>104</v>
      </c>
      <c r="H2540" t="s">
        <v>5762</v>
      </c>
    </row>
    <row r="2541" spans="1:8">
      <c r="A2541" t="s">
        <v>5501</v>
      </c>
      <c r="B2541" s="24">
        <v>46185</v>
      </c>
      <c r="C2541" s="27" t="s">
        <v>5797</v>
      </c>
      <c r="D2541" s="27" t="s">
        <v>3230</v>
      </c>
      <c r="E2541" t="s">
        <v>2956</v>
      </c>
      <c r="F2541" t="s">
        <v>104</v>
      </c>
      <c r="H2541" t="s">
        <v>5762</v>
      </c>
    </row>
    <row r="2542" spans="1:8">
      <c r="A2542" t="s">
        <v>5502</v>
      </c>
      <c r="B2542" s="24">
        <v>46174</v>
      </c>
      <c r="C2542" s="27" t="s">
        <v>5797</v>
      </c>
      <c r="D2542" s="27" t="s">
        <v>3230</v>
      </c>
      <c r="E2542" t="s">
        <v>2957</v>
      </c>
      <c r="F2542" t="s">
        <v>104</v>
      </c>
      <c r="H2542" t="s">
        <v>5762</v>
      </c>
    </row>
    <row r="2543" spans="1:8">
      <c r="A2543" t="s">
        <v>5503</v>
      </c>
      <c r="B2543" s="24">
        <v>46175</v>
      </c>
      <c r="C2543" s="27" t="s">
        <v>5797</v>
      </c>
      <c r="D2543" s="27" t="s">
        <v>3230</v>
      </c>
      <c r="E2543" t="s">
        <v>2958</v>
      </c>
      <c r="F2543" t="s">
        <v>104</v>
      </c>
      <c r="H2543" t="s">
        <v>5762</v>
      </c>
    </row>
    <row r="2544" spans="1:8">
      <c r="A2544" t="s">
        <v>5504</v>
      </c>
      <c r="B2544" s="24">
        <v>46176</v>
      </c>
      <c r="C2544" s="27" t="s">
        <v>5797</v>
      </c>
      <c r="D2544" s="27" t="s">
        <v>3230</v>
      </c>
      <c r="E2544" t="s">
        <v>2959</v>
      </c>
      <c r="F2544" t="s">
        <v>104</v>
      </c>
      <c r="H2544" t="s">
        <v>5762</v>
      </c>
    </row>
    <row r="2545" spans="1:8">
      <c r="A2545" t="s">
        <v>5505</v>
      </c>
      <c r="B2545" s="24">
        <v>46177</v>
      </c>
      <c r="C2545" s="27" t="s">
        <v>5797</v>
      </c>
      <c r="D2545" s="27" t="s">
        <v>3230</v>
      </c>
      <c r="E2545" t="s">
        <v>2960</v>
      </c>
      <c r="F2545" t="s">
        <v>104</v>
      </c>
      <c r="H2545" t="s">
        <v>5762</v>
      </c>
    </row>
    <row r="2546" spans="1:8">
      <c r="A2546" t="s">
        <v>5506</v>
      </c>
      <c r="B2546" s="24">
        <v>46178</v>
      </c>
      <c r="C2546" s="27" t="s">
        <v>5797</v>
      </c>
      <c r="D2546" s="27" t="s">
        <v>3230</v>
      </c>
      <c r="E2546" t="s">
        <v>2961</v>
      </c>
      <c r="F2546" t="s">
        <v>104</v>
      </c>
      <c r="H2546" t="s">
        <v>5762</v>
      </c>
    </row>
    <row r="2547" spans="1:8">
      <c r="A2547" t="s">
        <v>5507</v>
      </c>
      <c r="B2547" s="24">
        <v>46181</v>
      </c>
      <c r="C2547" s="27" t="s">
        <v>5797</v>
      </c>
      <c r="D2547" s="27" t="s">
        <v>3230</v>
      </c>
      <c r="E2547" t="s">
        <v>2962</v>
      </c>
      <c r="F2547" t="s">
        <v>104</v>
      </c>
      <c r="H2547" t="s">
        <v>5762</v>
      </c>
    </row>
    <row r="2548" spans="1:8">
      <c r="A2548" t="s">
        <v>5508</v>
      </c>
      <c r="B2548" s="24">
        <v>46182</v>
      </c>
      <c r="C2548" s="27" t="s">
        <v>5797</v>
      </c>
      <c r="D2548" s="27" t="s">
        <v>3230</v>
      </c>
      <c r="E2548" t="s">
        <v>2963</v>
      </c>
      <c r="F2548" t="s">
        <v>104</v>
      </c>
      <c r="H2548" t="s">
        <v>5762</v>
      </c>
    </row>
    <row r="2549" spans="1:8">
      <c r="A2549" t="s">
        <v>5509</v>
      </c>
      <c r="B2549" s="24">
        <v>46183</v>
      </c>
      <c r="C2549" s="27" t="s">
        <v>5797</v>
      </c>
      <c r="D2549" s="27" t="s">
        <v>3230</v>
      </c>
      <c r="E2549" t="s">
        <v>2964</v>
      </c>
      <c r="F2549" t="s">
        <v>104</v>
      </c>
      <c r="H2549" t="s">
        <v>5762</v>
      </c>
    </row>
    <row r="2550" spans="1:8">
      <c r="A2550" t="s">
        <v>5510</v>
      </c>
      <c r="B2550" s="24">
        <v>46184</v>
      </c>
      <c r="C2550" s="27" t="s">
        <v>5797</v>
      </c>
      <c r="D2550" s="27" t="s">
        <v>3230</v>
      </c>
      <c r="E2550" t="s">
        <v>2965</v>
      </c>
      <c r="F2550" t="s">
        <v>104</v>
      </c>
      <c r="H2550" t="s">
        <v>5762</v>
      </c>
    </row>
    <row r="2551" spans="1:8">
      <c r="A2551" t="s">
        <v>5511</v>
      </c>
      <c r="B2551" s="24">
        <v>46185</v>
      </c>
      <c r="C2551" s="27" t="s">
        <v>5797</v>
      </c>
      <c r="D2551" s="27" t="s">
        <v>3230</v>
      </c>
      <c r="E2551" t="s">
        <v>2966</v>
      </c>
      <c r="F2551" t="s">
        <v>104</v>
      </c>
      <c r="H2551" t="s">
        <v>5762</v>
      </c>
    </row>
    <row r="2552" spans="1:8">
      <c r="A2552" t="s">
        <v>5512</v>
      </c>
      <c r="B2552" s="24">
        <v>46174</v>
      </c>
      <c r="C2552" s="27" t="s">
        <v>5797</v>
      </c>
      <c r="D2552" s="27" t="s">
        <v>3230</v>
      </c>
      <c r="E2552" t="s">
        <v>2967</v>
      </c>
      <c r="F2552" t="s">
        <v>104</v>
      </c>
      <c r="H2552" t="s">
        <v>5762</v>
      </c>
    </row>
    <row r="2553" spans="1:8">
      <c r="A2553" t="s">
        <v>5513</v>
      </c>
      <c r="B2553" s="24">
        <v>46175</v>
      </c>
      <c r="C2553" s="27" t="s">
        <v>5797</v>
      </c>
      <c r="D2553" s="27" t="s">
        <v>3230</v>
      </c>
      <c r="E2553" t="s">
        <v>2968</v>
      </c>
      <c r="F2553" t="s">
        <v>104</v>
      </c>
      <c r="H2553" t="s">
        <v>5762</v>
      </c>
    </row>
    <row r="2554" spans="1:8">
      <c r="A2554" t="s">
        <v>5514</v>
      </c>
      <c r="B2554" s="24">
        <v>46176</v>
      </c>
      <c r="C2554" s="27" t="s">
        <v>5797</v>
      </c>
      <c r="D2554" s="27" t="s">
        <v>3230</v>
      </c>
      <c r="E2554" t="s">
        <v>2969</v>
      </c>
      <c r="F2554" t="s">
        <v>104</v>
      </c>
      <c r="H2554" t="s">
        <v>5762</v>
      </c>
    </row>
    <row r="2555" spans="1:8">
      <c r="A2555" t="s">
        <v>5515</v>
      </c>
      <c r="B2555" s="24">
        <v>46177</v>
      </c>
      <c r="C2555" s="27" t="s">
        <v>5797</v>
      </c>
      <c r="D2555" s="27" t="s">
        <v>3230</v>
      </c>
      <c r="E2555" t="s">
        <v>2970</v>
      </c>
      <c r="F2555" t="s">
        <v>104</v>
      </c>
      <c r="H2555" t="s">
        <v>5762</v>
      </c>
    </row>
    <row r="2556" spans="1:8">
      <c r="A2556" t="s">
        <v>5516</v>
      </c>
      <c r="B2556" s="24">
        <v>46178</v>
      </c>
      <c r="C2556" s="27" t="s">
        <v>5797</v>
      </c>
      <c r="D2556" s="27" t="s">
        <v>3230</v>
      </c>
      <c r="E2556" t="s">
        <v>2971</v>
      </c>
      <c r="F2556" t="s">
        <v>104</v>
      </c>
      <c r="H2556" t="s">
        <v>5762</v>
      </c>
    </row>
    <row r="2557" spans="1:8">
      <c r="A2557" t="s">
        <v>5517</v>
      </c>
      <c r="B2557" s="24">
        <v>46181</v>
      </c>
      <c r="C2557" s="27" t="s">
        <v>5797</v>
      </c>
      <c r="D2557" s="27" t="s">
        <v>3230</v>
      </c>
      <c r="E2557" t="s">
        <v>2972</v>
      </c>
      <c r="F2557" t="s">
        <v>104</v>
      </c>
      <c r="H2557" t="s">
        <v>5762</v>
      </c>
    </row>
    <row r="2558" spans="1:8">
      <c r="A2558" t="s">
        <v>5518</v>
      </c>
      <c r="B2558" s="24">
        <v>46182</v>
      </c>
      <c r="C2558" s="27" t="s">
        <v>5797</v>
      </c>
      <c r="D2558" s="27" t="s">
        <v>3230</v>
      </c>
      <c r="E2558" t="s">
        <v>2973</v>
      </c>
      <c r="F2558" t="s">
        <v>104</v>
      </c>
      <c r="H2558" t="s">
        <v>5762</v>
      </c>
    </row>
    <row r="2559" spans="1:8">
      <c r="A2559" t="s">
        <v>5519</v>
      </c>
      <c r="B2559" s="24">
        <v>46183</v>
      </c>
      <c r="C2559" s="27" t="s">
        <v>5797</v>
      </c>
      <c r="D2559" s="27" t="s">
        <v>3230</v>
      </c>
      <c r="E2559" t="s">
        <v>2974</v>
      </c>
      <c r="F2559" t="s">
        <v>104</v>
      </c>
      <c r="H2559" t="s">
        <v>5762</v>
      </c>
    </row>
    <row r="2560" spans="1:8">
      <c r="A2560" t="s">
        <v>5520</v>
      </c>
      <c r="B2560" s="24">
        <v>46184</v>
      </c>
      <c r="C2560" s="27" t="s">
        <v>5797</v>
      </c>
      <c r="D2560" s="27" t="s">
        <v>3230</v>
      </c>
      <c r="E2560" t="s">
        <v>2975</v>
      </c>
      <c r="F2560" t="s">
        <v>104</v>
      </c>
      <c r="H2560" t="s">
        <v>5762</v>
      </c>
    </row>
    <row r="2561" spans="1:8">
      <c r="A2561" t="s">
        <v>5521</v>
      </c>
      <c r="B2561" s="24">
        <v>46185</v>
      </c>
      <c r="C2561" s="27" t="s">
        <v>5797</v>
      </c>
      <c r="D2561" s="27" t="s">
        <v>3230</v>
      </c>
      <c r="E2561" t="s">
        <v>2976</v>
      </c>
      <c r="F2561" t="s">
        <v>104</v>
      </c>
      <c r="H2561" t="s">
        <v>5762</v>
      </c>
    </row>
    <row r="2562" spans="1:8">
      <c r="A2562" t="s">
        <v>5522</v>
      </c>
      <c r="B2562" s="24">
        <v>46174</v>
      </c>
      <c r="C2562" s="27" t="s">
        <v>5797</v>
      </c>
      <c r="D2562" s="27" t="s">
        <v>3230</v>
      </c>
      <c r="E2562" t="s">
        <v>2977</v>
      </c>
      <c r="F2562" t="s">
        <v>104</v>
      </c>
      <c r="H2562" t="s">
        <v>5762</v>
      </c>
    </row>
    <row r="2563" spans="1:8">
      <c r="A2563" t="s">
        <v>5523</v>
      </c>
      <c r="B2563" s="24">
        <v>46175</v>
      </c>
      <c r="C2563" s="27" t="s">
        <v>5797</v>
      </c>
      <c r="D2563" s="27" t="s">
        <v>3230</v>
      </c>
      <c r="E2563" t="s">
        <v>2978</v>
      </c>
      <c r="F2563" t="s">
        <v>104</v>
      </c>
      <c r="H2563" t="s">
        <v>5762</v>
      </c>
    </row>
    <row r="2564" spans="1:8">
      <c r="A2564" t="s">
        <v>5524</v>
      </c>
      <c r="B2564" s="24">
        <v>46176</v>
      </c>
      <c r="C2564" s="27" t="s">
        <v>5797</v>
      </c>
      <c r="D2564" s="27" t="s">
        <v>3230</v>
      </c>
      <c r="E2564" t="s">
        <v>2979</v>
      </c>
      <c r="F2564" t="s">
        <v>104</v>
      </c>
      <c r="H2564" t="s">
        <v>5762</v>
      </c>
    </row>
    <row r="2565" spans="1:8">
      <c r="A2565" t="s">
        <v>5525</v>
      </c>
      <c r="B2565" s="24">
        <v>46177</v>
      </c>
      <c r="C2565" s="27" t="s">
        <v>5797</v>
      </c>
      <c r="D2565" s="27" t="s">
        <v>3230</v>
      </c>
      <c r="E2565" t="s">
        <v>2980</v>
      </c>
      <c r="F2565" t="s">
        <v>104</v>
      </c>
      <c r="H2565" t="s">
        <v>5762</v>
      </c>
    </row>
    <row r="2566" spans="1:8">
      <c r="A2566" t="s">
        <v>5526</v>
      </c>
      <c r="B2566" s="24">
        <v>46178</v>
      </c>
      <c r="C2566" s="27" t="s">
        <v>5797</v>
      </c>
      <c r="D2566" s="27" t="s">
        <v>3230</v>
      </c>
      <c r="E2566" t="s">
        <v>2981</v>
      </c>
      <c r="F2566" t="s">
        <v>104</v>
      </c>
      <c r="H2566" t="s">
        <v>5762</v>
      </c>
    </row>
    <row r="2567" spans="1:8">
      <c r="A2567" t="s">
        <v>5527</v>
      </c>
      <c r="B2567" s="24">
        <v>46181</v>
      </c>
      <c r="C2567" s="27" t="s">
        <v>5797</v>
      </c>
      <c r="D2567" s="27" t="s">
        <v>3230</v>
      </c>
      <c r="E2567" t="s">
        <v>2982</v>
      </c>
      <c r="F2567" t="s">
        <v>104</v>
      </c>
      <c r="H2567" t="s">
        <v>5762</v>
      </c>
    </row>
    <row r="2568" spans="1:8">
      <c r="A2568" t="s">
        <v>5528</v>
      </c>
      <c r="B2568" s="24">
        <v>46182</v>
      </c>
      <c r="C2568" s="27" t="s">
        <v>5797</v>
      </c>
      <c r="D2568" s="27" t="s">
        <v>3230</v>
      </c>
      <c r="E2568" t="s">
        <v>2983</v>
      </c>
      <c r="F2568" t="s">
        <v>104</v>
      </c>
      <c r="H2568" t="s">
        <v>5762</v>
      </c>
    </row>
    <row r="2569" spans="1:8">
      <c r="A2569" t="s">
        <v>5529</v>
      </c>
      <c r="B2569" s="24">
        <v>46183</v>
      </c>
      <c r="C2569" s="27" t="s">
        <v>5797</v>
      </c>
      <c r="D2569" s="27" t="s">
        <v>3230</v>
      </c>
      <c r="E2569" t="s">
        <v>2984</v>
      </c>
      <c r="F2569" t="s">
        <v>104</v>
      </c>
      <c r="H2569" t="s">
        <v>5762</v>
      </c>
    </row>
    <row r="2570" spans="1:8">
      <c r="A2570" t="s">
        <v>5530</v>
      </c>
      <c r="B2570" s="24">
        <v>46184</v>
      </c>
      <c r="C2570" s="27" t="s">
        <v>5797</v>
      </c>
      <c r="D2570" s="27" t="s">
        <v>3230</v>
      </c>
      <c r="E2570" t="s">
        <v>2985</v>
      </c>
      <c r="F2570" t="s">
        <v>104</v>
      </c>
      <c r="H2570" t="s">
        <v>5762</v>
      </c>
    </row>
    <row r="2571" spans="1:8">
      <c r="A2571" t="s">
        <v>5531</v>
      </c>
      <c r="B2571" s="24">
        <v>46185</v>
      </c>
      <c r="C2571" s="27" t="s">
        <v>5797</v>
      </c>
      <c r="D2571" s="27" t="s">
        <v>3230</v>
      </c>
      <c r="E2571" t="s">
        <v>2986</v>
      </c>
      <c r="F2571" t="s">
        <v>104</v>
      </c>
      <c r="H2571" t="s">
        <v>5762</v>
      </c>
    </row>
    <row r="2572" spans="1:8">
      <c r="A2572" t="s">
        <v>5532</v>
      </c>
      <c r="B2572" s="24">
        <v>46174</v>
      </c>
      <c r="C2572" s="27" t="s">
        <v>5797</v>
      </c>
      <c r="D2572" s="27" t="s">
        <v>3230</v>
      </c>
      <c r="E2572" t="s">
        <v>2987</v>
      </c>
      <c r="F2572" t="s">
        <v>104</v>
      </c>
      <c r="H2572" t="s">
        <v>5762</v>
      </c>
    </row>
    <row r="2573" spans="1:8">
      <c r="A2573" t="s">
        <v>5533</v>
      </c>
      <c r="B2573" s="24">
        <v>46175</v>
      </c>
      <c r="C2573" s="27" t="s">
        <v>5797</v>
      </c>
      <c r="D2573" s="27" t="s">
        <v>3230</v>
      </c>
      <c r="E2573" t="s">
        <v>2988</v>
      </c>
      <c r="F2573" t="s">
        <v>104</v>
      </c>
      <c r="H2573" t="s">
        <v>5762</v>
      </c>
    </row>
    <row r="2574" spans="1:8">
      <c r="A2574" t="s">
        <v>5534</v>
      </c>
      <c r="B2574" s="24">
        <v>46176</v>
      </c>
      <c r="C2574" s="27" t="s">
        <v>5797</v>
      </c>
      <c r="D2574" s="27" t="s">
        <v>3230</v>
      </c>
      <c r="E2574" t="s">
        <v>2989</v>
      </c>
      <c r="F2574" t="s">
        <v>104</v>
      </c>
      <c r="H2574" t="s">
        <v>5762</v>
      </c>
    </row>
    <row r="2575" spans="1:8">
      <c r="A2575" t="s">
        <v>5535</v>
      </c>
      <c r="B2575" s="24">
        <v>46177</v>
      </c>
      <c r="C2575" s="27" t="s">
        <v>5797</v>
      </c>
      <c r="D2575" s="27" t="s">
        <v>3230</v>
      </c>
      <c r="E2575" t="s">
        <v>2990</v>
      </c>
      <c r="F2575" t="s">
        <v>104</v>
      </c>
      <c r="H2575" t="s">
        <v>5762</v>
      </c>
    </row>
    <row r="2576" spans="1:8">
      <c r="A2576" t="s">
        <v>5536</v>
      </c>
      <c r="B2576" s="24">
        <v>46178</v>
      </c>
      <c r="C2576" s="27" t="s">
        <v>5797</v>
      </c>
      <c r="D2576" s="27" t="s">
        <v>3230</v>
      </c>
      <c r="E2576" t="s">
        <v>2991</v>
      </c>
      <c r="F2576" t="s">
        <v>104</v>
      </c>
      <c r="H2576" t="s">
        <v>5762</v>
      </c>
    </row>
    <row r="2577" spans="1:8">
      <c r="A2577" t="s">
        <v>5537</v>
      </c>
      <c r="B2577" s="24">
        <v>46181</v>
      </c>
      <c r="C2577" s="27" t="s">
        <v>5797</v>
      </c>
      <c r="D2577" s="27" t="s">
        <v>3230</v>
      </c>
      <c r="E2577" t="s">
        <v>2992</v>
      </c>
      <c r="F2577" t="s">
        <v>104</v>
      </c>
      <c r="H2577" t="s">
        <v>5762</v>
      </c>
    </row>
    <row r="2578" spans="1:8">
      <c r="A2578" t="s">
        <v>5538</v>
      </c>
      <c r="B2578" s="24">
        <v>46182</v>
      </c>
      <c r="C2578" s="27" t="s">
        <v>5797</v>
      </c>
      <c r="D2578" s="27" t="s">
        <v>3230</v>
      </c>
      <c r="E2578" t="s">
        <v>2993</v>
      </c>
      <c r="F2578" t="s">
        <v>104</v>
      </c>
      <c r="H2578" t="s">
        <v>5762</v>
      </c>
    </row>
    <row r="2579" spans="1:8">
      <c r="A2579" t="s">
        <v>5539</v>
      </c>
      <c r="B2579" s="24">
        <v>46183</v>
      </c>
      <c r="C2579" s="27" t="s">
        <v>5797</v>
      </c>
      <c r="D2579" s="27" t="s">
        <v>3230</v>
      </c>
      <c r="E2579" t="s">
        <v>2994</v>
      </c>
      <c r="F2579" t="s">
        <v>104</v>
      </c>
      <c r="H2579" t="s">
        <v>5762</v>
      </c>
    </row>
    <row r="2580" spans="1:8">
      <c r="A2580" t="s">
        <v>5540</v>
      </c>
      <c r="B2580" s="24">
        <v>46184</v>
      </c>
      <c r="C2580" s="27" t="s">
        <v>5797</v>
      </c>
      <c r="D2580" s="27" t="s">
        <v>3230</v>
      </c>
      <c r="E2580" t="s">
        <v>2995</v>
      </c>
      <c r="F2580" t="s">
        <v>104</v>
      </c>
      <c r="H2580" t="s">
        <v>5762</v>
      </c>
    </row>
    <row r="2581" spans="1:8">
      <c r="A2581" t="s">
        <v>5541</v>
      </c>
      <c r="B2581" s="24">
        <v>46185</v>
      </c>
      <c r="C2581" s="27" t="s">
        <v>5797</v>
      </c>
      <c r="D2581" s="27" t="s">
        <v>3230</v>
      </c>
      <c r="E2581" t="s">
        <v>2996</v>
      </c>
      <c r="F2581" t="s">
        <v>104</v>
      </c>
      <c r="H2581" t="s">
        <v>5762</v>
      </c>
    </row>
    <row r="2582" spans="1:8">
      <c r="A2582" t="s">
        <v>5542</v>
      </c>
      <c r="B2582" s="24">
        <v>46174</v>
      </c>
      <c r="C2582" s="27" t="s">
        <v>5797</v>
      </c>
      <c r="D2582" s="27" t="s">
        <v>3230</v>
      </c>
      <c r="E2582" t="s">
        <v>2997</v>
      </c>
      <c r="F2582" t="s">
        <v>104</v>
      </c>
      <c r="H2582" t="s">
        <v>5762</v>
      </c>
    </row>
    <row r="2583" spans="1:8">
      <c r="A2583" t="s">
        <v>5543</v>
      </c>
      <c r="B2583" s="24">
        <v>46175</v>
      </c>
      <c r="C2583" s="27" t="s">
        <v>5797</v>
      </c>
      <c r="D2583" s="27" t="s">
        <v>3230</v>
      </c>
      <c r="E2583" t="s">
        <v>2998</v>
      </c>
      <c r="F2583" t="s">
        <v>104</v>
      </c>
      <c r="H2583" t="s">
        <v>5762</v>
      </c>
    </row>
    <row r="2584" spans="1:8">
      <c r="A2584" t="s">
        <v>5544</v>
      </c>
      <c r="B2584" s="24">
        <v>46176</v>
      </c>
      <c r="C2584" s="27" t="s">
        <v>5797</v>
      </c>
      <c r="D2584" s="27" t="s">
        <v>3230</v>
      </c>
      <c r="E2584" t="s">
        <v>2999</v>
      </c>
      <c r="F2584" t="s">
        <v>104</v>
      </c>
      <c r="H2584" t="s">
        <v>5762</v>
      </c>
    </row>
    <row r="2585" spans="1:8">
      <c r="A2585" t="s">
        <v>5545</v>
      </c>
      <c r="B2585" s="24">
        <v>46177</v>
      </c>
      <c r="C2585" s="27" t="s">
        <v>5797</v>
      </c>
      <c r="D2585" s="27" t="s">
        <v>3230</v>
      </c>
      <c r="E2585" t="s">
        <v>3000</v>
      </c>
      <c r="F2585" t="s">
        <v>104</v>
      </c>
      <c r="H2585" t="s">
        <v>5762</v>
      </c>
    </row>
    <row r="2586" spans="1:8">
      <c r="A2586" t="s">
        <v>5546</v>
      </c>
      <c r="B2586" s="24">
        <v>46178</v>
      </c>
      <c r="C2586" s="27" t="s">
        <v>5797</v>
      </c>
      <c r="D2586" s="27" t="s">
        <v>3230</v>
      </c>
      <c r="E2586" t="s">
        <v>3001</v>
      </c>
      <c r="F2586" t="s">
        <v>104</v>
      </c>
      <c r="H2586" t="s">
        <v>5762</v>
      </c>
    </row>
    <row r="2587" spans="1:8">
      <c r="A2587" t="s">
        <v>5547</v>
      </c>
      <c r="B2587" s="24">
        <v>46181</v>
      </c>
      <c r="C2587" s="27" t="s">
        <v>5797</v>
      </c>
      <c r="D2587" s="27" t="s">
        <v>3230</v>
      </c>
      <c r="E2587" t="s">
        <v>3002</v>
      </c>
      <c r="F2587" t="s">
        <v>104</v>
      </c>
      <c r="H2587" t="s">
        <v>5762</v>
      </c>
    </row>
    <row r="2588" spans="1:8">
      <c r="A2588" t="s">
        <v>5548</v>
      </c>
      <c r="B2588" s="24">
        <v>46182</v>
      </c>
      <c r="C2588" s="27" t="s">
        <v>5797</v>
      </c>
      <c r="D2588" s="27" t="s">
        <v>3230</v>
      </c>
      <c r="E2588" t="s">
        <v>3003</v>
      </c>
      <c r="F2588" t="s">
        <v>104</v>
      </c>
      <c r="H2588" t="s">
        <v>5762</v>
      </c>
    </row>
    <row r="2589" spans="1:8">
      <c r="A2589" t="s">
        <v>5549</v>
      </c>
      <c r="B2589" s="24">
        <v>46183</v>
      </c>
      <c r="C2589" s="27" t="s">
        <v>5797</v>
      </c>
      <c r="D2589" s="27" t="s">
        <v>3230</v>
      </c>
      <c r="E2589" t="s">
        <v>3004</v>
      </c>
      <c r="F2589" t="s">
        <v>104</v>
      </c>
      <c r="H2589" t="s">
        <v>5762</v>
      </c>
    </row>
    <row r="2590" spans="1:8">
      <c r="A2590" t="s">
        <v>5550</v>
      </c>
      <c r="B2590" s="24">
        <v>46184</v>
      </c>
      <c r="C2590" s="27" t="s">
        <v>5797</v>
      </c>
      <c r="D2590" s="27" t="s">
        <v>3230</v>
      </c>
      <c r="E2590" t="s">
        <v>3005</v>
      </c>
      <c r="F2590" t="s">
        <v>104</v>
      </c>
      <c r="H2590" t="s">
        <v>5762</v>
      </c>
    </row>
    <row r="2591" spans="1:8">
      <c r="A2591" t="s">
        <v>5551</v>
      </c>
      <c r="B2591" s="24">
        <v>46185</v>
      </c>
      <c r="C2591" s="27" t="s">
        <v>5797</v>
      </c>
      <c r="D2591" s="27" t="s">
        <v>3230</v>
      </c>
      <c r="E2591" t="s">
        <v>3006</v>
      </c>
      <c r="F2591" t="s">
        <v>104</v>
      </c>
      <c r="H2591" t="s">
        <v>5762</v>
      </c>
    </row>
    <row r="2592" spans="1:8">
      <c r="A2592" t="s">
        <v>5552</v>
      </c>
      <c r="B2592" s="24">
        <v>46174</v>
      </c>
      <c r="C2592" s="27" t="s">
        <v>5797</v>
      </c>
      <c r="D2592" s="27" t="s">
        <v>3230</v>
      </c>
      <c r="E2592" t="s">
        <v>3007</v>
      </c>
      <c r="F2592" t="s">
        <v>104</v>
      </c>
      <c r="H2592" t="s">
        <v>5762</v>
      </c>
    </row>
    <row r="2593" spans="1:8">
      <c r="A2593" t="s">
        <v>5553</v>
      </c>
      <c r="B2593" s="24">
        <v>46175</v>
      </c>
      <c r="C2593" s="27" t="s">
        <v>5797</v>
      </c>
      <c r="D2593" s="27" t="s">
        <v>3230</v>
      </c>
      <c r="E2593" t="s">
        <v>3008</v>
      </c>
      <c r="F2593" t="s">
        <v>104</v>
      </c>
      <c r="H2593" t="s">
        <v>5762</v>
      </c>
    </row>
    <row r="2594" spans="1:8">
      <c r="A2594" t="s">
        <v>5554</v>
      </c>
      <c r="B2594" s="24">
        <v>46176</v>
      </c>
      <c r="C2594" s="27" t="s">
        <v>5797</v>
      </c>
      <c r="D2594" s="27" t="s">
        <v>3230</v>
      </c>
      <c r="E2594" t="s">
        <v>3009</v>
      </c>
      <c r="F2594" t="s">
        <v>104</v>
      </c>
      <c r="H2594" t="s">
        <v>5762</v>
      </c>
    </row>
    <row r="2595" spans="1:8">
      <c r="A2595" t="s">
        <v>5555</v>
      </c>
      <c r="B2595" s="24">
        <v>46177</v>
      </c>
      <c r="C2595" s="27" t="s">
        <v>5797</v>
      </c>
      <c r="D2595" s="27" t="s">
        <v>3230</v>
      </c>
      <c r="E2595" t="s">
        <v>3010</v>
      </c>
      <c r="F2595" t="s">
        <v>104</v>
      </c>
      <c r="H2595" t="s">
        <v>5762</v>
      </c>
    </row>
    <row r="2596" spans="1:8">
      <c r="A2596" t="s">
        <v>5556</v>
      </c>
      <c r="B2596" s="24">
        <v>46178</v>
      </c>
      <c r="C2596" s="27" t="s">
        <v>5797</v>
      </c>
      <c r="D2596" s="27" t="s">
        <v>3230</v>
      </c>
      <c r="E2596" t="s">
        <v>3011</v>
      </c>
      <c r="F2596" t="s">
        <v>104</v>
      </c>
      <c r="H2596" t="s">
        <v>5762</v>
      </c>
    </row>
    <row r="2597" spans="1:8">
      <c r="A2597" t="s">
        <v>5557</v>
      </c>
      <c r="B2597" s="24">
        <v>46181</v>
      </c>
      <c r="C2597" s="27" t="s">
        <v>5797</v>
      </c>
      <c r="D2597" s="27" t="s">
        <v>3230</v>
      </c>
      <c r="E2597" t="s">
        <v>3012</v>
      </c>
      <c r="F2597" t="s">
        <v>104</v>
      </c>
      <c r="H2597" t="s">
        <v>5762</v>
      </c>
    </row>
    <row r="2598" spans="1:8">
      <c r="A2598" t="s">
        <v>5558</v>
      </c>
      <c r="B2598" s="24">
        <v>46182</v>
      </c>
      <c r="C2598" s="27" t="s">
        <v>5797</v>
      </c>
      <c r="D2598" s="27" t="s">
        <v>3230</v>
      </c>
      <c r="E2598" t="s">
        <v>3013</v>
      </c>
      <c r="F2598" t="s">
        <v>104</v>
      </c>
      <c r="H2598" t="s">
        <v>5762</v>
      </c>
    </row>
    <row r="2599" spans="1:8">
      <c r="A2599" t="s">
        <v>5559</v>
      </c>
      <c r="B2599" s="24">
        <v>46183</v>
      </c>
      <c r="C2599" s="27" t="s">
        <v>5797</v>
      </c>
      <c r="D2599" s="27" t="s">
        <v>3230</v>
      </c>
      <c r="E2599" t="s">
        <v>3014</v>
      </c>
      <c r="F2599" t="s">
        <v>104</v>
      </c>
      <c r="H2599" t="s">
        <v>5762</v>
      </c>
    </row>
    <row r="2600" spans="1:8">
      <c r="A2600" t="s">
        <v>5560</v>
      </c>
      <c r="B2600" s="24">
        <v>46184</v>
      </c>
      <c r="C2600" s="27" t="s">
        <v>5797</v>
      </c>
      <c r="D2600" s="27" t="s">
        <v>3230</v>
      </c>
      <c r="E2600" t="s">
        <v>3015</v>
      </c>
      <c r="F2600" t="s">
        <v>104</v>
      </c>
      <c r="H2600" t="s">
        <v>5762</v>
      </c>
    </row>
    <row r="2601" spans="1:8">
      <c r="A2601" t="s">
        <v>5561</v>
      </c>
      <c r="B2601" s="24">
        <v>46185</v>
      </c>
      <c r="C2601" s="27" t="s">
        <v>5797</v>
      </c>
      <c r="D2601" s="27" t="s">
        <v>3230</v>
      </c>
      <c r="E2601" t="s">
        <v>3016</v>
      </c>
      <c r="F2601" t="s">
        <v>104</v>
      </c>
      <c r="H2601" t="s">
        <v>5762</v>
      </c>
    </row>
    <row r="2602" spans="1:8">
      <c r="A2602" t="s">
        <v>5562</v>
      </c>
      <c r="B2602" s="24">
        <v>46174</v>
      </c>
      <c r="C2602" s="27" t="s">
        <v>5797</v>
      </c>
      <c r="D2602" s="27" t="s">
        <v>3230</v>
      </c>
      <c r="E2602" t="s">
        <v>3017</v>
      </c>
      <c r="F2602" t="s">
        <v>104</v>
      </c>
      <c r="H2602" t="s">
        <v>5762</v>
      </c>
    </row>
    <row r="2603" spans="1:8">
      <c r="A2603" t="s">
        <v>5563</v>
      </c>
      <c r="B2603" s="24">
        <v>46175</v>
      </c>
      <c r="C2603" s="27" t="s">
        <v>5797</v>
      </c>
      <c r="D2603" s="27" t="s">
        <v>3230</v>
      </c>
      <c r="E2603" t="s">
        <v>3018</v>
      </c>
      <c r="F2603" t="s">
        <v>104</v>
      </c>
      <c r="H2603" t="s">
        <v>5762</v>
      </c>
    </row>
    <row r="2604" spans="1:8">
      <c r="A2604" t="s">
        <v>5564</v>
      </c>
      <c r="B2604" s="24">
        <v>46176</v>
      </c>
      <c r="C2604" s="27" t="s">
        <v>5797</v>
      </c>
      <c r="D2604" s="27" t="s">
        <v>3230</v>
      </c>
      <c r="E2604" t="s">
        <v>3019</v>
      </c>
      <c r="F2604" t="s">
        <v>104</v>
      </c>
      <c r="H2604" t="s">
        <v>5762</v>
      </c>
    </row>
    <row r="2605" spans="1:8">
      <c r="A2605" t="s">
        <v>5565</v>
      </c>
      <c r="B2605" s="24">
        <v>46177</v>
      </c>
      <c r="C2605" s="27" t="s">
        <v>5797</v>
      </c>
      <c r="D2605" s="27" t="s">
        <v>3230</v>
      </c>
      <c r="E2605" t="s">
        <v>3020</v>
      </c>
      <c r="F2605" t="s">
        <v>104</v>
      </c>
      <c r="H2605" t="s">
        <v>5762</v>
      </c>
    </row>
    <row r="2606" spans="1:8">
      <c r="A2606" t="s">
        <v>5566</v>
      </c>
      <c r="B2606" s="24">
        <v>46178</v>
      </c>
      <c r="C2606" s="27" t="s">
        <v>5797</v>
      </c>
      <c r="D2606" s="27" t="s">
        <v>3230</v>
      </c>
      <c r="E2606" t="s">
        <v>3021</v>
      </c>
      <c r="F2606" t="s">
        <v>104</v>
      </c>
      <c r="H2606" t="s">
        <v>5762</v>
      </c>
    </row>
    <row r="2607" spans="1:8">
      <c r="A2607" t="s">
        <v>5567</v>
      </c>
      <c r="B2607" s="24">
        <v>46181</v>
      </c>
      <c r="C2607" s="27" t="s">
        <v>5797</v>
      </c>
      <c r="D2607" s="27" t="s">
        <v>3230</v>
      </c>
      <c r="E2607" t="s">
        <v>3022</v>
      </c>
      <c r="F2607" t="s">
        <v>104</v>
      </c>
      <c r="H2607" t="s">
        <v>5762</v>
      </c>
    </row>
    <row r="2608" spans="1:8">
      <c r="A2608" t="s">
        <v>5568</v>
      </c>
      <c r="B2608" s="24">
        <v>46182</v>
      </c>
      <c r="C2608" s="27" t="s">
        <v>5797</v>
      </c>
      <c r="D2608" s="27" t="s">
        <v>3230</v>
      </c>
      <c r="E2608" t="s">
        <v>3023</v>
      </c>
      <c r="F2608" t="s">
        <v>104</v>
      </c>
      <c r="G2608" t="s">
        <v>105</v>
      </c>
      <c r="H2608">
        <v>0</v>
      </c>
    </row>
    <row r="2609" spans="1:8">
      <c r="A2609" t="s">
        <v>5569</v>
      </c>
      <c r="B2609" s="24">
        <v>46183</v>
      </c>
      <c r="C2609" s="27" t="s">
        <v>5797</v>
      </c>
      <c r="D2609" s="27" t="s">
        <v>3230</v>
      </c>
      <c r="E2609" t="s">
        <v>3024</v>
      </c>
      <c r="F2609" t="s">
        <v>104</v>
      </c>
      <c r="G2609" t="s">
        <v>105</v>
      </c>
      <c r="H2609">
        <v>0</v>
      </c>
    </row>
    <row r="2610" spans="1:8">
      <c r="A2610" t="s">
        <v>5570</v>
      </c>
      <c r="B2610" s="24">
        <v>46184</v>
      </c>
      <c r="C2610" s="27" t="s">
        <v>5797</v>
      </c>
      <c r="D2610" s="27" t="s">
        <v>3230</v>
      </c>
      <c r="E2610" t="s">
        <v>3025</v>
      </c>
      <c r="F2610" t="s">
        <v>104</v>
      </c>
      <c r="G2610" t="s">
        <v>105</v>
      </c>
      <c r="H2610">
        <v>0</v>
      </c>
    </row>
    <row r="2611" spans="1:8">
      <c r="A2611" t="s">
        <v>5571</v>
      </c>
      <c r="B2611" s="24">
        <v>46185</v>
      </c>
      <c r="C2611" s="27" t="s">
        <v>5797</v>
      </c>
      <c r="D2611" s="27" t="s">
        <v>3231</v>
      </c>
      <c r="E2611" t="s">
        <v>3026</v>
      </c>
      <c r="F2611" t="s">
        <v>104</v>
      </c>
      <c r="G2611" t="s">
        <v>105</v>
      </c>
      <c r="H2611">
        <v>0</v>
      </c>
    </row>
    <row r="2612" spans="1:8">
      <c r="A2612" t="s">
        <v>5572</v>
      </c>
      <c r="B2612" s="24">
        <v>46174</v>
      </c>
      <c r="C2612" s="27" t="s">
        <v>5797</v>
      </c>
      <c r="D2612" s="27" t="s">
        <v>3231</v>
      </c>
      <c r="E2612" t="s">
        <v>3027</v>
      </c>
      <c r="F2612" t="s">
        <v>104</v>
      </c>
      <c r="G2612" t="s">
        <v>105</v>
      </c>
      <c r="H2612">
        <v>0</v>
      </c>
    </row>
    <row r="2613" spans="1:8">
      <c r="A2613" t="s">
        <v>5573</v>
      </c>
      <c r="B2613" s="24">
        <v>46175</v>
      </c>
      <c r="C2613" s="27" t="s">
        <v>5797</v>
      </c>
      <c r="D2613" s="27" t="s">
        <v>3231</v>
      </c>
      <c r="E2613" t="s">
        <v>3028</v>
      </c>
      <c r="F2613" t="s">
        <v>104</v>
      </c>
      <c r="G2613" t="s">
        <v>105</v>
      </c>
      <c r="H2613">
        <v>0</v>
      </c>
    </row>
    <row r="2614" spans="1:8">
      <c r="A2614" t="s">
        <v>5574</v>
      </c>
      <c r="B2614" s="24">
        <v>46176</v>
      </c>
      <c r="C2614" s="27" t="s">
        <v>5797</v>
      </c>
      <c r="D2614" s="27" t="s">
        <v>3231</v>
      </c>
      <c r="E2614" t="s">
        <v>3029</v>
      </c>
      <c r="F2614" t="s">
        <v>104</v>
      </c>
      <c r="G2614" t="s">
        <v>105</v>
      </c>
      <c r="H2614">
        <v>0</v>
      </c>
    </row>
    <row r="2615" spans="1:8">
      <c r="A2615" t="s">
        <v>5575</v>
      </c>
      <c r="B2615" s="24">
        <v>46177</v>
      </c>
      <c r="C2615" s="27" t="s">
        <v>5797</v>
      </c>
      <c r="D2615" s="27" t="s">
        <v>3231</v>
      </c>
      <c r="E2615" t="s">
        <v>3030</v>
      </c>
      <c r="F2615" t="s">
        <v>104</v>
      </c>
      <c r="G2615" t="s">
        <v>105</v>
      </c>
      <c r="H2615">
        <v>0</v>
      </c>
    </row>
    <row r="2616" spans="1:8">
      <c r="A2616" t="s">
        <v>5576</v>
      </c>
      <c r="B2616" s="24">
        <v>46178</v>
      </c>
      <c r="C2616" s="27" t="s">
        <v>5797</v>
      </c>
      <c r="D2616" s="27" t="s">
        <v>3231</v>
      </c>
      <c r="E2616" t="s">
        <v>3031</v>
      </c>
      <c r="F2616" t="s">
        <v>104</v>
      </c>
      <c r="G2616" t="s">
        <v>105</v>
      </c>
      <c r="H2616">
        <v>0</v>
      </c>
    </row>
    <row r="2617" spans="1:8">
      <c r="A2617" t="s">
        <v>5577</v>
      </c>
      <c r="B2617" s="24">
        <v>46181</v>
      </c>
      <c r="C2617" s="27" t="s">
        <v>5797</v>
      </c>
      <c r="D2617" s="27" t="s">
        <v>3231</v>
      </c>
      <c r="E2617" t="s">
        <v>3032</v>
      </c>
      <c r="F2617" t="s">
        <v>104</v>
      </c>
      <c r="G2617" t="s">
        <v>105</v>
      </c>
      <c r="H2617">
        <v>0</v>
      </c>
    </row>
    <row r="2618" spans="1:8">
      <c r="A2618" t="s">
        <v>5578</v>
      </c>
      <c r="B2618" s="24">
        <v>46182</v>
      </c>
      <c r="C2618" s="27" t="s">
        <v>5797</v>
      </c>
      <c r="D2618" s="27" t="s">
        <v>3231</v>
      </c>
      <c r="E2618" t="s">
        <v>3033</v>
      </c>
      <c r="F2618" t="s">
        <v>104</v>
      </c>
      <c r="G2618" t="s">
        <v>105</v>
      </c>
      <c r="H2618">
        <v>0</v>
      </c>
    </row>
    <row r="2619" spans="1:8">
      <c r="A2619" t="s">
        <v>5579</v>
      </c>
      <c r="B2619" s="24">
        <v>46183</v>
      </c>
      <c r="C2619" s="27" t="s">
        <v>5797</v>
      </c>
      <c r="D2619" s="27" t="s">
        <v>3231</v>
      </c>
      <c r="E2619" t="s">
        <v>3034</v>
      </c>
      <c r="F2619" t="s">
        <v>104</v>
      </c>
      <c r="G2619" t="s">
        <v>105</v>
      </c>
      <c r="H2619">
        <v>0</v>
      </c>
    </row>
    <row r="2620" spans="1:8">
      <c r="A2620" t="s">
        <v>5580</v>
      </c>
      <c r="B2620" s="24">
        <v>46184</v>
      </c>
      <c r="C2620" s="27" t="s">
        <v>5797</v>
      </c>
      <c r="D2620" s="27" t="s">
        <v>3231</v>
      </c>
      <c r="E2620" t="s">
        <v>3035</v>
      </c>
      <c r="F2620" t="s">
        <v>104</v>
      </c>
      <c r="G2620" t="s">
        <v>105</v>
      </c>
      <c r="H2620">
        <v>0</v>
      </c>
    </row>
    <row r="2621" spans="1:8">
      <c r="A2621" t="s">
        <v>5581</v>
      </c>
      <c r="B2621" s="24">
        <v>46185</v>
      </c>
      <c r="C2621" s="27" t="s">
        <v>5797</v>
      </c>
      <c r="D2621" s="27" t="s">
        <v>3231</v>
      </c>
      <c r="E2621" t="s">
        <v>3036</v>
      </c>
      <c r="F2621" t="s">
        <v>104</v>
      </c>
      <c r="G2621" t="s">
        <v>105</v>
      </c>
      <c r="H2621">
        <v>0</v>
      </c>
    </row>
    <row r="2622" spans="1:8">
      <c r="A2622" t="s">
        <v>5582</v>
      </c>
      <c r="B2622" s="24">
        <v>46174</v>
      </c>
      <c r="C2622" s="27" t="s">
        <v>5797</v>
      </c>
      <c r="D2622" s="27" t="s">
        <v>3231</v>
      </c>
      <c r="E2622" t="s">
        <v>3037</v>
      </c>
      <c r="F2622" t="s">
        <v>104</v>
      </c>
      <c r="G2622" t="s">
        <v>105</v>
      </c>
      <c r="H2622">
        <v>0</v>
      </c>
    </row>
    <row r="2623" spans="1:8">
      <c r="A2623" t="s">
        <v>5583</v>
      </c>
      <c r="B2623" s="24">
        <v>46175</v>
      </c>
      <c r="C2623" s="27" t="s">
        <v>5797</v>
      </c>
      <c r="D2623" s="27" t="s">
        <v>3231</v>
      </c>
      <c r="E2623" t="s">
        <v>3038</v>
      </c>
      <c r="F2623" t="s">
        <v>104</v>
      </c>
      <c r="G2623" t="s">
        <v>105</v>
      </c>
      <c r="H2623">
        <v>0</v>
      </c>
    </row>
    <row r="2624" spans="1:8">
      <c r="A2624" t="s">
        <v>5584</v>
      </c>
      <c r="B2624" s="24">
        <v>46176</v>
      </c>
      <c r="C2624" s="27" t="s">
        <v>5797</v>
      </c>
      <c r="D2624" s="27" t="s">
        <v>3231</v>
      </c>
      <c r="E2624" t="s">
        <v>3039</v>
      </c>
      <c r="F2624" t="s">
        <v>104</v>
      </c>
      <c r="G2624" t="s">
        <v>105</v>
      </c>
      <c r="H2624">
        <v>0</v>
      </c>
    </row>
    <row r="2625" spans="1:8">
      <c r="A2625" t="s">
        <v>5585</v>
      </c>
      <c r="B2625" s="24">
        <v>46177</v>
      </c>
      <c r="C2625" s="27" t="s">
        <v>5797</v>
      </c>
      <c r="D2625" s="27" t="s">
        <v>3231</v>
      </c>
      <c r="E2625" t="s">
        <v>3040</v>
      </c>
      <c r="F2625" t="s">
        <v>104</v>
      </c>
      <c r="G2625" t="s">
        <v>105</v>
      </c>
      <c r="H2625">
        <v>0</v>
      </c>
    </row>
    <row r="2626" spans="1:8">
      <c r="A2626" t="s">
        <v>5586</v>
      </c>
      <c r="B2626" s="24">
        <v>46178</v>
      </c>
      <c r="C2626" s="27" t="s">
        <v>5797</v>
      </c>
      <c r="D2626" s="27" t="s">
        <v>3231</v>
      </c>
      <c r="E2626" t="s">
        <v>3041</v>
      </c>
      <c r="F2626" t="s">
        <v>104</v>
      </c>
      <c r="G2626" t="s">
        <v>105</v>
      </c>
      <c r="H2626">
        <v>0</v>
      </c>
    </row>
    <row r="2627" spans="1:8">
      <c r="A2627" t="s">
        <v>5587</v>
      </c>
      <c r="B2627" s="24">
        <v>46181</v>
      </c>
      <c r="C2627" s="27" t="s">
        <v>5797</v>
      </c>
      <c r="D2627" s="27" t="s">
        <v>3231</v>
      </c>
      <c r="E2627" t="s">
        <v>3042</v>
      </c>
      <c r="F2627" t="s">
        <v>104</v>
      </c>
      <c r="G2627" t="s">
        <v>105</v>
      </c>
      <c r="H2627">
        <v>0</v>
      </c>
    </row>
    <row r="2628" spans="1:8">
      <c r="A2628" t="s">
        <v>5588</v>
      </c>
      <c r="B2628" s="24">
        <v>46182</v>
      </c>
      <c r="C2628" s="27" t="s">
        <v>5797</v>
      </c>
      <c r="D2628" s="27" t="s">
        <v>3231</v>
      </c>
      <c r="E2628" t="s">
        <v>3043</v>
      </c>
      <c r="F2628" t="s">
        <v>104</v>
      </c>
      <c r="G2628" t="s">
        <v>105</v>
      </c>
      <c r="H2628">
        <v>0</v>
      </c>
    </row>
    <row r="2629" spans="1:8">
      <c r="A2629" t="s">
        <v>5589</v>
      </c>
      <c r="B2629" s="24">
        <v>46183</v>
      </c>
      <c r="C2629" s="27" t="s">
        <v>5797</v>
      </c>
      <c r="D2629" s="27" t="s">
        <v>3231</v>
      </c>
      <c r="E2629" t="s">
        <v>3044</v>
      </c>
      <c r="F2629" t="s">
        <v>104</v>
      </c>
      <c r="G2629" t="s">
        <v>105</v>
      </c>
      <c r="H2629">
        <v>0</v>
      </c>
    </row>
    <row r="2630" spans="1:8">
      <c r="A2630" t="s">
        <v>5590</v>
      </c>
      <c r="B2630" s="24">
        <v>46184</v>
      </c>
      <c r="C2630" s="27" t="s">
        <v>5797</v>
      </c>
      <c r="D2630" s="27" t="s">
        <v>3231</v>
      </c>
      <c r="E2630" t="s">
        <v>3045</v>
      </c>
      <c r="F2630" t="s">
        <v>104</v>
      </c>
      <c r="G2630" t="s">
        <v>105</v>
      </c>
      <c r="H2630">
        <v>0</v>
      </c>
    </row>
    <row r="2631" spans="1:8">
      <c r="A2631" t="s">
        <v>5591</v>
      </c>
      <c r="B2631" s="24">
        <v>46185</v>
      </c>
      <c r="C2631" s="27" t="s">
        <v>5797</v>
      </c>
      <c r="D2631" s="27" t="s">
        <v>3231</v>
      </c>
      <c r="E2631" t="s">
        <v>3046</v>
      </c>
      <c r="F2631" t="s">
        <v>104</v>
      </c>
      <c r="G2631" t="s">
        <v>105</v>
      </c>
      <c r="H2631">
        <v>0</v>
      </c>
    </row>
    <row r="2632" spans="1:8">
      <c r="A2632" t="s">
        <v>5592</v>
      </c>
      <c r="B2632" s="24">
        <v>46174</v>
      </c>
      <c r="C2632" s="27" t="s">
        <v>5797</v>
      </c>
      <c r="D2632" s="27" t="s">
        <v>3231</v>
      </c>
      <c r="E2632" t="s">
        <v>3047</v>
      </c>
      <c r="F2632" t="s">
        <v>104</v>
      </c>
      <c r="G2632" t="s">
        <v>105</v>
      </c>
      <c r="H2632">
        <v>0</v>
      </c>
    </row>
    <row r="2633" spans="1:8">
      <c r="A2633" t="s">
        <v>5593</v>
      </c>
      <c r="B2633" s="24">
        <v>46175</v>
      </c>
      <c r="C2633" s="27" t="s">
        <v>5797</v>
      </c>
      <c r="D2633" s="27" t="s">
        <v>3231</v>
      </c>
      <c r="E2633" t="s">
        <v>3048</v>
      </c>
      <c r="F2633" t="s">
        <v>104</v>
      </c>
      <c r="G2633" t="s">
        <v>105</v>
      </c>
      <c r="H2633">
        <v>0</v>
      </c>
    </row>
    <row r="2634" spans="1:8">
      <c r="A2634" t="s">
        <v>5594</v>
      </c>
      <c r="B2634" s="24">
        <v>46176</v>
      </c>
      <c r="C2634" s="27" t="s">
        <v>5797</v>
      </c>
      <c r="D2634" s="27" t="s">
        <v>3231</v>
      </c>
      <c r="E2634" t="s">
        <v>3049</v>
      </c>
      <c r="F2634" t="s">
        <v>104</v>
      </c>
      <c r="G2634" t="s">
        <v>105</v>
      </c>
      <c r="H2634">
        <v>0</v>
      </c>
    </row>
    <row r="2635" spans="1:8">
      <c r="A2635" t="s">
        <v>5595</v>
      </c>
      <c r="B2635" s="24">
        <v>46177</v>
      </c>
      <c r="C2635" s="27" t="s">
        <v>5797</v>
      </c>
      <c r="D2635" s="27" t="s">
        <v>3231</v>
      </c>
      <c r="E2635" t="s">
        <v>3050</v>
      </c>
      <c r="F2635" t="s">
        <v>104</v>
      </c>
      <c r="G2635" t="s">
        <v>105</v>
      </c>
      <c r="H2635">
        <v>0</v>
      </c>
    </row>
    <row r="2636" spans="1:8">
      <c r="A2636" t="s">
        <v>5596</v>
      </c>
      <c r="B2636" s="24">
        <v>46178</v>
      </c>
      <c r="C2636" s="27" t="s">
        <v>5797</v>
      </c>
      <c r="D2636" s="27" t="s">
        <v>3231</v>
      </c>
      <c r="E2636" t="s">
        <v>3051</v>
      </c>
      <c r="F2636" t="s">
        <v>104</v>
      </c>
      <c r="G2636" t="s">
        <v>105</v>
      </c>
      <c r="H2636">
        <v>0</v>
      </c>
    </row>
    <row r="2637" spans="1:8">
      <c r="A2637" t="s">
        <v>5597</v>
      </c>
      <c r="B2637" s="24">
        <v>46181</v>
      </c>
      <c r="C2637" s="27" t="s">
        <v>5797</v>
      </c>
      <c r="D2637" s="27" t="s">
        <v>3231</v>
      </c>
      <c r="E2637" t="s">
        <v>3052</v>
      </c>
      <c r="F2637" t="s">
        <v>104</v>
      </c>
      <c r="G2637" t="s">
        <v>105</v>
      </c>
      <c r="H2637">
        <v>0</v>
      </c>
    </row>
    <row r="2638" spans="1:8">
      <c r="A2638" t="s">
        <v>5598</v>
      </c>
      <c r="B2638" s="24">
        <v>46182</v>
      </c>
      <c r="C2638" s="27" t="s">
        <v>5797</v>
      </c>
      <c r="D2638" s="27" t="s">
        <v>3231</v>
      </c>
      <c r="E2638" t="s">
        <v>3053</v>
      </c>
      <c r="F2638" t="s">
        <v>104</v>
      </c>
      <c r="G2638" t="s">
        <v>105</v>
      </c>
      <c r="H2638">
        <v>0</v>
      </c>
    </row>
    <row r="2639" spans="1:8">
      <c r="A2639" t="s">
        <v>5599</v>
      </c>
      <c r="B2639" s="24">
        <v>46183</v>
      </c>
      <c r="C2639" s="27" t="s">
        <v>5797</v>
      </c>
      <c r="D2639" s="27" t="s">
        <v>3231</v>
      </c>
      <c r="E2639" t="s">
        <v>3054</v>
      </c>
      <c r="F2639" t="s">
        <v>104</v>
      </c>
      <c r="G2639" t="s">
        <v>105</v>
      </c>
      <c r="H2639">
        <v>0</v>
      </c>
    </row>
    <row r="2640" spans="1:8">
      <c r="A2640" t="s">
        <v>5600</v>
      </c>
      <c r="B2640" s="24">
        <v>46184</v>
      </c>
      <c r="C2640" s="27" t="s">
        <v>5797</v>
      </c>
      <c r="D2640" s="27" t="s">
        <v>3231</v>
      </c>
      <c r="E2640" t="s">
        <v>3055</v>
      </c>
      <c r="F2640" t="s">
        <v>104</v>
      </c>
      <c r="G2640" t="s">
        <v>105</v>
      </c>
      <c r="H2640">
        <v>0</v>
      </c>
    </row>
    <row r="2641" spans="1:8">
      <c r="A2641" t="s">
        <v>5601</v>
      </c>
      <c r="B2641" s="24">
        <v>46185</v>
      </c>
      <c r="C2641" s="27" t="s">
        <v>5797</v>
      </c>
      <c r="D2641" s="27" t="s">
        <v>3231</v>
      </c>
      <c r="E2641" t="s">
        <v>3056</v>
      </c>
      <c r="F2641" t="s">
        <v>104</v>
      </c>
      <c r="G2641" t="s">
        <v>105</v>
      </c>
      <c r="H2641">
        <v>0</v>
      </c>
    </row>
    <row r="2642" spans="1:8">
      <c r="A2642" t="s">
        <v>5602</v>
      </c>
      <c r="B2642" s="24">
        <v>46174</v>
      </c>
      <c r="C2642" s="27" t="s">
        <v>5797</v>
      </c>
      <c r="D2642" s="27" t="s">
        <v>3231</v>
      </c>
      <c r="E2642" t="s">
        <v>3057</v>
      </c>
      <c r="F2642" t="s">
        <v>104</v>
      </c>
      <c r="G2642" t="s">
        <v>105</v>
      </c>
      <c r="H2642">
        <v>0</v>
      </c>
    </row>
    <row r="2643" spans="1:8">
      <c r="A2643" t="s">
        <v>5603</v>
      </c>
      <c r="B2643" s="24">
        <v>46175</v>
      </c>
      <c r="C2643" s="27" t="s">
        <v>5797</v>
      </c>
      <c r="D2643" s="27" t="s">
        <v>3231</v>
      </c>
      <c r="E2643" t="s">
        <v>3058</v>
      </c>
      <c r="F2643" t="s">
        <v>104</v>
      </c>
      <c r="G2643" t="s">
        <v>105</v>
      </c>
      <c r="H2643">
        <v>0</v>
      </c>
    </row>
    <row r="2644" spans="1:8">
      <c r="A2644" t="s">
        <v>5604</v>
      </c>
      <c r="B2644" s="24">
        <v>46176</v>
      </c>
      <c r="C2644" s="27" t="s">
        <v>5797</v>
      </c>
      <c r="D2644" s="27" t="s">
        <v>3231</v>
      </c>
      <c r="E2644" t="s">
        <v>3059</v>
      </c>
      <c r="F2644" t="s">
        <v>104</v>
      </c>
      <c r="G2644" t="s">
        <v>105</v>
      </c>
      <c r="H2644">
        <v>0</v>
      </c>
    </row>
    <row r="2645" spans="1:8">
      <c r="A2645" t="s">
        <v>5605</v>
      </c>
      <c r="B2645" s="24">
        <v>46177</v>
      </c>
      <c r="C2645" s="27" t="s">
        <v>5797</v>
      </c>
      <c r="D2645" s="27" t="s">
        <v>3231</v>
      </c>
      <c r="E2645" t="s">
        <v>3060</v>
      </c>
      <c r="F2645" t="s">
        <v>104</v>
      </c>
      <c r="G2645" t="s">
        <v>105</v>
      </c>
      <c r="H2645">
        <v>0</v>
      </c>
    </row>
    <row r="2646" spans="1:8">
      <c r="A2646" t="s">
        <v>5606</v>
      </c>
      <c r="B2646" s="24">
        <v>46178</v>
      </c>
      <c r="C2646" s="27" t="s">
        <v>5797</v>
      </c>
      <c r="D2646" s="27" t="s">
        <v>3231</v>
      </c>
      <c r="E2646" t="s">
        <v>3061</v>
      </c>
      <c r="F2646" t="s">
        <v>104</v>
      </c>
      <c r="G2646" t="s">
        <v>105</v>
      </c>
      <c r="H2646">
        <v>0</v>
      </c>
    </row>
    <row r="2647" spans="1:8">
      <c r="A2647" t="s">
        <v>5607</v>
      </c>
      <c r="B2647" s="24">
        <v>46181</v>
      </c>
      <c r="C2647" s="27" t="s">
        <v>5797</v>
      </c>
      <c r="D2647" s="27" t="s">
        <v>3231</v>
      </c>
      <c r="E2647" t="s">
        <v>3062</v>
      </c>
      <c r="F2647" t="s">
        <v>104</v>
      </c>
      <c r="G2647" t="s">
        <v>105</v>
      </c>
      <c r="H2647">
        <v>0</v>
      </c>
    </row>
    <row r="2648" spans="1:8">
      <c r="A2648" t="s">
        <v>5608</v>
      </c>
      <c r="B2648" s="24">
        <v>46182</v>
      </c>
      <c r="C2648" s="27" t="s">
        <v>5797</v>
      </c>
      <c r="D2648" s="27" t="s">
        <v>3231</v>
      </c>
      <c r="E2648" t="s">
        <v>3063</v>
      </c>
      <c r="F2648" t="s">
        <v>104</v>
      </c>
      <c r="G2648" t="s">
        <v>105</v>
      </c>
      <c r="H2648">
        <v>0</v>
      </c>
    </row>
    <row r="2649" spans="1:8">
      <c r="A2649" t="s">
        <v>5609</v>
      </c>
      <c r="B2649" s="24">
        <v>46183</v>
      </c>
      <c r="C2649" s="27" t="s">
        <v>5797</v>
      </c>
      <c r="D2649" s="27" t="s">
        <v>3231</v>
      </c>
      <c r="E2649" t="s">
        <v>3064</v>
      </c>
      <c r="F2649" t="s">
        <v>104</v>
      </c>
      <c r="G2649" t="s">
        <v>105</v>
      </c>
      <c r="H2649">
        <v>0</v>
      </c>
    </row>
    <row r="2650" spans="1:8">
      <c r="A2650" t="s">
        <v>5610</v>
      </c>
      <c r="B2650" s="24">
        <v>46184</v>
      </c>
      <c r="C2650" s="27" t="s">
        <v>5797</v>
      </c>
      <c r="D2650" s="27" t="s">
        <v>3231</v>
      </c>
      <c r="E2650" t="s">
        <v>3065</v>
      </c>
      <c r="F2650" t="s">
        <v>104</v>
      </c>
      <c r="G2650" t="s">
        <v>105</v>
      </c>
      <c r="H2650">
        <v>0</v>
      </c>
    </row>
    <row r="2651" spans="1:8">
      <c r="A2651" t="s">
        <v>5611</v>
      </c>
      <c r="B2651" s="24">
        <v>46185</v>
      </c>
      <c r="C2651" s="27" t="s">
        <v>5797</v>
      </c>
      <c r="D2651" s="27" t="s">
        <v>3231</v>
      </c>
      <c r="E2651" t="s">
        <v>3066</v>
      </c>
      <c r="F2651" t="s">
        <v>104</v>
      </c>
      <c r="G2651" t="s">
        <v>105</v>
      </c>
      <c r="H2651">
        <v>0</v>
      </c>
    </row>
    <row r="2652" spans="1:8">
      <c r="A2652" t="s">
        <v>5612</v>
      </c>
      <c r="B2652" s="24">
        <v>46174</v>
      </c>
      <c r="C2652" s="27" t="s">
        <v>5797</v>
      </c>
      <c r="D2652" s="27" t="s">
        <v>3231</v>
      </c>
      <c r="E2652" t="s">
        <v>3067</v>
      </c>
      <c r="F2652" t="s">
        <v>104</v>
      </c>
      <c r="G2652" t="s">
        <v>105</v>
      </c>
      <c r="H2652">
        <v>0</v>
      </c>
    </row>
    <row r="2653" spans="1:8">
      <c r="A2653" t="s">
        <v>5613</v>
      </c>
      <c r="B2653" s="24">
        <v>46175</v>
      </c>
      <c r="C2653" s="27" t="s">
        <v>5797</v>
      </c>
      <c r="D2653" s="27" t="s">
        <v>3231</v>
      </c>
      <c r="E2653" t="s">
        <v>3068</v>
      </c>
      <c r="F2653" t="s">
        <v>104</v>
      </c>
      <c r="G2653" t="s">
        <v>105</v>
      </c>
      <c r="H2653">
        <v>0</v>
      </c>
    </row>
    <row r="2654" spans="1:8">
      <c r="A2654" t="s">
        <v>5614</v>
      </c>
      <c r="B2654" s="24">
        <v>46176</v>
      </c>
      <c r="C2654" s="27" t="s">
        <v>5797</v>
      </c>
      <c r="D2654" s="27" t="s">
        <v>3231</v>
      </c>
      <c r="E2654" t="s">
        <v>3069</v>
      </c>
      <c r="F2654" t="s">
        <v>104</v>
      </c>
      <c r="G2654" t="s">
        <v>105</v>
      </c>
      <c r="H2654">
        <v>0</v>
      </c>
    </row>
    <row r="2655" spans="1:8">
      <c r="A2655" t="s">
        <v>5615</v>
      </c>
      <c r="B2655" s="24">
        <v>46177</v>
      </c>
      <c r="C2655" s="27" t="s">
        <v>5797</v>
      </c>
      <c r="D2655" s="27" t="s">
        <v>3231</v>
      </c>
      <c r="E2655" t="s">
        <v>3070</v>
      </c>
      <c r="F2655" t="s">
        <v>104</v>
      </c>
      <c r="G2655" t="s">
        <v>105</v>
      </c>
      <c r="H2655">
        <v>0</v>
      </c>
    </row>
    <row r="2656" spans="1:8">
      <c r="A2656" t="s">
        <v>5616</v>
      </c>
      <c r="B2656" s="24">
        <v>46178</v>
      </c>
      <c r="C2656" s="27" t="s">
        <v>5797</v>
      </c>
      <c r="D2656" s="27" t="s">
        <v>3231</v>
      </c>
      <c r="E2656" t="s">
        <v>3071</v>
      </c>
      <c r="F2656" t="s">
        <v>104</v>
      </c>
      <c r="G2656" t="s">
        <v>105</v>
      </c>
      <c r="H2656">
        <v>0</v>
      </c>
    </row>
    <row r="2657" spans="1:8">
      <c r="A2657" t="s">
        <v>5617</v>
      </c>
      <c r="B2657" s="24">
        <v>46181</v>
      </c>
      <c r="C2657" s="27" t="s">
        <v>5797</v>
      </c>
      <c r="D2657" s="27" t="s">
        <v>3231</v>
      </c>
      <c r="E2657" t="s">
        <v>3072</v>
      </c>
      <c r="F2657" t="s">
        <v>104</v>
      </c>
      <c r="G2657" t="s">
        <v>105</v>
      </c>
      <c r="H2657">
        <v>0</v>
      </c>
    </row>
    <row r="2658" spans="1:8">
      <c r="A2658" t="s">
        <v>5618</v>
      </c>
      <c r="B2658" s="24">
        <v>46182</v>
      </c>
      <c r="C2658" s="27" t="s">
        <v>5797</v>
      </c>
      <c r="D2658" s="27" t="s">
        <v>3231</v>
      </c>
      <c r="E2658" t="s">
        <v>3073</v>
      </c>
      <c r="F2658" t="s">
        <v>104</v>
      </c>
      <c r="G2658" t="s">
        <v>105</v>
      </c>
      <c r="H2658">
        <v>0</v>
      </c>
    </row>
    <row r="2659" spans="1:8">
      <c r="A2659" t="s">
        <v>5619</v>
      </c>
      <c r="B2659" s="24">
        <v>46183</v>
      </c>
      <c r="C2659" s="27" t="s">
        <v>5797</v>
      </c>
      <c r="D2659" s="27" t="s">
        <v>3231</v>
      </c>
      <c r="E2659" t="s">
        <v>3074</v>
      </c>
      <c r="F2659" t="s">
        <v>104</v>
      </c>
      <c r="G2659" t="s">
        <v>105</v>
      </c>
      <c r="H2659">
        <v>0</v>
      </c>
    </row>
    <row r="2660" spans="1:8">
      <c r="A2660" t="s">
        <v>5620</v>
      </c>
      <c r="B2660" s="24">
        <v>46184</v>
      </c>
      <c r="C2660" s="27" t="s">
        <v>5797</v>
      </c>
      <c r="D2660" s="27" t="s">
        <v>3231</v>
      </c>
      <c r="E2660" t="s">
        <v>3075</v>
      </c>
      <c r="F2660" t="s">
        <v>104</v>
      </c>
      <c r="G2660" t="s">
        <v>105</v>
      </c>
      <c r="H2660">
        <v>0</v>
      </c>
    </row>
    <row r="2661" spans="1:8">
      <c r="A2661" t="s">
        <v>5621</v>
      </c>
      <c r="B2661" s="24">
        <v>46185</v>
      </c>
      <c r="C2661" s="27" t="s">
        <v>5797</v>
      </c>
      <c r="D2661" s="27" t="s">
        <v>3231</v>
      </c>
      <c r="E2661" t="s">
        <v>3076</v>
      </c>
      <c r="F2661" t="s">
        <v>104</v>
      </c>
      <c r="G2661" t="s">
        <v>105</v>
      </c>
      <c r="H2661">
        <v>0</v>
      </c>
    </row>
    <row r="2662" spans="1:8">
      <c r="A2662" t="s">
        <v>5622</v>
      </c>
      <c r="B2662" s="24">
        <v>46174</v>
      </c>
      <c r="C2662" s="27" t="s">
        <v>5797</v>
      </c>
      <c r="D2662" s="27" t="s">
        <v>3231</v>
      </c>
      <c r="E2662" t="s">
        <v>3077</v>
      </c>
      <c r="F2662" t="s">
        <v>104</v>
      </c>
      <c r="G2662" t="s">
        <v>105</v>
      </c>
      <c r="H2662">
        <v>0</v>
      </c>
    </row>
    <row r="2663" spans="1:8">
      <c r="A2663" t="s">
        <v>5623</v>
      </c>
      <c r="B2663" s="24">
        <v>46175</v>
      </c>
      <c r="C2663" s="27" t="s">
        <v>5797</v>
      </c>
      <c r="D2663" s="27" t="s">
        <v>3231</v>
      </c>
      <c r="E2663" t="s">
        <v>3078</v>
      </c>
      <c r="F2663" t="s">
        <v>104</v>
      </c>
      <c r="G2663" t="s">
        <v>105</v>
      </c>
      <c r="H2663">
        <v>0</v>
      </c>
    </row>
    <row r="2664" spans="1:8">
      <c r="A2664" t="s">
        <v>5624</v>
      </c>
      <c r="B2664" s="24">
        <v>46176</v>
      </c>
      <c r="C2664" s="27" t="s">
        <v>5797</v>
      </c>
      <c r="D2664" s="27" t="s">
        <v>3231</v>
      </c>
      <c r="E2664" t="s">
        <v>3079</v>
      </c>
      <c r="F2664" t="s">
        <v>104</v>
      </c>
      <c r="G2664" t="s">
        <v>105</v>
      </c>
      <c r="H2664">
        <v>0</v>
      </c>
    </row>
    <row r="2665" spans="1:8">
      <c r="A2665" t="s">
        <v>5625</v>
      </c>
      <c r="B2665" s="24">
        <v>46177</v>
      </c>
      <c r="C2665" s="27" t="s">
        <v>5797</v>
      </c>
      <c r="D2665" s="27" t="s">
        <v>3231</v>
      </c>
      <c r="E2665" t="s">
        <v>3080</v>
      </c>
      <c r="F2665" t="s">
        <v>104</v>
      </c>
      <c r="G2665" t="s">
        <v>105</v>
      </c>
      <c r="H2665">
        <v>0</v>
      </c>
    </row>
    <row r="2666" spans="1:8">
      <c r="A2666" t="s">
        <v>5626</v>
      </c>
      <c r="B2666" s="24">
        <v>46178</v>
      </c>
      <c r="C2666" s="27" t="s">
        <v>5797</v>
      </c>
      <c r="D2666" s="27" t="s">
        <v>3231</v>
      </c>
      <c r="E2666" t="s">
        <v>3081</v>
      </c>
      <c r="F2666" t="s">
        <v>104</v>
      </c>
      <c r="G2666" t="s">
        <v>105</v>
      </c>
      <c r="H2666">
        <v>0</v>
      </c>
    </row>
    <row r="2667" spans="1:8">
      <c r="A2667" t="s">
        <v>5627</v>
      </c>
      <c r="B2667" s="24">
        <v>46181</v>
      </c>
      <c r="C2667" s="27" t="s">
        <v>5797</v>
      </c>
      <c r="D2667" s="27" t="s">
        <v>3231</v>
      </c>
      <c r="E2667" t="s">
        <v>3082</v>
      </c>
      <c r="F2667" t="s">
        <v>104</v>
      </c>
      <c r="G2667" t="s">
        <v>105</v>
      </c>
      <c r="H2667">
        <v>0</v>
      </c>
    </row>
    <row r="2668" spans="1:8">
      <c r="A2668" t="s">
        <v>5628</v>
      </c>
      <c r="B2668" s="24">
        <v>46182</v>
      </c>
      <c r="C2668" s="27" t="s">
        <v>5797</v>
      </c>
      <c r="D2668" s="27" t="s">
        <v>3231</v>
      </c>
      <c r="E2668" t="s">
        <v>3083</v>
      </c>
      <c r="F2668" t="s">
        <v>104</v>
      </c>
      <c r="G2668" t="s">
        <v>105</v>
      </c>
      <c r="H2668">
        <v>0</v>
      </c>
    </row>
    <row r="2669" spans="1:8">
      <c r="A2669" t="s">
        <v>5629</v>
      </c>
      <c r="B2669" s="24">
        <v>46183</v>
      </c>
      <c r="C2669" s="27" t="s">
        <v>5797</v>
      </c>
      <c r="D2669" s="27" t="s">
        <v>3231</v>
      </c>
      <c r="E2669" t="s">
        <v>3084</v>
      </c>
      <c r="F2669" t="s">
        <v>104</v>
      </c>
      <c r="G2669" t="s">
        <v>105</v>
      </c>
      <c r="H2669">
        <v>0</v>
      </c>
    </row>
    <row r="2670" spans="1:8">
      <c r="A2670" t="s">
        <v>5630</v>
      </c>
      <c r="B2670" s="24">
        <v>46184</v>
      </c>
      <c r="C2670" s="27" t="s">
        <v>5797</v>
      </c>
      <c r="D2670" s="27" t="s">
        <v>3231</v>
      </c>
      <c r="E2670" t="s">
        <v>3085</v>
      </c>
      <c r="F2670" t="s">
        <v>104</v>
      </c>
      <c r="G2670" t="s">
        <v>105</v>
      </c>
      <c r="H2670">
        <v>0</v>
      </c>
    </row>
    <row r="2671" spans="1:8">
      <c r="A2671" t="s">
        <v>5631</v>
      </c>
      <c r="B2671" s="24">
        <v>46185</v>
      </c>
      <c r="C2671" s="27" t="s">
        <v>5797</v>
      </c>
      <c r="D2671" s="27" t="s">
        <v>3231</v>
      </c>
      <c r="E2671" t="s">
        <v>3086</v>
      </c>
      <c r="F2671" t="s">
        <v>104</v>
      </c>
      <c r="G2671" t="s">
        <v>105</v>
      </c>
      <c r="H2671">
        <v>0</v>
      </c>
    </row>
    <row r="2672" spans="1:8">
      <c r="A2672" t="s">
        <v>5632</v>
      </c>
      <c r="B2672" s="24">
        <v>46174</v>
      </c>
      <c r="C2672" s="27" t="s">
        <v>5797</v>
      </c>
      <c r="D2672" s="27" t="s">
        <v>3231</v>
      </c>
      <c r="E2672" t="s">
        <v>3087</v>
      </c>
      <c r="F2672" t="s">
        <v>104</v>
      </c>
      <c r="G2672" t="s">
        <v>105</v>
      </c>
      <c r="H2672">
        <v>0</v>
      </c>
    </row>
    <row r="2673" spans="1:8">
      <c r="A2673" t="s">
        <v>5633</v>
      </c>
      <c r="B2673" s="24">
        <v>46175</v>
      </c>
      <c r="C2673" s="27" t="s">
        <v>5797</v>
      </c>
      <c r="D2673" s="27" t="s">
        <v>3231</v>
      </c>
      <c r="E2673" t="s">
        <v>3088</v>
      </c>
      <c r="F2673" t="s">
        <v>104</v>
      </c>
      <c r="G2673" t="s">
        <v>105</v>
      </c>
      <c r="H2673">
        <v>0</v>
      </c>
    </row>
    <row r="2674" spans="1:8">
      <c r="A2674" t="s">
        <v>5634</v>
      </c>
      <c r="B2674" s="24">
        <v>46176</v>
      </c>
      <c r="C2674" s="27" t="s">
        <v>5797</v>
      </c>
      <c r="D2674" s="27" t="s">
        <v>3231</v>
      </c>
      <c r="E2674" t="s">
        <v>3089</v>
      </c>
      <c r="F2674" t="s">
        <v>104</v>
      </c>
      <c r="G2674" t="s">
        <v>105</v>
      </c>
      <c r="H2674">
        <v>0</v>
      </c>
    </row>
    <row r="2675" spans="1:8">
      <c r="A2675" t="s">
        <v>5635</v>
      </c>
      <c r="B2675" s="24">
        <v>46177</v>
      </c>
      <c r="C2675" s="27" t="s">
        <v>5797</v>
      </c>
      <c r="D2675" s="27" t="s">
        <v>3231</v>
      </c>
      <c r="E2675" t="s">
        <v>3090</v>
      </c>
      <c r="F2675" t="s">
        <v>104</v>
      </c>
      <c r="G2675" t="s">
        <v>105</v>
      </c>
      <c r="H2675">
        <v>0</v>
      </c>
    </row>
    <row r="2676" spans="1:8">
      <c r="A2676" t="s">
        <v>5636</v>
      </c>
      <c r="B2676" s="24">
        <v>46178</v>
      </c>
      <c r="C2676" s="27" t="s">
        <v>5797</v>
      </c>
      <c r="D2676" s="27" t="s">
        <v>3231</v>
      </c>
      <c r="E2676" t="s">
        <v>3091</v>
      </c>
      <c r="F2676" t="s">
        <v>104</v>
      </c>
      <c r="G2676" t="s">
        <v>105</v>
      </c>
      <c r="H2676">
        <v>0</v>
      </c>
    </row>
    <row r="2677" spans="1:8">
      <c r="A2677" t="s">
        <v>5637</v>
      </c>
      <c r="B2677" s="24">
        <v>46181</v>
      </c>
      <c r="C2677" s="27" t="s">
        <v>5797</v>
      </c>
      <c r="D2677" s="27" t="s">
        <v>3231</v>
      </c>
      <c r="E2677" t="s">
        <v>3092</v>
      </c>
      <c r="F2677" t="s">
        <v>104</v>
      </c>
      <c r="G2677" t="s">
        <v>105</v>
      </c>
      <c r="H2677">
        <v>0</v>
      </c>
    </row>
    <row r="2678" spans="1:8">
      <c r="A2678" t="s">
        <v>5638</v>
      </c>
      <c r="B2678" s="24">
        <v>46182</v>
      </c>
      <c r="C2678" s="27" t="s">
        <v>5797</v>
      </c>
      <c r="D2678" s="27" t="s">
        <v>3231</v>
      </c>
      <c r="E2678" t="s">
        <v>3093</v>
      </c>
      <c r="F2678" t="s">
        <v>104</v>
      </c>
      <c r="G2678" t="s">
        <v>105</v>
      </c>
      <c r="H2678">
        <v>0</v>
      </c>
    </row>
    <row r="2679" spans="1:8">
      <c r="A2679" t="s">
        <v>5639</v>
      </c>
      <c r="B2679" s="24">
        <v>46183</v>
      </c>
      <c r="C2679" s="27" t="s">
        <v>5797</v>
      </c>
      <c r="D2679" s="27" t="s">
        <v>3231</v>
      </c>
      <c r="E2679" t="s">
        <v>3094</v>
      </c>
      <c r="F2679" t="s">
        <v>104</v>
      </c>
      <c r="G2679" t="s">
        <v>105</v>
      </c>
      <c r="H2679">
        <v>0</v>
      </c>
    </row>
    <row r="2680" spans="1:8">
      <c r="A2680" t="s">
        <v>5640</v>
      </c>
      <c r="B2680" s="24">
        <v>46184</v>
      </c>
      <c r="C2680" s="27" t="s">
        <v>5797</v>
      </c>
      <c r="D2680" s="27" t="s">
        <v>3231</v>
      </c>
      <c r="E2680" t="s">
        <v>3095</v>
      </c>
      <c r="F2680" t="s">
        <v>104</v>
      </c>
      <c r="G2680" t="s">
        <v>105</v>
      </c>
      <c r="H2680">
        <v>0</v>
      </c>
    </row>
    <row r="2681" spans="1:8">
      <c r="A2681" t="s">
        <v>5641</v>
      </c>
      <c r="B2681" s="24">
        <v>46185</v>
      </c>
      <c r="C2681" s="27" t="s">
        <v>5797</v>
      </c>
      <c r="D2681" s="27" t="s">
        <v>3231</v>
      </c>
      <c r="E2681" t="s">
        <v>3096</v>
      </c>
      <c r="F2681" t="s">
        <v>104</v>
      </c>
      <c r="G2681" t="s">
        <v>105</v>
      </c>
      <c r="H2681">
        <v>0</v>
      </c>
    </row>
    <row r="2682" spans="1:8">
      <c r="A2682" t="s">
        <v>5642</v>
      </c>
      <c r="B2682" s="24">
        <v>46174</v>
      </c>
      <c r="C2682" s="27" t="s">
        <v>5797</v>
      </c>
      <c r="D2682" s="27" t="s">
        <v>3231</v>
      </c>
      <c r="E2682" t="s">
        <v>3097</v>
      </c>
      <c r="F2682" t="s">
        <v>104</v>
      </c>
      <c r="G2682" t="s">
        <v>105</v>
      </c>
      <c r="H2682">
        <v>0</v>
      </c>
    </row>
    <row r="2683" spans="1:8">
      <c r="A2683" t="s">
        <v>5643</v>
      </c>
      <c r="B2683" s="24">
        <v>46175</v>
      </c>
      <c r="C2683" s="27" t="s">
        <v>5797</v>
      </c>
      <c r="D2683" s="27" t="s">
        <v>3231</v>
      </c>
      <c r="E2683" t="s">
        <v>3098</v>
      </c>
      <c r="F2683" t="s">
        <v>104</v>
      </c>
      <c r="G2683" t="s">
        <v>105</v>
      </c>
      <c r="H2683">
        <v>0</v>
      </c>
    </row>
    <row r="2684" spans="1:8">
      <c r="A2684" t="s">
        <v>5644</v>
      </c>
      <c r="B2684" s="24">
        <v>46176</v>
      </c>
      <c r="C2684" s="27" t="s">
        <v>5797</v>
      </c>
      <c r="D2684" s="27" t="s">
        <v>3231</v>
      </c>
      <c r="E2684" t="s">
        <v>3099</v>
      </c>
      <c r="F2684" t="s">
        <v>104</v>
      </c>
      <c r="G2684" t="s">
        <v>105</v>
      </c>
      <c r="H2684">
        <v>0</v>
      </c>
    </row>
    <row r="2685" spans="1:8">
      <c r="A2685" t="s">
        <v>5645</v>
      </c>
      <c r="B2685" s="24">
        <v>46177</v>
      </c>
      <c r="C2685" s="27" t="s">
        <v>5797</v>
      </c>
      <c r="D2685" s="27" t="s">
        <v>3231</v>
      </c>
      <c r="E2685" t="s">
        <v>3100</v>
      </c>
      <c r="F2685" t="s">
        <v>104</v>
      </c>
      <c r="G2685" t="s">
        <v>105</v>
      </c>
      <c r="H2685">
        <v>0</v>
      </c>
    </row>
    <row r="2686" spans="1:8">
      <c r="A2686" t="s">
        <v>5646</v>
      </c>
      <c r="B2686" s="24">
        <v>46178</v>
      </c>
      <c r="C2686" s="27" t="s">
        <v>5797</v>
      </c>
      <c r="D2686" s="27" t="s">
        <v>3231</v>
      </c>
      <c r="E2686" t="s">
        <v>3101</v>
      </c>
      <c r="F2686" t="s">
        <v>104</v>
      </c>
      <c r="G2686" t="s">
        <v>105</v>
      </c>
      <c r="H2686">
        <v>0</v>
      </c>
    </row>
    <row r="2687" spans="1:8">
      <c r="A2687" t="s">
        <v>5647</v>
      </c>
      <c r="B2687" s="24">
        <v>46181</v>
      </c>
      <c r="C2687" s="27" t="s">
        <v>5797</v>
      </c>
      <c r="D2687" s="27" t="s">
        <v>3231</v>
      </c>
      <c r="E2687" t="s">
        <v>3102</v>
      </c>
      <c r="F2687" t="s">
        <v>104</v>
      </c>
      <c r="G2687" t="s">
        <v>105</v>
      </c>
      <c r="H2687">
        <v>0</v>
      </c>
    </row>
    <row r="2688" spans="1:8">
      <c r="A2688" t="s">
        <v>5648</v>
      </c>
      <c r="B2688" s="24">
        <v>46182</v>
      </c>
      <c r="C2688" s="27" t="s">
        <v>5797</v>
      </c>
      <c r="D2688" s="27" t="s">
        <v>3231</v>
      </c>
      <c r="E2688" t="s">
        <v>3103</v>
      </c>
      <c r="F2688" t="s">
        <v>104</v>
      </c>
      <c r="G2688" t="s">
        <v>105</v>
      </c>
      <c r="H2688">
        <v>0</v>
      </c>
    </row>
    <row r="2689" spans="1:8">
      <c r="A2689" t="s">
        <v>5649</v>
      </c>
      <c r="B2689" s="24">
        <v>46183</v>
      </c>
      <c r="C2689" s="27" t="s">
        <v>5797</v>
      </c>
      <c r="D2689" s="27" t="s">
        <v>3231</v>
      </c>
      <c r="E2689" t="s">
        <v>3104</v>
      </c>
      <c r="F2689" t="s">
        <v>104</v>
      </c>
      <c r="G2689" t="s">
        <v>105</v>
      </c>
      <c r="H2689">
        <v>0</v>
      </c>
    </row>
    <row r="2690" spans="1:8">
      <c r="A2690" t="s">
        <v>5650</v>
      </c>
      <c r="B2690" s="24">
        <v>46184</v>
      </c>
      <c r="C2690" s="27" t="s">
        <v>5797</v>
      </c>
      <c r="D2690" s="27" t="s">
        <v>3231</v>
      </c>
      <c r="E2690" t="s">
        <v>3105</v>
      </c>
      <c r="F2690" t="s">
        <v>104</v>
      </c>
      <c r="G2690" t="s">
        <v>105</v>
      </c>
      <c r="H2690">
        <v>0</v>
      </c>
    </row>
    <row r="2691" spans="1:8">
      <c r="A2691" t="s">
        <v>5651</v>
      </c>
      <c r="B2691" s="24">
        <v>46185</v>
      </c>
      <c r="C2691" s="27" t="s">
        <v>5797</v>
      </c>
      <c r="D2691" s="27" t="s">
        <v>3231</v>
      </c>
      <c r="E2691" t="s">
        <v>3106</v>
      </c>
      <c r="F2691" t="s">
        <v>104</v>
      </c>
      <c r="G2691" t="s">
        <v>105</v>
      </c>
      <c r="H2691">
        <v>0</v>
      </c>
    </row>
    <row r="2692" spans="1:8">
      <c r="A2692" t="s">
        <v>5652</v>
      </c>
      <c r="B2692" s="24">
        <v>46174</v>
      </c>
      <c r="C2692" s="27" t="s">
        <v>5797</v>
      </c>
      <c r="D2692" s="27" t="s">
        <v>3231</v>
      </c>
      <c r="E2692" t="s">
        <v>3107</v>
      </c>
      <c r="F2692" t="s">
        <v>104</v>
      </c>
      <c r="G2692" t="s">
        <v>105</v>
      </c>
      <c r="H2692">
        <v>0</v>
      </c>
    </row>
    <row r="2693" spans="1:8">
      <c r="A2693" t="s">
        <v>5653</v>
      </c>
      <c r="B2693" s="24">
        <v>46175</v>
      </c>
      <c r="C2693" s="27" t="s">
        <v>5797</v>
      </c>
      <c r="D2693" s="27" t="s">
        <v>3231</v>
      </c>
      <c r="E2693" t="s">
        <v>3108</v>
      </c>
      <c r="F2693" t="s">
        <v>104</v>
      </c>
      <c r="G2693" t="s">
        <v>105</v>
      </c>
      <c r="H2693">
        <v>0</v>
      </c>
    </row>
    <row r="2694" spans="1:8">
      <c r="A2694" t="s">
        <v>5654</v>
      </c>
      <c r="B2694" s="24">
        <v>46176</v>
      </c>
      <c r="C2694" s="27" t="s">
        <v>5797</v>
      </c>
      <c r="D2694" s="27" t="s">
        <v>3231</v>
      </c>
      <c r="E2694" t="s">
        <v>3109</v>
      </c>
      <c r="F2694" t="s">
        <v>104</v>
      </c>
      <c r="G2694" t="s">
        <v>105</v>
      </c>
      <c r="H2694">
        <v>0</v>
      </c>
    </row>
    <row r="2695" spans="1:8">
      <c r="A2695" t="s">
        <v>5655</v>
      </c>
      <c r="B2695" s="24">
        <v>46177</v>
      </c>
      <c r="C2695" s="27" t="s">
        <v>5797</v>
      </c>
      <c r="D2695" s="27" t="s">
        <v>3231</v>
      </c>
      <c r="E2695" t="s">
        <v>3110</v>
      </c>
      <c r="F2695" t="s">
        <v>104</v>
      </c>
      <c r="G2695" t="s">
        <v>105</v>
      </c>
      <c r="H2695">
        <v>0</v>
      </c>
    </row>
    <row r="2696" spans="1:8">
      <c r="A2696" t="s">
        <v>5656</v>
      </c>
      <c r="B2696" s="24">
        <v>46178</v>
      </c>
      <c r="C2696" s="27" t="s">
        <v>5797</v>
      </c>
      <c r="D2696" s="27" t="s">
        <v>3231</v>
      </c>
      <c r="E2696" t="s">
        <v>3111</v>
      </c>
      <c r="F2696" t="s">
        <v>104</v>
      </c>
      <c r="G2696" t="s">
        <v>105</v>
      </c>
      <c r="H2696">
        <v>0</v>
      </c>
    </row>
    <row r="2697" spans="1:8">
      <c r="A2697" t="s">
        <v>5657</v>
      </c>
      <c r="B2697" s="24">
        <v>46181</v>
      </c>
      <c r="C2697" s="27" t="s">
        <v>5797</v>
      </c>
      <c r="D2697" s="27" t="s">
        <v>3231</v>
      </c>
      <c r="E2697" t="s">
        <v>3112</v>
      </c>
      <c r="F2697" t="s">
        <v>104</v>
      </c>
      <c r="G2697" t="s">
        <v>105</v>
      </c>
      <c r="H2697">
        <v>0</v>
      </c>
    </row>
    <row r="2698" spans="1:8">
      <c r="A2698" t="s">
        <v>5658</v>
      </c>
      <c r="B2698" s="24">
        <v>46182</v>
      </c>
      <c r="C2698" s="27" t="s">
        <v>5797</v>
      </c>
      <c r="D2698" s="27" t="s">
        <v>3231</v>
      </c>
      <c r="E2698" t="s">
        <v>3113</v>
      </c>
      <c r="F2698" t="s">
        <v>104</v>
      </c>
      <c r="G2698" t="s">
        <v>105</v>
      </c>
      <c r="H2698">
        <v>0</v>
      </c>
    </row>
    <row r="2699" spans="1:8">
      <c r="A2699" t="s">
        <v>5659</v>
      </c>
      <c r="B2699" s="24">
        <v>46183</v>
      </c>
      <c r="C2699" s="27" t="s">
        <v>5797</v>
      </c>
      <c r="D2699" s="27" t="s">
        <v>3231</v>
      </c>
      <c r="E2699" t="s">
        <v>3114</v>
      </c>
      <c r="F2699" t="s">
        <v>104</v>
      </c>
      <c r="G2699" t="s">
        <v>105</v>
      </c>
      <c r="H2699">
        <v>0</v>
      </c>
    </row>
    <row r="2700" spans="1:8">
      <c r="A2700" t="s">
        <v>5660</v>
      </c>
      <c r="B2700" s="24">
        <v>46184</v>
      </c>
      <c r="C2700" s="27" t="s">
        <v>5797</v>
      </c>
      <c r="D2700" s="27" t="s">
        <v>3231</v>
      </c>
      <c r="E2700" t="s">
        <v>3115</v>
      </c>
      <c r="F2700" t="s">
        <v>104</v>
      </c>
      <c r="G2700" t="s">
        <v>105</v>
      </c>
      <c r="H2700">
        <v>0</v>
      </c>
    </row>
    <row r="2701" spans="1:8">
      <c r="A2701" t="s">
        <v>5661</v>
      </c>
      <c r="B2701" s="24">
        <v>46185</v>
      </c>
      <c r="C2701" s="27" t="s">
        <v>5797</v>
      </c>
      <c r="D2701" s="27" t="s">
        <v>3231</v>
      </c>
      <c r="E2701" t="s">
        <v>3116</v>
      </c>
      <c r="F2701" t="s">
        <v>104</v>
      </c>
      <c r="G2701" t="s">
        <v>105</v>
      </c>
      <c r="H2701">
        <v>0</v>
      </c>
    </row>
    <row r="2702" spans="1:8">
      <c r="A2702" t="s">
        <v>5662</v>
      </c>
      <c r="B2702" s="24">
        <v>46174</v>
      </c>
      <c r="C2702" s="27" t="s">
        <v>5797</v>
      </c>
      <c r="D2702" s="27" t="s">
        <v>3231</v>
      </c>
      <c r="E2702" t="s">
        <v>3117</v>
      </c>
      <c r="F2702" t="s">
        <v>104</v>
      </c>
      <c r="G2702" t="s">
        <v>105</v>
      </c>
      <c r="H2702">
        <v>0</v>
      </c>
    </row>
    <row r="2703" spans="1:8">
      <c r="A2703" t="s">
        <v>5663</v>
      </c>
      <c r="B2703" s="24">
        <v>46175</v>
      </c>
      <c r="C2703" s="27" t="s">
        <v>5797</v>
      </c>
      <c r="D2703" s="27" t="s">
        <v>3231</v>
      </c>
      <c r="E2703" t="s">
        <v>3118</v>
      </c>
      <c r="F2703" t="s">
        <v>104</v>
      </c>
      <c r="G2703" t="s">
        <v>105</v>
      </c>
      <c r="H2703">
        <v>0</v>
      </c>
    </row>
    <row r="2704" spans="1:8">
      <c r="A2704" t="s">
        <v>5664</v>
      </c>
      <c r="B2704" s="24">
        <v>46176</v>
      </c>
      <c r="C2704" s="27" t="s">
        <v>5797</v>
      </c>
      <c r="D2704" s="27" t="s">
        <v>3231</v>
      </c>
      <c r="E2704" t="s">
        <v>3119</v>
      </c>
      <c r="F2704" t="s">
        <v>104</v>
      </c>
      <c r="G2704" t="s">
        <v>105</v>
      </c>
      <c r="H2704">
        <v>0</v>
      </c>
    </row>
    <row r="2705" spans="1:8">
      <c r="A2705" t="s">
        <v>5665</v>
      </c>
      <c r="B2705" s="24">
        <v>46177</v>
      </c>
      <c r="C2705" s="27" t="s">
        <v>5797</v>
      </c>
      <c r="D2705" s="27" t="s">
        <v>3231</v>
      </c>
      <c r="E2705" t="s">
        <v>3120</v>
      </c>
      <c r="F2705" t="s">
        <v>104</v>
      </c>
      <c r="G2705" t="s">
        <v>105</v>
      </c>
      <c r="H2705">
        <v>0</v>
      </c>
    </row>
    <row r="2706" spans="1:8">
      <c r="A2706" t="s">
        <v>5666</v>
      </c>
      <c r="B2706" s="24">
        <v>46178</v>
      </c>
      <c r="C2706" s="27" t="s">
        <v>5797</v>
      </c>
      <c r="D2706" s="27" t="s">
        <v>3231</v>
      </c>
      <c r="E2706" t="s">
        <v>3121</v>
      </c>
      <c r="F2706" t="s">
        <v>104</v>
      </c>
      <c r="G2706" t="s">
        <v>105</v>
      </c>
      <c r="H2706">
        <v>0</v>
      </c>
    </row>
    <row r="2707" spans="1:8">
      <c r="A2707" t="s">
        <v>5667</v>
      </c>
      <c r="B2707" s="24">
        <v>46181</v>
      </c>
      <c r="C2707" s="27" t="s">
        <v>5797</v>
      </c>
      <c r="D2707" s="27" t="s">
        <v>3231</v>
      </c>
      <c r="E2707" t="s">
        <v>3122</v>
      </c>
      <c r="F2707" t="s">
        <v>104</v>
      </c>
      <c r="H2707" t="s">
        <v>5762</v>
      </c>
    </row>
    <row r="2708" spans="1:8">
      <c r="A2708" t="s">
        <v>5668</v>
      </c>
      <c r="B2708" s="24">
        <v>46182</v>
      </c>
      <c r="C2708" s="27" t="s">
        <v>5797</v>
      </c>
      <c r="D2708" s="27" t="s">
        <v>3231</v>
      </c>
      <c r="E2708" t="s">
        <v>3123</v>
      </c>
      <c r="F2708" t="s">
        <v>104</v>
      </c>
      <c r="H2708" t="s">
        <v>5762</v>
      </c>
    </row>
    <row r="2709" spans="1:8">
      <c r="A2709" t="s">
        <v>5669</v>
      </c>
      <c r="B2709" s="24">
        <v>46183</v>
      </c>
      <c r="C2709" s="27" t="s">
        <v>5797</v>
      </c>
      <c r="D2709" s="27" t="s">
        <v>3231</v>
      </c>
      <c r="E2709" t="s">
        <v>3124</v>
      </c>
      <c r="F2709" t="s">
        <v>104</v>
      </c>
      <c r="H2709" t="s">
        <v>5762</v>
      </c>
    </row>
    <row r="2710" spans="1:8">
      <c r="A2710" t="s">
        <v>5670</v>
      </c>
      <c r="B2710" s="24">
        <v>46184</v>
      </c>
      <c r="C2710" s="27" t="s">
        <v>5797</v>
      </c>
      <c r="D2710" s="27" t="s">
        <v>3231</v>
      </c>
      <c r="E2710" t="s">
        <v>3125</v>
      </c>
      <c r="F2710" t="s">
        <v>104</v>
      </c>
      <c r="H2710" t="s">
        <v>5762</v>
      </c>
    </row>
    <row r="2711" spans="1:8">
      <c r="A2711" t="s">
        <v>5671</v>
      </c>
      <c r="B2711" s="24">
        <v>46185</v>
      </c>
      <c r="C2711" s="27" t="s">
        <v>5797</v>
      </c>
      <c r="D2711" s="27" t="s">
        <v>3231</v>
      </c>
      <c r="E2711" t="s">
        <v>3126</v>
      </c>
      <c r="F2711" t="s">
        <v>104</v>
      </c>
      <c r="H2711" t="s">
        <v>5762</v>
      </c>
    </row>
    <row r="2712" spans="1:8">
      <c r="A2712" t="s">
        <v>5672</v>
      </c>
      <c r="B2712" s="24">
        <v>46174</v>
      </c>
      <c r="C2712" s="27" t="s">
        <v>5797</v>
      </c>
      <c r="D2712" s="27" t="s">
        <v>3231</v>
      </c>
      <c r="E2712" t="s">
        <v>3127</v>
      </c>
      <c r="F2712" t="s">
        <v>104</v>
      </c>
      <c r="H2712" t="s">
        <v>5762</v>
      </c>
    </row>
    <row r="2713" spans="1:8">
      <c r="A2713" t="s">
        <v>5673</v>
      </c>
      <c r="B2713" s="24">
        <v>46175</v>
      </c>
      <c r="C2713" s="27" t="s">
        <v>5797</v>
      </c>
      <c r="D2713" s="27" t="s">
        <v>3231</v>
      </c>
      <c r="E2713" t="s">
        <v>3128</v>
      </c>
      <c r="F2713" t="s">
        <v>104</v>
      </c>
      <c r="H2713" t="s">
        <v>5762</v>
      </c>
    </row>
    <row r="2714" spans="1:8">
      <c r="A2714" t="s">
        <v>5674</v>
      </c>
      <c r="B2714" s="24">
        <v>46176</v>
      </c>
      <c r="C2714" s="27" t="s">
        <v>5797</v>
      </c>
      <c r="D2714" s="27" t="s">
        <v>3231</v>
      </c>
      <c r="E2714" t="s">
        <v>3129</v>
      </c>
      <c r="F2714" t="s">
        <v>104</v>
      </c>
      <c r="H2714" t="s">
        <v>5762</v>
      </c>
    </row>
    <row r="2715" spans="1:8">
      <c r="A2715" t="s">
        <v>5675</v>
      </c>
      <c r="B2715" s="24">
        <v>46177</v>
      </c>
      <c r="C2715" s="27" t="s">
        <v>5797</v>
      </c>
      <c r="D2715" s="27" t="s">
        <v>3231</v>
      </c>
      <c r="E2715" t="s">
        <v>3130</v>
      </c>
      <c r="F2715" t="s">
        <v>104</v>
      </c>
      <c r="H2715" t="s">
        <v>5762</v>
      </c>
    </row>
    <row r="2716" spans="1:8">
      <c r="A2716" t="s">
        <v>5676</v>
      </c>
      <c r="B2716" s="24">
        <v>46178</v>
      </c>
      <c r="C2716" s="27" t="s">
        <v>5797</v>
      </c>
      <c r="D2716" s="27" t="s">
        <v>3231</v>
      </c>
      <c r="E2716" t="s">
        <v>3131</v>
      </c>
      <c r="F2716" t="s">
        <v>104</v>
      </c>
      <c r="H2716" t="s">
        <v>5762</v>
      </c>
    </row>
    <row r="2717" spans="1:8">
      <c r="A2717" t="s">
        <v>5677</v>
      </c>
      <c r="B2717" s="24">
        <v>46181</v>
      </c>
      <c r="C2717" s="27" t="s">
        <v>5797</v>
      </c>
      <c r="D2717" s="27" t="s">
        <v>3231</v>
      </c>
      <c r="E2717" t="s">
        <v>3132</v>
      </c>
      <c r="F2717" t="s">
        <v>104</v>
      </c>
      <c r="H2717" t="s">
        <v>5762</v>
      </c>
    </row>
    <row r="2718" spans="1:8">
      <c r="A2718" t="s">
        <v>5678</v>
      </c>
      <c r="B2718" s="24">
        <v>46182</v>
      </c>
      <c r="C2718" s="27" t="s">
        <v>5797</v>
      </c>
      <c r="D2718" s="27" t="s">
        <v>3231</v>
      </c>
      <c r="E2718" t="s">
        <v>3133</v>
      </c>
      <c r="F2718" t="s">
        <v>104</v>
      </c>
      <c r="H2718" t="s">
        <v>5762</v>
      </c>
    </row>
    <row r="2719" spans="1:8">
      <c r="A2719" t="s">
        <v>5679</v>
      </c>
      <c r="B2719" s="24">
        <v>46183</v>
      </c>
      <c r="C2719" s="27" t="s">
        <v>5797</v>
      </c>
      <c r="D2719" s="27" t="s">
        <v>3231</v>
      </c>
      <c r="E2719" t="s">
        <v>3134</v>
      </c>
      <c r="F2719" t="s">
        <v>104</v>
      </c>
      <c r="H2719" t="s">
        <v>5762</v>
      </c>
    </row>
    <row r="2720" spans="1:8">
      <c r="A2720" t="s">
        <v>5680</v>
      </c>
      <c r="B2720" s="24">
        <v>46184</v>
      </c>
      <c r="C2720" s="27" t="s">
        <v>5797</v>
      </c>
      <c r="D2720" s="27" t="s">
        <v>3231</v>
      </c>
      <c r="E2720" t="s">
        <v>3135</v>
      </c>
      <c r="F2720" t="s">
        <v>104</v>
      </c>
      <c r="H2720" t="s">
        <v>5762</v>
      </c>
    </row>
    <row r="2721" spans="1:8">
      <c r="A2721" t="s">
        <v>5681</v>
      </c>
      <c r="B2721" s="24">
        <v>46185</v>
      </c>
      <c r="C2721" s="27" t="s">
        <v>5797</v>
      </c>
      <c r="D2721" s="27" t="s">
        <v>3231</v>
      </c>
      <c r="E2721" t="s">
        <v>3136</v>
      </c>
      <c r="F2721" t="s">
        <v>104</v>
      </c>
      <c r="H2721" t="s">
        <v>5762</v>
      </c>
    </row>
    <row r="2722" spans="1:8">
      <c r="A2722" t="s">
        <v>5682</v>
      </c>
      <c r="B2722" s="24">
        <v>46186</v>
      </c>
      <c r="C2722" s="27" t="s">
        <v>5797</v>
      </c>
      <c r="D2722" s="27" t="s">
        <v>3231</v>
      </c>
      <c r="E2722" t="s">
        <v>3137</v>
      </c>
      <c r="F2722" t="s">
        <v>104</v>
      </c>
      <c r="H2722" t="s">
        <v>5762</v>
      </c>
    </row>
    <row r="2723" spans="1:8">
      <c r="A2723" t="s">
        <v>5683</v>
      </c>
      <c r="B2723" s="24">
        <v>46187</v>
      </c>
      <c r="C2723" s="27" t="s">
        <v>5797</v>
      </c>
      <c r="D2723" s="27" t="s">
        <v>3231</v>
      </c>
      <c r="E2723" t="s">
        <v>3138</v>
      </c>
      <c r="F2723" t="s">
        <v>104</v>
      </c>
      <c r="H2723" t="s">
        <v>5762</v>
      </c>
    </row>
    <row r="2724" spans="1:8">
      <c r="A2724" t="s">
        <v>5684</v>
      </c>
      <c r="B2724" s="24">
        <v>46188</v>
      </c>
      <c r="C2724" s="27" t="s">
        <v>5797</v>
      </c>
      <c r="D2724" s="27" t="s">
        <v>3231</v>
      </c>
      <c r="E2724" t="s">
        <v>3139</v>
      </c>
      <c r="F2724" t="s">
        <v>104</v>
      </c>
      <c r="H2724" t="s">
        <v>5762</v>
      </c>
    </row>
    <row r="2725" spans="1:8">
      <c r="A2725" t="s">
        <v>5685</v>
      </c>
      <c r="B2725" s="24">
        <v>46189</v>
      </c>
      <c r="C2725" s="27" t="s">
        <v>5797</v>
      </c>
      <c r="D2725" s="27" t="s">
        <v>3231</v>
      </c>
      <c r="E2725" t="s">
        <v>3140</v>
      </c>
      <c r="F2725" t="s">
        <v>104</v>
      </c>
      <c r="H2725" t="s">
        <v>5762</v>
      </c>
    </row>
    <row r="2726" spans="1:8">
      <c r="A2726" t="s">
        <v>5686</v>
      </c>
      <c r="B2726" s="24">
        <v>46190</v>
      </c>
      <c r="C2726" s="27" t="s">
        <v>5797</v>
      </c>
      <c r="D2726" s="27" t="s">
        <v>3231</v>
      </c>
      <c r="E2726" t="s">
        <v>3141</v>
      </c>
      <c r="F2726" t="s">
        <v>104</v>
      </c>
      <c r="H2726" t="s">
        <v>5762</v>
      </c>
    </row>
    <row r="2727" spans="1:8">
      <c r="A2727" t="s">
        <v>5687</v>
      </c>
      <c r="B2727" s="24">
        <v>46174</v>
      </c>
      <c r="C2727" s="27" t="s">
        <v>5797</v>
      </c>
      <c r="D2727" s="27" t="s">
        <v>3231</v>
      </c>
      <c r="E2727" t="s">
        <v>3142</v>
      </c>
      <c r="F2727" t="s">
        <v>104</v>
      </c>
      <c r="H2727" t="s">
        <v>5762</v>
      </c>
    </row>
    <row r="2728" spans="1:8">
      <c r="A2728" t="s">
        <v>5688</v>
      </c>
      <c r="B2728" s="24">
        <v>46175</v>
      </c>
      <c r="C2728" s="27" t="s">
        <v>5797</v>
      </c>
      <c r="D2728" s="27" t="s">
        <v>3231</v>
      </c>
      <c r="E2728" t="s">
        <v>3143</v>
      </c>
      <c r="F2728" t="s">
        <v>104</v>
      </c>
      <c r="H2728" t="s">
        <v>5762</v>
      </c>
    </row>
    <row r="2729" spans="1:8">
      <c r="A2729" t="s">
        <v>5689</v>
      </c>
      <c r="B2729" s="24">
        <v>46176</v>
      </c>
      <c r="C2729" s="27" t="s">
        <v>5797</v>
      </c>
      <c r="D2729" s="27" t="s">
        <v>3231</v>
      </c>
      <c r="E2729" t="s">
        <v>3144</v>
      </c>
      <c r="F2729" t="s">
        <v>104</v>
      </c>
      <c r="H2729" t="s">
        <v>5762</v>
      </c>
    </row>
    <row r="2730" spans="1:8">
      <c r="A2730" t="s">
        <v>5690</v>
      </c>
      <c r="B2730" s="24">
        <v>46177</v>
      </c>
      <c r="C2730" s="27" t="s">
        <v>5797</v>
      </c>
      <c r="D2730" s="27" t="s">
        <v>3231</v>
      </c>
      <c r="E2730" t="s">
        <v>3145</v>
      </c>
      <c r="F2730" t="s">
        <v>104</v>
      </c>
      <c r="H2730" t="s">
        <v>5762</v>
      </c>
    </row>
    <row r="2731" spans="1:8">
      <c r="A2731" t="s">
        <v>5691</v>
      </c>
      <c r="B2731" s="24">
        <v>46178</v>
      </c>
      <c r="C2731" s="27" t="s">
        <v>5797</v>
      </c>
      <c r="D2731" s="27" t="s">
        <v>3231</v>
      </c>
      <c r="E2731" t="s">
        <v>3146</v>
      </c>
      <c r="F2731" t="s">
        <v>104</v>
      </c>
      <c r="H2731" t="s">
        <v>5762</v>
      </c>
    </row>
    <row r="2732" spans="1:8">
      <c r="A2732" t="s">
        <v>5692</v>
      </c>
      <c r="B2732" s="24">
        <v>46181</v>
      </c>
      <c r="C2732" s="27" t="s">
        <v>5797</v>
      </c>
      <c r="D2732" s="27" t="s">
        <v>3231</v>
      </c>
      <c r="E2732" t="s">
        <v>3147</v>
      </c>
      <c r="F2732" t="s">
        <v>104</v>
      </c>
      <c r="H2732" t="s">
        <v>5762</v>
      </c>
    </row>
    <row r="2733" spans="1:8">
      <c r="A2733" t="s">
        <v>5693</v>
      </c>
      <c r="B2733" s="24">
        <v>46182</v>
      </c>
      <c r="C2733" s="27" t="s">
        <v>5797</v>
      </c>
      <c r="D2733" s="27" t="s">
        <v>3231</v>
      </c>
      <c r="E2733" t="s">
        <v>3148</v>
      </c>
      <c r="F2733" t="s">
        <v>104</v>
      </c>
      <c r="H2733" t="s">
        <v>5762</v>
      </c>
    </row>
    <row r="2734" spans="1:8">
      <c r="A2734" t="s">
        <v>5694</v>
      </c>
      <c r="B2734" s="24">
        <v>46183</v>
      </c>
      <c r="C2734" s="27" t="s">
        <v>5797</v>
      </c>
      <c r="D2734" s="27" t="s">
        <v>3231</v>
      </c>
      <c r="E2734" t="s">
        <v>3149</v>
      </c>
      <c r="F2734" t="s">
        <v>104</v>
      </c>
      <c r="H2734" t="s">
        <v>5762</v>
      </c>
    </row>
    <row r="2735" spans="1:8">
      <c r="A2735" t="s">
        <v>5695</v>
      </c>
      <c r="B2735" s="24">
        <v>46184</v>
      </c>
      <c r="C2735" s="27" t="s">
        <v>5797</v>
      </c>
      <c r="D2735" s="27" t="s">
        <v>3231</v>
      </c>
      <c r="E2735" t="s">
        <v>3150</v>
      </c>
      <c r="F2735" t="s">
        <v>104</v>
      </c>
      <c r="H2735" t="s">
        <v>5762</v>
      </c>
    </row>
    <row r="2736" spans="1:8">
      <c r="A2736" t="s">
        <v>5696</v>
      </c>
      <c r="B2736" s="24">
        <v>46185</v>
      </c>
      <c r="C2736" s="27" t="s">
        <v>5797</v>
      </c>
      <c r="D2736" s="27" t="s">
        <v>3231</v>
      </c>
      <c r="E2736" t="s">
        <v>3151</v>
      </c>
      <c r="F2736" t="s">
        <v>104</v>
      </c>
      <c r="H2736" t="s">
        <v>5762</v>
      </c>
    </row>
    <row r="2737" spans="1:8">
      <c r="A2737" t="s">
        <v>5697</v>
      </c>
      <c r="B2737" s="24">
        <v>46174</v>
      </c>
      <c r="C2737" s="27" t="s">
        <v>5797</v>
      </c>
      <c r="D2737" s="27" t="s">
        <v>3231</v>
      </c>
      <c r="E2737" t="s">
        <v>3152</v>
      </c>
      <c r="F2737" t="s">
        <v>104</v>
      </c>
      <c r="H2737" t="s">
        <v>5762</v>
      </c>
    </row>
    <row r="2738" spans="1:8">
      <c r="A2738" t="s">
        <v>5698</v>
      </c>
      <c r="B2738" s="24">
        <v>46175</v>
      </c>
      <c r="C2738" s="27" t="s">
        <v>5797</v>
      </c>
      <c r="D2738" s="27" t="s">
        <v>3231</v>
      </c>
      <c r="E2738" t="s">
        <v>3153</v>
      </c>
      <c r="F2738" t="s">
        <v>104</v>
      </c>
      <c r="H2738" t="s">
        <v>5762</v>
      </c>
    </row>
    <row r="2739" spans="1:8">
      <c r="A2739" t="s">
        <v>5699</v>
      </c>
      <c r="B2739" s="24">
        <v>46176</v>
      </c>
      <c r="C2739" s="27" t="s">
        <v>5797</v>
      </c>
      <c r="D2739" s="27" t="s">
        <v>3231</v>
      </c>
      <c r="E2739" t="s">
        <v>3154</v>
      </c>
      <c r="F2739" t="s">
        <v>104</v>
      </c>
      <c r="H2739" t="s">
        <v>5762</v>
      </c>
    </row>
    <row r="2740" spans="1:8">
      <c r="A2740" t="s">
        <v>5700</v>
      </c>
      <c r="B2740" s="24">
        <v>46177</v>
      </c>
      <c r="C2740" s="27" t="s">
        <v>5797</v>
      </c>
      <c r="D2740" s="27" t="s">
        <v>3231</v>
      </c>
      <c r="E2740" t="s">
        <v>3155</v>
      </c>
      <c r="F2740" t="s">
        <v>104</v>
      </c>
      <c r="H2740" t="s">
        <v>5762</v>
      </c>
    </row>
    <row r="2741" spans="1:8">
      <c r="A2741" t="s">
        <v>5701</v>
      </c>
      <c r="B2741" s="24">
        <v>46178</v>
      </c>
      <c r="C2741" s="27" t="s">
        <v>5797</v>
      </c>
      <c r="D2741" s="27" t="s">
        <v>3231</v>
      </c>
      <c r="E2741" t="s">
        <v>3156</v>
      </c>
      <c r="F2741" t="s">
        <v>104</v>
      </c>
      <c r="H2741" t="s">
        <v>5762</v>
      </c>
    </row>
    <row r="2742" spans="1:8">
      <c r="A2742" t="s">
        <v>5702</v>
      </c>
      <c r="B2742" s="24">
        <v>46181</v>
      </c>
      <c r="C2742" s="27" t="s">
        <v>5797</v>
      </c>
      <c r="D2742" s="27" t="s">
        <v>3231</v>
      </c>
      <c r="E2742" t="s">
        <v>3157</v>
      </c>
      <c r="F2742" t="s">
        <v>104</v>
      </c>
      <c r="H2742" t="s">
        <v>5762</v>
      </c>
    </row>
    <row r="2743" spans="1:8">
      <c r="A2743" t="s">
        <v>5703</v>
      </c>
      <c r="B2743" s="24">
        <v>46182</v>
      </c>
      <c r="C2743" s="27" t="s">
        <v>5797</v>
      </c>
      <c r="D2743" s="27" t="s">
        <v>3231</v>
      </c>
      <c r="E2743" t="s">
        <v>3158</v>
      </c>
      <c r="F2743" t="s">
        <v>104</v>
      </c>
      <c r="H2743" t="s">
        <v>5762</v>
      </c>
    </row>
    <row r="2744" spans="1:8">
      <c r="A2744" t="s">
        <v>5704</v>
      </c>
      <c r="B2744" s="24">
        <v>46183</v>
      </c>
      <c r="C2744" s="27" t="s">
        <v>5797</v>
      </c>
      <c r="D2744" s="27" t="s">
        <v>3231</v>
      </c>
      <c r="E2744" t="s">
        <v>3159</v>
      </c>
      <c r="F2744" t="s">
        <v>104</v>
      </c>
      <c r="H2744" t="s">
        <v>5762</v>
      </c>
    </row>
    <row r="2745" spans="1:8">
      <c r="A2745" t="s">
        <v>5705</v>
      </c>
      <c r="B2745" s="24">
        <v>46184</v>
      </c>
      <c r="C2745" s="27" t="s">
        <v>5797</v>
      </c>
      <c r="D2745" s="27" t="s">
        <v>3231</v>
      </c>
      <c r="E2745" t="s">
        <v>3160</v>
      </c>
      <c r="F2745" t="s">
        <v>104</v>
      </c>
      <c r="H2745" t="s">
        <v>5762</v>
      </c>
    </row>
    <row r="2746" spans="1:8">
      <c r="A2746" t="s">
        <v>5706</v>
      </c>
      <c r="B2746" s="24">
        <v>46185</v>
      </c>
      <c r="C2746" s="27" t="s">
        <v>5797</v>
      </c>
      <c r="D2746" s="27" t="s">
        <v>3231</v>
      </c>
      <c r="E2746" t="s">
        <v>3161</v>
      </c>
      <c r="F2746" t="s">
        <v>104</v>
      </c>
      <c r="H2746" t="s">
        <v>5762</v>
      </c>
    </row>
    <row r="2747" spans="1:8">
      <c r="A2747" t="s">
        <v>5707</v>
      </c>
      <c r="B2747" s="24">
        <v>46174</v>
      </c>
      <c r="C2747" s="27" t="s">
        <v>5797</v>
      </c>
      <c r="D2747" s="27" t="s">
        <v>3231</v>
      </c>
      <c r="E2747" t="s">
        <v>3162</v>
      </c>
      <c r="F2747" t="s">
        <v>104</v>
      </c>
      <c r="H2747" t="s">
        <v>5762</v>
      </c>
    </row>
    <row r="2748" spans="1:8">
      <c r="A2748" t="s">
        <v>5708</v>
      </c>
      <c r="B2748" s="24">
        <v>46175</v>
      </c>
      <c r="C2748" s="27" t="s">
        <v>5797</v>
      </c>
      <c r="D2748" s="27" t="s">
        <v>3231</v>
      </c>
      <c r="E2748" t="s">
        <v>3163</v>
      </c>
      <c r="F2748" t="s">
        <v>104</v>
      </c>
      <c r="H2748" t="s">
        <v>5762</v>
      </c>
    </row>
    <row r="2749" spans="1:8">
      <c r="A2749" t="s">
        <v>5709</v>
      </c>
      <c r="B2749" s="24">
        <v>46176</v>
      </c>
      <c r="C2749" s="27" t="s">
        <v>5797</v>
      </c>
      <c r="D2749" s="27" t="s">
        <v>3231</v>
      </c>
      <c r="E2749" t="s">
        <v>3164</v>
      </c>
      <c r="F2749" t="s">
        <v>104</v>
      </c>
      <c r="H2749" t="s">
        <v>5762</v>
      </c>
    </row>
    <row r="2750" spans="1:8">
      <c r="A2750" t="s">
        <v>5710</v>
      </c>
      <c r="B2750" s="24">
        <v>46177</v>
      </c>
      <c r="C2750" s="27" t="s">
        <v>5797</v>
      </c>
      <c r="D2750" s="27" t="s">
        <v>3231</v>
      </c>
      <c r="E2750" t="s">
        <v>3165</v>
      </c>
      <c r="F2750" t="s">
        <v>104</v>
      </c>
      <c r="H2750" t="s">
        <v>5762</v>
      </c>
    </row>
    <row r="2751" spans="1:8">
      <c r="A2751" t="s">
        <v>5711</v>
      </c>
      <c r="B2751" s="24">
        <v>46178</v>
      </c>
      <c r="C2751" s="27" t="s">
        <v>5797</v>
      </c>
      <c r="D2751" s="27" t="s">
        <v>3231</v>
      </c>
      <c r="E2751" t="s">
        <v>3166</v>
      </c>
      <c r="F2751" t="s">
        <v>104</v>
      </c>
      <c r="H2751" t="s">
        <v>5762</v>
      </c>
    </row>
    <row r="2752" spans="1:8">
      <c r="A2752" t="s">
        <v>5712</v>
      </c>
      <c r="B2752" s="24">
        <v>46181</v>
      </c>
      <c r="C2752" s="27" t="s">
        <v>5797</v>
      </c>
      <c r="D2752" s="27" t="s">
        <v>3231</v>
      </c>
      <c r="E2752" t="s">
        <v>3167</v>
      </c>
      <c r="F2752" t="s">
        <v>104</v>
      </c>
      <c r="H2752" t="s">
        <v>5762</v>
      </c>
    </row>
    <row r="2753" spans="1:8">
      <c r="A2753" t="s">
        <v>5713</v>
      </c>
      <c r="B2753" s="24">
        <v>46182</v>
      </c>
      <c r="C2753" s="27" t="s">
        <v>5797</v>
      </c>
      <c r="D2753" s="27" t="s">
        <v>3231</v>
      </c>
      <c r="E2753" t="s">
        <v>3168</v>
      </c>
      <c r="F2753" t="s">
        <v>104</v>
      </c>
      <c r="H2753" t="s">
        <v>5762</v>
      </c>
    </row>
    <row r="2754" spans="1:8">
      <c r="A2754" t="s">
        <v>5714</v>
      </c>
      <c r="B2754" s="24">
        <v>46183</v>
      </c>
      <c r="C2754" s="27" t="s">
        <v>5797</v>
      </c>
      <c r="D2754" s="27" t="s">
        <v>3231</v>
      </c>
      <c r="E2754" t="s">
        <v>3169</v>
      </c>
      <c r="F2754" t="s">
        <v>104</v>
      </c>
      <c r="H2754" t="s">
        <v>5762</v>
      </c>
    </row>
    <row r="2755" spans="1:8">
      <c r="A2755" t="s">
        <v>5715</v>
      </c>
      <c r="B2755" s="24">
        <v>46184</v>
      </c>
      <c r="C2755" s="27" t="s">
        <v>5797</v>
      </c>
      <c r="D2755" s="27" t="s">
        <v>3231</v>
      </c>
      <c r="E2755" t="s">
        <v>3170</v>
      </c>
      <c r="F2755" t="s">
        <v>104</v>
      </c>
      <c r="H2755" t="s">
        <v>5762</v>
      </c>
    </row>
    <row r="2756" spans="1:8">
      <c r="A2756" t="s">
        <v>5716</v>
      </c>
      <c r="B2756" s="24">
        <v>46185</v>
      </c>
      <c r="C2756" s="27" t="s">
        <v>5797</v>
      </c>
      <c r="D2756" s="27" t="s">
        <v>3231</v>
      </c>
      <c r="E2756" t="s">
        <v>3171</v>
      </c>
      <c r="F2756" t="s">
        <v>104</v>
      </c>
      <c r="H2756" t="s">
        <v>5762</v>
      </c>
    </row>
    <row r="2757" spans="1:8">
      <c r="A2757" t="s">
        <v>5717</v>
      </c>
      <c r="B2757" s="24">
        <v>46174</v>
      </c>
      <c r="C2757" s="27" t="s">
        <v>5797</v>
      </c>
      <c r="D2757" s="27" t="s">
        <v>3231</v>
      </c>
      <c r="E2757" t="s">
        <v>3172</v>
      </c>
      <c r="F2757" t="s">
        <v>104</v>
      </c>
      <c r="H2757" t="s">
        <v>5762</v>
      </c>
    </row>
    <row r="2758" spans="1:8">
      <c r="A2758" t="s">
        <v>5718</v>
      </c>
      <c r="B2758" s="24">
        <v>46175</v>
      </c>
      <c r="C2758" s="27" t="s">
        <v>5797</v>
      </c>
      <c r="D2758" s="27" t="s">
        <v>3231</v>
      </c>
      <c r="E2758" t="s">
        <v>3173</v>
      </c>
      <c r="F2758" t="s">
        <v>104</v>
      </c>
      <c r="H2758" t="s">
        <v>5762</v>
      </c>
    </row>
    <row r="2759" spans="1:8">
      <c r="A2759" t="s">
        <v>5719</v>
      </c>
      <c r="B2759" s="24">
        <v>46176</v>
      </c>
      <c r="C2759" s="27" t="s">
        <v>5797</v>
      </c>
      <c r="D2759" s="27" t="s">
        <v>3231</v>
      </c>
      <c r="E2759" t="s">
        <v>3174</v>
      </c>
      <c r="F2759" t="s">
        <v>104</v>
      </c>
      <c r="H2759" t="s">
        <v>5762</v>
      </c>
    </row>
    <row r="2760" spans="1:8">
      <c r="A2760" t="s">
        <v>5720</v>
      </c>
      <c r="B2760" s="24">
        <v>46177</v>
      </c>
      <c r="C2760" s="27" t="s">
        <v>5797</v>
      </c>
      <c r="D2760" s="27" t="s">
        <v>3231</v>
      </c>
      <c r="E2760" t="s">
        <v>3175</v>
      </c>
      <c r="F2760" t="s">
        <v>104</v>
      </c>
      <c r="H2760" t="s">
        <v>5762</v>
      </c>
    </row>
    <row r="2761" spans="1:8">
      <c r="A2761" t="s">
        <v>5721</v>
      </c>
      <c r="B2761" s="24">
        <v>46178</v>
      </c>
      <c r="C2761" s="27" t="s">
        <v>5797</v>
      </c>
      <c r="D2761" s="27" t="s">
        <v>3231</v>
      </c>
      <c r="E2761" t="s">
        <v>3176</v>
      </c>
      <c r="F2761" t="s">
        <v>104</v>
      </c>
      <c r="H2761" t="s">
        <v>5762</v>
      </c>
    </row>
    <row r="2762" spans="1:8">
      <c r="A2762" t="s">
        <v>5722</v>
      </c>
      <c r="B2762" s="24">
        <v>46181</v>
      </c>
      <c r="C2762" s="27" t="s">
        <v>5797</v>
      </c>
      <c r="D2762" s="27" t="s">
        <v>3231</v>
      </c>
      <c r="E2762" t="s">
        <v>3177</v>
      </c>
      <c r="F2762" t="s">
        <v>104</v>
      </c>
      <c r="H2762" t="s">
        <v>5762</v>
      </c>
    </row>
    <row r="2763" spans="1:8">
      <c r="A2763" t="s">
        <v>5723</v>
      </c>
      <c r="B2763" s="24">
        <v>46182</v>
      </c>
      <c r="C2763" s="27" t="s">
        <v>5797</v>
      </c>
      <c r="D2763" s="27" t="s">
        <v>3231</v>
      </c>
      <c r="E2763" t="s">
        <v>3178</v>
      </c>
      <c r="F2763" t="s">
        <v>104</v>
      </c>
      <c r="H2763" t="s">
        <v>5762</v>
      </c>
    </row>
    <row r="2764" spans="1:8">
      <c r="A2764" t="s">
        <v>5724</v>
      </c>
      <c r="B2764" s="24">
        <v>46183</v>
      </c>
      <c r="C2764" s="27" t="s">
        <v>5797</v>
      </c>
      <c r="D2764" s="27" t="s">
        <v>3231</v>
      </c>
      <c r="E2764" t="s">
        <v>3179</v>
      </c>
      <c r="F2764" t="s">
        <v>104</v>
      </c>
      <c r="H2764" t="s">
        <v>5762</v>
      </c>
    </row>
    <row r="2765" spans="1:8">
      <c r="A2765" t="s">
        <v>5725</v>
      </c>
      <c r="B2765" s="24">
        <v>46184</v>
      </c>
      <c r="C2765" s="27" t="s">
        <v>5797</v>
      </c>
      <c r="D2765" s="27" t="s">
        <v>3231</v>
      </c>
      <c r="E2765" t="s">
        <v>3180</v>
      </c>
      <c r="F2765" t="s">
        <v>104</v>
      </c>
      <c r="H2765" t="s">
        <v>5762</v>
      </c>
    </row>
    <row r="2766" spans="1:8">
      <c r="A2766" t="s">
        <v>5726</v>
      </c>
      <c r="B2766" s="24">
        <v>46185</v>
      </c>
      <c r="C2766" s="27" t="s">
        <v>5797</v>
      </c>
      <c r="D2766" s="27" t="s">
        <v>3231</v>
      </c>
      <c r="E2766" t="s">
        <v>3181</v>
      </c>
      <c r="F2766" t="s">
        <v>104</v>
      </c>
      <c r="H2766" t="s">
        <v>5762</v>
      </c>
    </row>
    <row r="2767" spans="1:8">
      <c r="A2767" t="s">
        <v>5727</v>
      </c>
      <c r="B2767" s="24">
        <v>46174</v>
      </c>
      <c r="C2767" s="27" t="s">
        <v>5797</v>
      </c>
      <c r="D2767" s="27" t="s">
        <v>3231</v>
      </c>
      <c r="E2767" t="s">
        <v>3182</v>
      </c>
      <c r="F2767" t="s">
        <v>104</v>
      </c>
      <c r="H2767" t="s">
        <v>5762</v>
      </c>
    </row>
    <row r="2768" spans="1:8">
      <c r="A2768" t="s">
        <v>5728</v>
      </c>
      <c r="B2768" s="24">
        <v>46175</v>
      </c>
      <c r="C2768" s="27" t="s">
        <v>5797</v>
      </c>
      <c r="D2768" s="27" t="s">
        <v>3231</v>
      </c>
      <c r="E2768" t="s">
        <v>3183</v>
      </c>
      <c r="F2768" t="s">
        <v>104</v>
      </c>
      <c r="H2768" t="s">
        <v>5762</v>
      </c>
    </row>
    <row r="2769" spans="1:8">
      <c r="A2769" t="s">
        <v>5729</v>
      </c>
      <c r="B2769" s="24">
        <v>46176</v>
      </c>
      <c r="C2769" s="27" t="s">
        <v>5797</v>
      </c>
      <c r="D2769" s="27" t="s">
        <v>3231</v>
      </c>
      <c r="E2769" t="s">
        <v>3184</v>
      </c>
      <c r="F2769" t="s">
        <v>104</v>
      </c>
      <c r="H2769" t="s">
        <v>5762</v>
      </c>
    </row>
    <row r="2770" spans="1:8">
      <c r="A2770" t="s">
        <v>5730</v>
      </c>
      <c r="B2770" s="24">
        <v>46177</v>
      </c>
      <c r="C2770" s="27" t="s">
        <v>5797</v>
      </c>
      <c r="D2770" s="27" t="s">
        <v>3231</v>
      </c>
      <c r="E2770" t="s">
        <v>3185</v>
      </c>
      <c r="F2770" t="s">
        <v>104</v>
      </c>
      <c r="H2770" t="s">
        <v>5762</v>
      </c>
    </row>
    <row r="2771" spans="1:8">
      <c r="A2771" t="s">
        <v>5731</v>
      </c>
      <c r="B2771" s="24">
        <v>46178</v>
      </c>
      <c r="C2771" s="27" t="s">
        <v>5797</v>
      </c>
      <c r="D2771" s="27" t="s">
        <v>3231</v>
      </c>
      <c r="E2771" t="s">
        <v>3186</v>
      </c>
      <c r="F2771" t="s">
        <v>104</v>
      </c>
      <c r="H2771" t="s">
        <v>5762</v>
      </c>
    </row>
    <row r="2772" spans="1:8">
      <c r="A2772" t="s">
        <v>5732</v>
      </c>
      <c r="B2772" s="24">
        <v>46181</v>
      </c>
      <c r="C2772" s="27" t="s">
        <v>5797</v>
      </c>
      <c r="D2772" s="27" t="s">
        <v>3231</v>
      </c>
      <c r="E2772" t="s">
        <v>3187</v>
      </c>
      <c r="F2772" t="s">
        <v>104</v>
      </c>
      <c r="H2772" t="s">
        <v>5762</v>
      </c>
    </row>
    <row r="2773" spans="1:8">
      <c r="A2773" t="s">
        <v>5733</v>
      </c>
      <c r="B2773" s="24">
        <v>46182</v>
      </c>
      <c r="C2773" s="27" t="s">
        <v>5797</v>
      </c>
      <c r="D2773" s="27" t="s">
        <v>3231</v>
      </c>
      <c r="E2773" t="s">
        <v>3188</v>
      </c>
      <c r="F2773" t="s">
        <v>104</v>
      </c>
      <c r="H2773" t="s">
        <v>5762</v>
      </c>
    </row>
    <row r="2774" spans="1:8">
      <c r="A2774" t="s">
        <v>5734</v>
      </c>
      <c r="B2774" s="24">
        <v>46183</v>
      </c>
      <c r="C2774" s="27" t="s">
        <v>5797</v>
      </c>
      <c r="D2774" s="27" t="s">
        <v>3231</v>
      </c>
      <c r="E2774" t="s">
        <v>3189</v>
      </c>
      <c r="F2774" t="s">
        <v>104</v>
      </c>
      <c r="H2774" t="s">
        <v>5762</v>
      </c>
    </row>
    <row r="2775" spans="1:8">
      <c r="A2775" t="s">
        <v>5735</v>
      </c>
      <c r="B2775" s="24">
        <v>46184</v>
      </c>
      <c r="C2775" s="27" t="s">
        <v>5797</v>
      </c>
      <c r="D2775" s="27" t="s">
        <v>3231</v>
      </c>
      <c r="E2775" t="s">
        <v>3190</v>
      </c>
      <c r="F2775" t="s">
        <v>104</v>
      </c>
      <c r="H2775" t="s">
        <v>5762</v>
      </c>
    </row>
    <row r="2776" spans="1:8">
      <c r="A2776" t="s">
        <v>5736</v>
      </c>
      <c r="B2776" s="24">
        <v>46185</v>
      </c>
      <c r="C2776" s="27" t="s">
        <v>5797</v>
      </c>
      <c r="D2776" s="27" t="s">
        <v>3231</v>
      </c>
      <c r="E2776" t="s">
        <v>3191</v>
      </c>
      <c r="F2776" t="s">
        <v>104</v>
      </c>
      <c r="H2776" t="s">
        <v>5762</v>
      </c>
    </row>
    <row r="2777" spans="1:8">
      <c r="A2777" t="s">
        <v>5737</v>
      </c>
      <c r="B2777" s="24">
        <v>46174</v>
      </c>
      <c r="C2777" s="27" t="s">
        <v>5797</v>
      </c>
      <c r="D2777" s="27" t="s">
        <v>3231</v>
      </c>
      <c r="E2777" t="s">
        <v>3192</v>
      </c>
      <c r="F2777" t="s">
        <v>104</v>
      </c>
      <c r="H2777" t="s">
        <v>5762</v>
      </c>
    </row>
    <row r="2778" spans="1:8">
      <c r="A2778" t="s">
        <v>5738</v>
      </c>
      <c r="B2778" s="24">
        <v>46175</v>
      </c>
      <c r="C2778" s="27" t="s">
        <v>5797</v>
      </c>
      <c r="D2778" s="27" t="s">
        <v>3231</v>
      </c>
      <c r="E2778" t="s">
        <v>3193</v>
      </c>
      <c r="F2778" t="s">
        <v>104</v>
      </c>
      <c r="H2778" t="s">
        <v>5762</v>
      </c>
    </row>
    <row r="2779" spans="1:8">
      <c r="A2779" t="s">
        <v>5739</v>
      </c>
      <c r="B2779" s="24">
        <v>46176</v>
      </c>
      <c r="C2779" s="27" t="s">
        <v>5797</v>
      </c>
      <c r="D2779" s="27" t="s">
        <v>3231</v>
      </c>
      <c r="E2779" t="s">
        <v>3194</v>
      </c>
      <c r="F2779" t="s">
        <v>104</v>
      </c>
      <c r="H2779" t="s">
        <v>5762</v>
      </c>
    </row>
    <row r="2780" spans="1:8">
      <c r="A2780" t="s">
        <v>5740</v>
      </c>
      <c r="B2780" s="24">
        <v>46177</v>
      </c>
      <c r="C2780" s="27" t="s">
        <v>5797</v>
      </c>
      <c r="D2780" s="27" t="s">
        <v>3231</v>
      </c>
      <c r="E2780" t="s">
        <v>3195</v>
      </c>
      <c r="F2780" t="s">
        <v>104</v>
      </c>
      <c r="H2780" t="s">
        <v>5762</v>
      </c>
    </row>
    <row r="2781" spans="1:8">
      <c r="A2781" t="s">
        <v>5741</v>
      </c>
      <c r="B2781" s="24">
        <v>46178</v>
      </c>
      <c r="C2781" s="27" t="s">
        <v>5797</v>
      </c>
      <c r="D2781" s="27" t="s">
        <v>3231</v>
      </c>
      <c r="E2781" t="s">
        <v>3196</v>
      </c>
      <c r="F2781" t="s">
        <v>104</v>
      </c>
      <c r="H2781" t="s">
        <v>5762</v>
      </c>
    </row>
    <row r="2782" spans="1:8">
      <c r="A2782" t="s">
        <v>5742</v>
      </c>
      <c r="B2782" s="24">
        <v>46181</v>
      </c>
      <c r="C2782" s="27" t="s">
        <v>5797</v>
      </c>
      <c r="D2782" s="27" t="s">
        <v>3231</v>
      </c>
      <c r="E2782" t="s">
        <v>3197</v>
      </c>
      <c r="F2782" t="s">
        <v>104</v>
      </c>
      <c r="H2782" t="s">
        <v>5762</v>
      </c>
    </row>
    <row r="2783" spans="1:8">
      <c r="A2783" t="s">
        <v>5743</v>
      </c>
      <c r="B2783" s="24">
        <v>46182</v>
      </c>
      <c r="C2783" s="27" t="s">
        <v>5797</v>
      </c>
      <c r="D2783" s="27" t="s">
        <v>3231</v>
      </c>
      <c r="E2783" t="s">
        <v>3198</v>
      </c>
      <c r="F2783" t="s">
        <v>104</v>
      </c>
      <c r="H2783" t="s">
        <v>5762</v>
      </c>
    </row>
    <row r="2784" spans="1:8">
      <c r="A2784" t="s">
        <v>5744</v>
      </c>
      <c r="B2784" s="24">
        <v>46183</v>
      </c>
      <c r="C2784" s="27" t="s">
        <v>5797</v>
      </c>
      <c r="D2784" s="27" t="s">
        <v>3231</v>
      </c>
      <c r="E2784" t="s">
        <v>3199</v>
      </c>
      <c r="F2784" t="s">
        <v>104</v>
      </c>
      <c r="H2784" t="s">
        <v>5762</v>
      </c>
    </row>
    <row r="2785" spans="1:8">
      <c r="A2785" t="s">
        <v>5745</v>
      </c>
      <c r="B2785" s="24">
        <v>46184</v>
      </c>
      <c r="C2785" s="27" t="s">
        <v>5797</v>
      </c>
      <c r="D2785" s="27" t="s">
        <v>3231</v>
      </c>
      <c r="E2785" t="s">
        <v>3200</v>
      </c>
      <c r="F2785" t="s">
        <v>104</v>
      </c>
      <c r="H2785" t="s">
        <v>5762</v>
      </c>
    </row>
    <row r="2786" spans="1:8">
      <c r="A2786" t="s">
        <v>5746</v>
      </c>
      <c r="B2786" s="24">
        <v>46185</v>
      </c>
      <c r="C2786" s="27" t="s">
        <v>5797</v>
      </c>
      <c r="D2786" s="27" t="s">
        <v>3231</v>
      </c>
      <c r="E2786" t="s">
        <v>3201</v>
      </c>
      <c r="F2786" t="s">
        <v>104</v>
      </c>
      <c r="H2786" t="s">
        <v>5762</v>
      </c>
    </row>
    <row r="2787" spans="1:8">
      <c r="A2787" t="s">
        <v>5747</v>
      </c>
      <c r="B2787" s="24">
        <v>46174</v>
      </c>
      <c r="C2787" s="27" t="s">
        <v>5797</v>
      </c>
      <c r="D2787" s="27" t="s">
        <v>3231</v>
      </c>
      <c r="E2787" t="s">
        <v>3202</v>
      </c>
      <c r="F2787" t="s">
        <v>104</v>
      </c>
      <c r="H2787" t="s">
        <v>5762</v>
      </c>
    </row>
    <row r="2788" spans="1:8">
      <c r="A2788" t="s">
        <v>5748</v>
      </c>
      <c r="B2788" s="24">
        <v>46175</v>
      </c>
      <c r="C2788" s="27" t="s">
        <v>5797</v>
      </c>
      <c r="D2788" s="27" t="s">
        <v>3231</v>
      </c>
      <c r="E2788" t="s">
        <v>3203</v>
      </c>
      <c r="F2788" t="s">
        <v>104</v>
      </c>
      <c r="H2788" t="s">
        <v>5762</v>
      </c>
    </row>
    <row r="2789" spans="1:8">
      <c r="A2789" t="s">
        <v>5749</v>
      </c>
      <c r="B2789" s="24">
        <v>46176</v>
      </c>
      <c r="C2789" s="27" t="s">
        <v>5797</v>
      </c>
      <c r="D2789" s="27" t="s">
        <v>3231</v>
      </c>
      <c r="E2789" t="s">
        <v>3204</v>
      </c>
      <c r="F2789" t="s">
        <v>104</v>
      </c>
      <c r="H2789" t="s">
        <v>5762</v>
      </c>
    </row>
    <row r="2790" spans="1:8">
      <c r="A2790" t="s">
        <v>5750</v>
      </c>
      <c r="B2790" s="24">
        <v>46177</v>
      </c>
      <c r="C2790" s="27" t="s">
        <v>5797</v>
      </c>
      <c r="D2790" s="27" t="s">
        <v>3231</v>
      </c>
      <c r="E2790" t="s">
        <v>3205</v>
      </c>
      <c r="F2790" t="s">
        <v>104</v>
      </c>
      <c r="H2790" t="s">
        <v>5762</v>
      </c>
    </row>
    <row r="2791" spans="1:8">
      <c r="A2791" t="s">
        <v>5751</v>
      </c>
      <c r="B2791" s="24">
        <v>46178</v>
      </c>
      <c r="C2791" s="27" t="s">
        <v>5797</v>
      </c>
      <c r="D2791" s="27" t="s">
        <v>3231</v>
      </c>
      <c r="E2791" t="s">
        <v>3206</v>
      </c>
      <c r="F2791" t="s">
        <v>104</v>
      </c>
      <c r="H2791" t="s">
        <v>5762</v>
      </c>
    </row>
    <row r="2792" spans="1:8">
      <c r="A2792" t="s">
        <v>5752</v>
      </c>
      <c r="B2792" s="24">
        <v>46181</v>
      </c>
      <c r="C2792" s="27" t="s">
        <v>5797</v>
      </c>
      <c r="D2792" s="27" t="s">
        <v>3231</v>
      </c>
      <c r="E2792" t="s">
        <v>3207</v>
      </c>
      <c r="F2792" t="s">
        <v>104</v>
      </c>
      <c r="H2792" t="s">
        <v>5762</v>
      </c>
    </row>
    <row r="2793" spans="1:8">
      <c r="A2793" t="s">
        <v>5753</v>
      </c>
      <c r="B2793" s="24">
        <v>46182</v>
      </c>
      <c r="C2793" s="27" t="s">
        <v>5797</v>
      </c>
      <c r="D2793" s="27" t="s">
        <v>3231</v>
      </c>
      <c r="E2793" t="s">
        <v>3208</v>
      </c>
      <c r="F2793" t="s">
        <v>104</v>
      </c>
      <c r="H2793" t="s">
        <v>5762</v>
      </c>
    </row>
    <row r="2794" spans="1:8">
      <c r="A2794" t="s">
        <v>5754</v>
      </c>
      <c r="B2794" s="24">
        <v>46183</v>
      </c>
      <c r="C2794" s="27" t="s">
        <v>5797</v>
      </c>
      <c r="D2794" s="27" t="s">
        <v>3231</v>
      </c>
      <c r="E2794" t="s">
        <v>3209</v>
      </c>
      <c r="F2794" t="s">
        <v>104</v>
      </c>
      <c r="H2794" t="s">
        <v>5762</v>
      </c>
    </row>
    <row r="2795" spans="1:8">
      <c r="A2795" t="s">
        <v>5755</v>
      </c>
      <c r="B2795" s="24">
        <v>46184</v>
      </c>
      <c r="C2795" s="27" t="s">
        <v>5797</v>
      </c>
      <c r="D2795" s="27" t="s">
        <v>3231</v>
      </c>
      <c r="E2795" t="s">
        <v>3210</v>
      </c>
      <c r="F2795" t="s">
        <v>104</v>
      </c>
      <c r="H2795" t="s">
        <v>5762</v>
      </c>
    </row>
    <row r="2796" spans="1:8">
      <c r="A2796" t="s">
        <v>5756</v>
      </c>
      <c r="B2796" s="24">
        <v>46185</v>
      </c>
      <c r="C2796" s="27" t="s">
        <v>5797</v>
      </c>
      <c r="D2796" s="27" t="s">
        <v>3231</v>
      </c>
      <c r="E2796" t="s">
        <v>3211</v>
      </c>
      <c r="F2796" t="s">
        <v>104</v>
      </c>
      <c r="H2796" t="s">
        <v>5762</v>
      </c>
    </row>
    <row r="2797" spans="1:8">
      <c r="A2797" t="s">
        <v>5757</v>
      </c>
      <c r="B2797" s="24">
        <v>46174</v>
      </c>
      <c r="C2797" s="27" t="s">
        <v>5797</v>
      </c>
      <c r="D2797" s="27" t="s">
        <v>3231</v>
      </c>
      <c r="E2797" t="s">
        <v>3212</v>
      </c>
      <c r="F2797" t="s">
        <v>104</v>
      </c>
      <c r="H2797" t="s">
        <v>5762</v>
      </c>
    </row>
    <row r="2798" spans="1:8">
      <c r="A2798" t="s">
        <v>5758</v>
      </c>
      <c r="B2798" s="24">
        <v>46175</v>
      </c>
      <c r="C2798" s="27" t="s">
        <v>5797</v>
      </c>
      <c r="D2798" s="27" t="s">
        <v>3231</v>
      </c>
      <c r="E2798" t="s">
        <v>3213</v>
      </c>
      <c r="F2798" t="s">
        <v>104</v>
      </c>
      <c r="H2798" t="s">
        <v>5762</v>
      </c>
    </row>
    <row r="2799" spans="1:8">
      <c r="A2799" t="s">
        <v>5759</v>
      </c>
      <c r="B2799" s="24">
        <v>46176</v>
      </c>
      <c r="C2799" s="27" t="s">
        <v>5797</v>
      </c>
      <c r="D2799" s="27" t="s">
        <v>3231</v>
      </c>
      <c r="E2799" t="s">
        <v>3214</v>
      </c>
      <c r="F2799" t="s">
        <v>104</v>
      </c>
      <c r="H2799" t="s">
        <v>5762</v>
      </c>
    </row>
    <row r="2800" spans="1:8">
      <c r="A2800" t="s">
        <v>5760</v>
      </c>
      <c r="B2800" s="24">
        <v>46177</v>
      </c>
      <c r="C2800" s="27" t="s">
        <v>5797</v>
      </c>
      <c r="D2800" s="27" t="s">
        <v>3231</v>
      </c>
      <c r="E2800" t="s">
        <v>3215</v>
      </c>
      <c r="F2800" t="s">
        <v>104</v>
      </c>
      <c r="H2800" t="s">
        <v>5762</v>
      </c>
    </row>
    <row r="2801" spans="1:8">
      <c r="A2801" t="s">
        <v>5761</v>
      </c>
      <c r="B2801" s="24">
        <v>46178</v>
      </c>
      <c r="C2801" s="27" t="s">
        <v>5797</v>
      </c>
      <c r="D2801" s="27" t="s">
        <v>3231</v>
      </c>
      <c r="E2801" t="s">
        <v>3216</v>
      </c>
      <c r="F2801" t="s">
        <v>104</v>
      </c>
      <c r="H2801" t="s">
        <v>5762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"/>
  <sheetViews>
    <sheetView workbookViewId="0"/>
  </sheetViews>
  <sheetFormatPr baseColWidth="10" defaultColWidth="8.75" defaultRowHeight="14.25"/>
  <cols>
    <col min="1" max="1" width="24" customWidth="1"/>
    <col min="2" max="2" width="18" customWidth="1"/>
    <col min="3" max="3" width="42" customWidth="1"/>
    <col min="4" max="4" width="52" customWidth="1"/>
    <col min="5" max="5" width="36" customWidth="1"/>
    <col min="6" max="6" width="42" customWidth="1"/>
  </cols>
  <sheetData>
    <row r="1" spans="1:6" ht="15">
      <c r="A1" s="21" t="s">
        <v>376</v>
      </c>
      <c r="B1" s="14" t="s">
        <v>377</v>
      </c>
      <c r="C1" s="14" t="s">
        <v>3</v>
      </c>
      <c r="D1" s="14" t="s">
        <v>378</v>
      </c>
      <c r="E1" s="14" t="s">
        <v>379</v>
      </c>
      <c r="F1" s="14" t="s">
        <v>380</v>
      </c>
    </row>
    <row r="2" spans="1:6">
      <c r="A2" s="15" t="s">
        <v>44</v>
      </c>
      <c r="B2" t="s">
        <v>381</v>
      </c>
      <c r="C2" t="s">
        <v>382</v>
      </c>
      <c r="D2" t="s">
        <v>383</v>
      </c>
      <c r="E2" t="s">
        <v>384</v>
      </c>
      <c r="F2" t="s">
        <v>385</v>
      </c>
    </row>
    <row r="3" spans="1:6">
      <c r="A3" s="15" t="s">
        <v>53</v>
      </c>
      <c r="B3" t="s">
        <v>386</v>
      </c>
      <c r="C3" t="s">
        <v>387</v>
      </c>
      <c r="D3" t="s">
        <v>388</v>
      </c>
      <c r="E3" t="s">
        <v>389</v>
      </c>
      <c r="F3" t="s">
        <v>390</v>
      </c>
    </row>
    <row r="4" spans="1:6">
      <c r="A4" s="15" t="s">
        <v>55</v>
      </c>
      <c r="B4" t="s">
        <v>386</v>
      </c>
      <c r="C4" t="s">
        <v>391</v>
      </c>
      <c r="D4" t="s">
        <v>392</v>
      </c>
      <c r="E4" t="s">
        <v>393</v>
      </c>
      <c r="F4" t="s">
        <v>394</v>
      </c>
    </row>
    <row r="5" spans="1:6">
      <c r="A5" s="15" t="s">
        <v>20</v>
      </c>
      <c r="B5" t="s">
        <v>386</v>
      </c>
      <c r="C5" t="s">
        <v>395</v>
      </c>
      <c r="D5" t="s">
        <v>396</v>
      </c>
      <c r="E5" t="s">
        <v>397</v>
      </c>
      <c r="F5" t="s">
        <v>398</v>
      </c>
    </row>
    <row r="6" spans="1:6">
      <c r="A6" s="15" t="s">
        <v>56</v>
      </c>
      <c r="B6" t="s">
        <v>386</v>
      </c>
      <c r="C6" t="s">
        <v>399</v>
      </c>
      <c r="D6" t="s">
        <v>400</v>
      </c>
      <c r="E6" t="s">
        <v>401</v>
      </c>
      <c r="F6" t="s">
        <v>402</v>
      </c>
    </row>
    <row r="7" spans="1:6">
      <c r="A7" s="15" t="s">
        <v>23</v>
      </c>
      <c r="B7" t="s">
        <v>386</v>
      </c>
      <c r="C7" t="s">
        <v>403</v>
      </c>
      <c r="D7" t="s">
        <v>404</v>
      </c>
      <c r="E7" t="s">
        <v>405</v>
      </c>
      <c r="F7" t="s">
        <v>406</v>
      </c>
    </row>
    <row r="8" spans="1:6">
      <c r="A8" s="15" t="s">
        <v>57</v>
      </c>
      <c r="B8" t="s">
        <v>386</v>
      </c>
      <c r="C8" t="s">
        <v>407</v>
      </c>
      <c r="D8" t="s">
        <v>408</v>
      </c>
      <c r="E8" t="s">
        <v>409</v>
      </c>
      <c r="F8" t="s">
        <v>410</v>
      </c>
    </row>
    <row r="9" spans="1:6">
      <c r="A9" s="15" t="s">
        <v>411</v>
      </c>
      <c r="B9" t="s">
        <v>412</v>
      </c>
      <c r="C9" t="s">
        <v>413</v>
      </c>
      <c r="D9" t="s">
        <v>414</v>
      </c>
      <c r="E9" t="s">
        <v>415</v>
      </c>
      <c r="F9" t="s">
        <v>416</v>
      </c>
    </row>
    <row r="10" spans="1:6">
      <c r="A10" s="15"/>
    </row>
    <row r="11" spans="1:6">
      <c r="A11" s="15"/>
    </row>
    <row r="12" spans="1:6">
      <c r="A12" s="15"/>
    </row>
    <row r="13" spans="1:6">
      <c r="A13" s="15"/>
    </row>
    <row r="14" spans="1:6">
      <c r="A14" s="15"/>
    </row>
    <row r="15" spans="1:6">
      <c r="A15" s="15"/>
    </row>
    <row r="16" spans="1:6">
      <c r="A16" s="15"/>
    </row>
    <row r="17" spans="1:1">
      <c r="A17" s="15"/>
    </row>
    <row r="18" spans="1:1">
      <c r="A18" s="15"/>
    </row>
    <row r="19" spans="1:1">
      <c r="A19" s="15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  <row r="25" spans="1:1">
      <c r="A25" s="15"/>
    </row>
    <row r="26" spans="1:1">
      <c r="A26" s="15"/>
    </row>
    <row r="27" spans="1:1">
      <c r="A27" s="15"/>
    </row>
    <row r="28" spans="1:1">
      <c r="A28" s="15"/>
    </row>
    <row r="29" spans="1:1">
      <c r="A29" s="15"/>
    </row>
    <row r="30" spans="1:1">
      <c r="A30" s="15"/>
    </row>
    <row r="31" spans="1:1">
      <c r="A31" s="15"/>
    </row>
    <row r="32" spans="1:1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Parametros</vt:lpstr>
      <vt:lpstr>Dashboard GD</vt:lpstr>
      <vt:lpstr>Motor_Formulas</vt:lpstr>
      <vt:lpstr>Target_Medicos</vt:lpstr>
      <vt:lpstr>Fact_Visitas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Segura Plasencia, Anabelle</cp:lastModifiedBy>
  <dcterms:created xsi:type="dcterms:W3CDTF">2026-06-16T17:56:01Z</dcterms:created>
  <dcterms:modified xsi:type="dcterms:W3CDTF">2026-07-09T21:20:59Z</dcterms:modified>
</cp:coreProperties>
</file>